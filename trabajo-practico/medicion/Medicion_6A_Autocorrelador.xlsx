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ciones" sheetId="1" r:id="rId1"/>
    <sheet name="Configuración" sheetId="2" r:id="rId2"/>
    <sheet name="Registro" sheetId="3" r:id="rId3"/>
    <sheet name="Resumen" sheetId="4" r:id="rId4"/>
    <sheet name="R01" sheetId="5" r:id="rId5"/>
    <sheet name="R02" sheetId="6" r:id="rId6"/>
    <sheet name="R03" sheetId="7" r:id="rId7"/>
    <sheet name="R04" sheetId="8" r:id="rId8"/>
    <sheet name="R05" sheetId="9" r:id="rId9"/>
    <sheet name="R06" sheetId="10" r:id="rId10"/>
    <sheet name="R07" sheetId="11" r:id="rId11"/>
    <sheet name="R08" sheetId="12" r:id="rId12"/>
    <sheet name="R09" sheetId="13" r:id="rId13"/>
    <sheet name="R10" sheetId="14" r:id="rId14"/>
    <sheet name="R11" sheetId="15" r:id="rId15"/>
    <sheet name="R12" sheetId="16" r:id="rId16"/>
  </sheets>
  <definedNames>
    <definedName name="alfa">'Configuración'!$B$17</definedName>
    <definedName name="c_luz">'Configuración'!$B$10</definedName>
    <definedName name="conv">'Configuración'!$B$11</definedName>
    <definedName name="corriente">'Configuración'!$B$5</definedName>
    <definedName name="factor_forma">'Configuración'!$B$12</definedName>
    <definedName name="n_fondo">'Configuración'!$B$13</definedName>
    <definedName name="paso">'Configuración'!$B$8</definedName>
    <definedName name="pasos">'Configuración'!$B$9</definedName>
    <definedName name="pfab">'Configuración'!$B$7</definedName>
    <definedName name="pts_min">'Configuración'!$B$15</definedName>
    <definedName name="rec_min">'Configuración'!$B$16</definedName>
    <definedName name="semi">'Configuración'!$B$14</definedName>
    <definedName name="tau0">'Configuración'!$B$6</definedName>
  </definedNames>
  <calcPr calcId="124519" fullCalcOnLoad="1"/>
</workbook>
</file>

<file path=xl/sharedStrings.xml><?xml version="1.0" encoding="utf-8"?>
<sst xmlns="http://schemas.openxmlformats.org/spreadsheetml/2006/main" count="524" uniqueCount="147">
  <si>
    <t>Medición definitiva del autocorrelador · corriente 6 A (I2)</t>
  </si>
  <si>
    <t>Fecha prevista: miércoles 28 oct 2026. Nueve réplicas de la misma corriente, una tras otra.</t>
  </si>
  <si>
    <t>1. Encender el láser y dejarlo calentar como en el piloto. Fijar la corriente de bombeo en 6 A y anotar en Registro la fecha, la hora de encendido y la potencia media del láser.</t>
  </si>
  <si>
    <t>2. Las posiciones del micrómetro están fijas en todas las hojas R01–R09 (columna A, gris): 22 lecturas, de 0 a 210 µm cada 10 µm, contadas desde el punto de partida del barrido. Escoger el punto de partida de modo que el pico caiga en la mitad del recorrido (≈ 100–110 µm). A 5 A la traza es ancha: si el pico queda en 120 µm o más, el barrido no alcanza el ala derecha (el Estado lo avisa).</t>
  </si>
  <si>
    <t>3. Girar el micrómetro siempre en el mismo sentido. En cada posición escribir la potencia óptica en W (columna B, amarilla), tal como la da el medidor: por ejemplo 2.35E-05.</t>
  </si>
  <si>
    <t>4. En Registro, escribir la hora de inicio y la hora de fin de cada corrida (hh:mm). La duración y el tiempo entre inicios se calculan solos.</t>
  </si>
  <si>
    <t>5. Revisar el «Estado de la traza» (columna L del Registro, o la celda M20 de la hoja). Si dice OK o Aviso, seguir. Si dice Revisar, comprobar los datos escritos antes de seguir.</t>
  </si>
  <si>
    <t>6. Una traza solo se marca «No» en ¿Válida? por una causa anotada en el momento (el láser perdió los pulsos, la potencia salió de rango, el barrido se interrumpió). Nunca por dar un valor inesperado. Toda traza descartada se repone en la siguiente hoja de reposición (R10, R11, R12).</t>
  </si>
  <si>
    <t>7. La hoja Resumen da n, la media, S, el intervalo de confianza del 95 % y la prueba t de una muestra contra τ0 del fabricante. El análisis definitivo (ajuste sech² de toda la traza) se hace después con scripts/trabajo-practico/analiza_piloto.py; aquí se usa el ancho a media altura × 0,65.</t>
  </si>
  <si>
    <t>Colores: amarillo con letra azul = se llena; gris = fijo; lo demás son fórmulas. Las hojas de traza están protegidas (sin contraseña) para no borrar las posiciones ni las fórmulas.</t>
  </si>
  <si>
    <t>Configuración</t>
  </si>
  <si>
    <t>Valores fijos del protocolo. No cambiarlos durante la medición.</t>
  </si>
  <si>
    <t>Parámetro</t>
  </si>
  <si>
    <t>Valor</t>
  </si>
  <si>
    <t>Nota</t>
  </si>
  <si>
    <t>Corriente de bombeo (A)</t>
  </si>
  <si>
    <t>I2 del protocolo; hoja de pruebas de fábrica, tabla 5.</t>
  </si>
  <si>
    <t>τ0: ancho de pulso del fabricante (fs)</t>
  </si>
  <si>
    <t>Tabla 5 de la hoja de pruebas de fábrica.</t>
  </si>
  <si>
    <t>Potencia media de fábrica (mW)</t>
  </si>
  <si>
    <t>Referencia para comparar con la potencia medida.</t>
  </si>
  <si>
    <t>Paso del micrómetro (µm)</t>
  </si>
  <si>
    <t>Fijo, como en el piloto.</t>
  </si>
  <si>
    <t>Veces que el haz recorre el desplazamiento</t>
  </si>
  <si>
    <t>Retrorreflector: τ = 2Δx/c.</t>
  </si>
  <si>
    <t>Velocidad de la luz c (m/s)</t>
  </si>
  <si>
    <t>Valor exacto (SI).</t>
  </si>
  <si>
    <t>Retardo por µm del micrómetro (fs)</t>
  </si>
  <si>
    <t>6,6713 fs por µm.</t>
  </si>
  <si>
    <t>Factor de forma sech²: τp = factor × Δτ_AC</t>
  </si>
  <si>
    <t>El que usa Calmar (teórico 0,648).</t>
  </si>
  <si>
    <t>Lecturas por ala para el fondo</t>
  </si>
  <si>
    <t>Promedio de las 2 primeras y las 2 últimas lecturas.</t>
  </si>
  <si>
    <t>Semiventana de suavizado</t>
  </si>
  <si>
    <t>0 = sin suavizar (programa de análisis fijo).</t>
  </si>
  <si>
    <t>Lecturas mínimas dentro del ancho a media altura</t>
  </si>
  <si>
    <t>Con paso de 10 µm el piloto tuvo 4–5 lecturas dentro del FWHM.</t>
  </si>
  <si>
    <t>Recorrido mínimo a cada lado del centro (múltiplos de Δτ_AC)</t>
  </si>
  <si>
    <t>Si no se alcanza, el fondo sale alto y el ancho corto.</t>
  </si>
  <si>
    <t>α de la prueba t (dos colas)</t>
  </si>
  <si>
    <t>Protocolo.</t>
  </si>
  <si>
    <t>Posición del micrómetro (µm) · fija</t>
  </si>
  <si>
    <t>Potencia óptica (W)</t>
  </si>
  <si>
    <t>Retardo τ (fs)</t>
  </si>
  <si>
    <t>Señal suavizada</t>
  </si>
  <si>
    <t>Señal normalizada</t>
  </si>
  <si>
    <t>Cruce izq. (fila)</t>
  </si>
  <si>
    <t>Cruce der. (fila)</t>
  </si>
  <si>
    <t>τ de cruce (fs)</t>
  </si>
  <si>
    <t>Retardo centrado (fs) · gráfica</t>
  </si>
  <si>
    <t>Normalizada · gráfica</t>
  </si>
  <si>
    <t>Sentido</t>
  </si>
  <si>
    <t>Posiciones de la traza</t>
  </si>
  <si>
    <t>Lecturas de potencia escritas</t>
  </si>
  <si>
    <t>Fondo (promedio de las alas, W)</t>
  </si>
  <si>
    <t>Máximo de la señal (W)</t>
  </si>
  <si>
    <t>Fila del máximo</t>
  </si>
  <si>
    <t>Retardo del máximo (fs)</t>
  </si>
  <si>
    <t>Fila del cruce izquierdo a media altura</t>
  </si>
  <si>
    <t>Fila del cruce derecho a media altura</t>
  </si>
  <si>
    <t>τ del cruce izquierdo (fs)</t>
  </si>
  <si>
    <t>τ del cruce derecho (fs)</t>
  </si>
  <si>
    <t>Ancho de la traza a media altura Δτ_AC (fs)</t>
  </si>
  <si>
    <t>Ancho de pulso τp = factor × Δτ_AC (fs)</t>
  </si>
  <si>
    <t>Referencia: τp si fuera gaussiano (fs)</t>
  </si>
  <si>
    <t>Centro de la traza (fs)</t>
  </si>
  <si>
    <t>Lecturas dentro del ancho a media altura</t>
  </si>
  <si>
    <t>Recorrido a la izquierda del centro (fs)</t>
  </si>
  <si>
    <t>Recorrido a la derecha del centro (fs)</t>
  </si>
  <si>
    <t>Posición del pico (µm)</t>
  </si>
  <si>
    <t>Estado de la traza</t>
  </si>
  <si>
    <t>Traza R01</t>
  </si>
  <si>
    <t>6 A</t>
  </si>
  <si>
    <t>Línea de media altura (gráfica)</t>
  </si>
  <si>
    <t>Solo se llena la columna B (potencia en W), en el orden de las posiciones.</t>
  </si>
  <si>
    <t>Traza R02</t>
  </si>
  <si>
    <t>Traza R03</t>
  </si>
  <si>
    <t>Traza R04</t>
  </si>
  <si>
    <t>Traza R05</t>
  </si>
  <si>
    <t>Traza R06</t>
  </si>
  <si>
    <t>Traza R07</t>
  </si>
  <si>
    <t>Traza R08</t>
  </si>
  <si>
    <t>Traza R09</t>
  </si>
  <si>
    <t>Traza R10 · reposición</t>
  </si>
  <si>
    <t>Traza R11 · reposición</t>
  </si>
  <si>
    <t>Traza R12 · reposición</t>
  </si>
  <si>
    <t>Registro de la medición · 6 A (I2)</t>
  </si>
  <si>
    <t>Amarillo = llenar. Nueve réplicas seguidas a la misma corriente; R10–R12 solo si hay que reponer una traza descartada.</t>
  </si>
  <si>
    <t>Fecha</t>
  </si>
  <si>
    <t>miércoles 28 oct 2026</t>
  </si>
  <si>
    <t>Encendido del láser</t>
  </si>
  <si>
    <t>Corriente (A)</t>
  </si>
  <si>
    <t>Temperatura del laboratorio (°C)</t>
  </si>
  <si>
    <t>Responsables:</t>
  </si>
  <si>
    <t>N°</t>
  </si>
  <si>
    <t>Hoja</t>
  </si>
  <si>
    <t>Hora inicio</t>
  </si>
  <si>
    <t>Hora fin</t>
  </si>
  <si>
    <t>Duración (min)</t>
  </si>
  <si>
    <t>Δ inicio a la siguiente (min)</t>
  </si>
  <si>
    <t>Potencia media del láser (mW)</t>
  </si>
  <si>
    <t>¿Válida?</t>
  </si>
  <si>
    <t>Observaciones (causa si no es válida)</t>
  </si>
  <si>
    <t>Δτ_AC (fs)</t>
  </si>
  <si>
    <t>τp (fs)</t>
  </si>
  <si>
    <t>τp usable (fs)</t>
  </si>
  <si>
    <t>R01</t>
  </si>
  <si>
    <t>Sí</t>
  </si>
  <si>
    <t>R02</t>
  </si>
  <si>
    <t>R03</t>
  </si>
  <si>
    <t>R04</t>
  </si>
  <si>
    <t>R05</t>
  </si>
  <si>
    <t>R06</t>
  </si>
  <si>
    <t>R07</t>
  </si>
  <si>
    <t>R08</t>
  </si>
  <si>
    <t>R09</t>
  </si>
  <si>
    <t>R10</t>
  </si>
  <si>
    <t>Reposición: anotar qué traza reemplaza</t>
  </si>
  <si>
    <t>R11</t>
  </si>
  <si>
    <t>R12</t>
  </si>
  <si>
    <t>Media</t>
  </si>
  <si>
    <t>Total (h)</t>
  </si>
  <si>
    <t>del primer inicio al último fin</t>
  </si>
  <si>
    <t>Reglas del protocolo (sección 5): una traza solo se marca «No» por una causa anotada en el momento (el láser perdió los pulsos, la potencia salió de rango, el barrido se interrumpió). Nunca por dar un valor inesperado. La traza que la reemplaza va en la siguiente hoja de reposición (R10, R11, R12), y se anota en Observaciones a cuál reemplaza.</t>
  </si>
  <si>
    <t>Resumen y prueba t de una muestra · 6 A</t>
  </si>
  <si>
    <t>Cuentan las trazas con τp calculado y no marcadas «No» en el Registro (incluidas las de reposición).</t>
  </si>
  <si>
    <t>Cálculo</t>
  </si>
  <si>
    <t>Réplicas válidas n</t>
  </si>
  <si>
    <t>Meta: 9.</t>
  </si>
  <si>
    <t>Media de τp, ȳ (fs)</t>
  </si>
  <si>
    <t>Estimador: ancho a media altura × factor sech².</t>
  </si>
  <si>
    <t>Desviación estándar S (fs)</t>
  </si>
  <si>
    <t>Coeficiente de variación (%)</t>
  </si>
  <si>
    <t>τ0 del fabricante (fs)</t>
  </si>
  <si>
    <t>Tabla 5 de la hoja de pruebas.</t>
  </si>
  <si>
    <t>ȳ − τ0 (fs)</t>
  </si>
  <si>
    <t>Estadístico t0 = (ȳ − τ0) / (S/√n)</t>
  </si>
  <si>
    <t>H0: μ = τ0   frente a   H1: μ ≠ τ0.</t>
  </si>
  <si>
    <t>Grados de libertad n − 1</t>
  </si>
  <si>
    <t>t crítico t(α/2, n − 1)</t>
  </si>
  <si>
    <t>Valor P (dos colas)</t>
  </si>
  <si>
    <t>Límite inferior del IC 95 % de μ (fs)</t>
  </si>
  <si>
    <t>Límite superior del IC 95 % de μ (fs)</t>
  </si>
  <si>
    <t>Decisión</t>
  </si>
  <si>
    <t>Duración media por corrida (min)</t>
  </si>
  <si>
    <t>Desde el Registro.</t>
  </si>
  <si>
    <t>Prueba preliminar con el estimador de la hoja (FWHM × 0,65). El informe usa el ajuste sech² de toda la traza (analiza_piloto.py) y valida los supuestos (normalidad, sin tendencia en el orden de medición).</t>
  </si>
</sst>
</file>

<file path=xl/styles.xml><?xml version="1.0" encoding="utf-8"?>
<styleSheet xmlns="http://schemas.openxmlformats.org/spreadsheetml/2006/main">
  <numFmts count="6">
    <numFmt numFmtId="164" formatCode="0.00"/>
    <numFmt numFmtId="165" formatCode="0.0000"/>
    <numFmt numFmtId="166" formatCode="hh:mm"/>
    <numFmt numFmtId="167" formatCode="0.000"/>
    <numFmt numFmtId="168" formatCode="0.000E+00"/>
    <numFmt numFmtId="169" formatCode="0.00E+00"/>
  </numFmts>
  <fonts count="10">
    <font>
      <sz val="11"/>
      <color theme="1"/>
      <name val="Calibri"/>
      <family val="2"/>
      <scheme val="minor"/>
    </font>
    <font>
      <b/>
      <sz val="14"/>
      <color rgb="FF1F3864"/>
      <name val="Arial"/>
      <family val="2"/>
    </font>
    <font>
      <i/>
      <sz val="10"/>
      <color rgb="FF595959"/>
      <name val="Arial"/>
      <family val="2"/>
    </font>
    <font>
      <sz val="10"/>
      <color theme="1"/>
      <name val="Arial"/>
      <family val="2"/>
    </font>
    <font>
      <b/>
      <sz val="10"/>
      <color rgb="FFFFFFFF"/>
      <name val="Arial"/>
      <family val="2"/>
    </font>
    <font>
      <b/>
      <sz val="10"/>
      <color theme="1"/>
      <name val="Arial"/>
      <family val="2"/>
    </font>
    <font>
      <sz val="10"/>
      <color rgb="FF0000FF"/>
      <name val="Arial"/>
      <family val="2"/>
    </font>
    <font>
      <sz val="10"/>
      <color rgb="FF008000"/>
      <name val="Arial"/>
      <family val="2"/>
    </font>
    <font>
      <b/>
      <sz val="12"/>
      <color theme="1"/>
      <name val="Arial"/>
      <family val="2"/>
    </font>
    <font>
      <sz val="10"/>
      <color rgb="FF808080"/>
      <name val="Arial"/>
      <family val="2"/>
    </font>
  </fonts>
  <fills count="6">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E2EFDA"/>
        <bgColor indexed="64"/>
      </patternFill>
    </fill>
    <fill>
      <patternFill patternType="solid">
        <fgColor rgb="FFD9D9D9"/>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vertical="center"/>
    </xf>
    <xf numFmtId="0" fontId="2" fillId="0" borderId="0" xfId="0" applyFont="1" applyAlignment="1">
      <alignment vertical="top" wrapText="1"/>
    </xf>
    <xf numFmtId="1" fontId="3" fillId="0" borderId="1" xfId="0" applyNumberFormat="1" applyFont="1" applyBorder="1" applyAlignment="1">
      <alignment vertical="center"/>
    </xf>
    <xf numFmtId="165" fontId="3" fillId="0" borderId="1" xfId="0" applyNumberFormat="1" applyFont="1" applyBorder="1" applyAlignment="1">
      <alignment vertical="center"/>
    </xf>
    <xf numFmtId="1" fontId="3" fillId="0" borderId="1" xfId="0" applyNumberFormat="1" applyFont="1" applyBorder="1" applyAlignment="1">
      <alignment horizontal="center" vertical="center"/>
    </xf>
    <xf numFmtId="0" fontId="5" fillId="0" borderId="1" xfId="0" applyFont="1" applyBorder="1" applyAlignment="1">
      <alignment vertical="center" wrapText="1"/>
    </xf>
    <xf numFmtId="0" fontId="6" fillId="3" borderId="1" xfId="0" applyFont="1" applyFill="1" applyBorder="1" applyAlignment="1" applyProtection="1">
      <alignment vertical="center"/>
      <protection locked="0"/>
    </xf>
    <xf numFmtId="166" fontId="6" fillId="3" borderId="1" xfId="0" applyNumberFormat="1" applyFont="1" applyFill="1" applyBorder="1" applyAlignment="1" applyProtection="1">
      <alignment horizontal="center" vertical="center"/>
      <protection locked="0"/>
    </xf>
    <xf numFmtId="164" fontId="7" fillId="0" borderId="1" xfId="0" applyNumberFormat="1" applyFont="1" applyBorder="1" applyAlignment="1">
      <alignment vertical="center"/>
    </xf>
    <xf numFmtId="0" fontId="7" fillId="0" borderId="1" xfId="0" applyFont="1" applyBorder="1" applyAlignment="1">
      <alignment vertical="center"/>
    </xf>
    <xf numFmtId="1" fontId="7" fillId="0" borderId="1" xfId="0" applyNumberFormat="1" applyFont="1" applyBorder="1" applyAlignment="1">
      <alignment vertical="center"/>
    </xf>
    <xf numFmtId="0" fontId="6" fillId="3" borderId="1" xfId="0" applyFont="1" applyFill="1" applyBorder="1" applyAlignment="1" applyProtection="1">
      <alignment vertical="center" wrapText="1"/>
      <protection locked="0"/>
    </xf>
    <xf numFmtId="164" fontId="8" fillId="4" borderId="2" xfId="0" applyNumberFormat="1" applyFont="1" applyFill="1" applyBorder="1" applyAlignment="1">
      <alignment vertical="center"/>
    </xf>
    <xf numFmtId="167" fontId="3" fillId="0" borderId="1" xfId="0" applyNumberFormat="1" applyFont="1" applyBorder="1" applyAlignment="1">
      <alignment vertical="center"/>
    </xf>
    <xf numFmtId="0" fontId="5" fillId="4" borderId="2" xfId="0" applyFont="1" applyFill="1" applyBorder="1" applyAlignment="1">
      <alignment vertical="center" wrapText="1"/>
    </xf>
    <xf numFmtId="1" fontId="5" fillId="5" borderId="1" xfId="0" applyNumberFormat="1" applyFont="1" applyFill="1" applyBorder="1" applyAlignment="1">
      <alignment horizontal="center" vertical="center"/>
    </xf>
    <xf numFmtId="168" fontId="6" fillId="3" borderId="1" xfId="0" applyNumberFormat="1" applyFont="1" applyFill="1" applyBorder="1" applyAlignment="1" applyProtection="1">
      <alignment vertical="center"/>
      <protection locked="0"/>
    </xf>
    <xf numFmtId="164" fontId="9" fillId="0" borderId="0" xfId="0" applyNumberFormat="1" applyFont="1" applyAlignment="1">
      <alignment vertical="center"/>
    </xf>
    <xf numFmtId="168" fontId="9" fillId="0" borderId="0" xfId="0" applyNumberFormat="1" applyFont="1" applyAlignment="1">
      <alignment vertical="center"/>
    </xf>
    <xf numFmtId="165" fontId="9" fillId="0" borderId="0" xfId="0" applyNumberFormat="1" applyFont="1" applyAlignment="1">
      <alignment vertical="center"/>
    </xf>
    <xf numFmtId="169" fontId="3" fillId="0" borderId="1" xfId="0" applyNumberFormat="1" applyFont="1" applyBorder="1" applyAlignment="1">
      <alignment vertical="center"/>
    </xf>
  </cellXfs>
  <cellStyles count="1">
    <cellStyle name="Normal" xfId="0" builtinId="0"/>
  </cellStyles>
  <dxfs count="5">
    <dxf>
      <font>
        <color rgb="FF006100"/>
      </font>
      <fill>
        <patternFill>
          <bgColor rgb="FFC6EFCE"/>
        </patternFill>
      </fill>
      <border>
        <left style="thin">
          <color auto="1"/>
        </left>
        <right style="thin">
          <color auto="1"/>
        </right>
        <top style="thin">
          <color auto="1"/>
        </top>
        <bottom style="thin">
          <color auto="1"/>
        </bottom>
        <vertical/>
        <horizontal/>
      </border>
    </dxf>
    <dxf>
      <font>
        <color rgb="FF9C5700"/>
      </font>
      <fill>
        <patternFill>
          <bgColor rgb="FFFFEB9C"/>
        </patternFill>
      </fill>
      <border>
        <left style="thin">
          <color auto="1"/>
        </left>
        <right style="thin">
          <color auto="1"/>
        </right>
        <top style="thin">
          <color auto="1"/>
        </top>
        <bottom style="thin">
          <color auto="1"/>
        </bottom>
        <vertical/>
        <horizontal/>
      </border>
    </dxf>
    <dxf>
      <font>
        <color rgb="FF9C0006"/>
      </font>
      <fill>
        <patternFill>
          <bgColor rgb="FFFFC7CE"/>
        </patternFill>
      </fill>
      <border>
        <left style="thin">
          <color auto="1"/>
        </left>
        <right style="thin">
          <color auto="1"/>
        </right>
        <top style="thin">
          <color auto="1"/>
        </top>
        <bottom style="thin">
          <color auto="1"/>
        </bottom>
        <vertical/>
        <horizontal/>
      </border>
    </dxf>
    <dxf>
      <font>
        <color rgb="FFD9D9D9"/>
      </font>
    </dxf>
    <dxf>
      <fill>
        <patternFill>
          <bgColor rgb="FFF2F2F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τp en el orden de medición (¿hay deriva?)</a:t>
            </a:r>
          </a:p>
        </c:rich>
      </c:tx>
      <c:layout/>
    </c:title>
    <c:plotArea>
      <c:layout/>
      <c:scatterChart>
        <c:scatterStyle val="lineMarker"/>
        <c:ser>
          <c:idx val="0"/>
          <c:order val="0"/>
          <c:tx>
            <c:v>τp por réplica</c:v>
          </c:tx>
          <c:spPr>
            <a:ln w="28575">
              <a:noFill/>
            </a:ln>
          </c:spPr>
          <c:marker>
            <c:symbol val="circle"/>
            <c:size val="7"/>
            <c:spPr>
              <a:solidFill>
                <a:srgbClr val="1F3864"/>
              </a:solidFill>
              <a:ln>
                <a:solidFill>
                  <a:srgbClr val="1F3864"/>
                </a:solidFill>
              </a:ln>
            </c:spPr>
          </c:marker>
          <c:xVal>
            <c:numRef>
              <c:f>Registro!$A$7:$A$18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Registro!$N$7:$N$18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er>
        <c:axId val="50010001"/>
        <c:axId val="50010002"/>
      </c:scatterChart>
      <c:valAx>
        <c:axId val="50010001"/>
        <c:scaling>
          <c:orientation val="minMax"/>
          <c:max val="13"/>
          <c:min val="0"/>
        </c:scaling>
        <c:axPos val="b"/>
        <c:title>
          <c:tx>
            <c:rich>
              <a:bodyPr/>
              <a:lstStyle/>
              <a:p>
                <a:pPr>
                  <a:defRPr/>
                </a:pPr>
                <a:r>
                  <a:rPr lang="en-US"/>
                  <a:t>N° de corrida</a:t>
                </a:r>
              </a:p>
            </c:rich>
          </c:tx>
          <c:layout/>
        </c:title>
        <c:numFmt formatCode="General" sourceLinked="1"/>
        <c:tickLblPos val="nextTo"/>
        <c:crossAx val="50010002"/>
        <c:crosses val="autoZero"/>
        <c:crossBetween val="midCat"/>
        <c:majorUnit val="1"/>
      </c:valAx>
      <c:valAx>
        <c:axId val="50010002"/>
        <c:scaling>
          <c:orientation val="minMax"/>
        </c:scaling>
        <c:axPos val="l"/>
        <c:majorGridlines>
          <c:spPr>
            <a:ln>
              <a:solidFill>
                <a:srgbClr val="EEEEEE"/>
              </a:solidFill>
            </a:ln>
          </c:spPr>
        </c:majorGridlines>
        <c:title>
          <c:tx>
            <c:rich>
              <a:bodyPr rot="-5400000" vert="horz"/>
              <a:lstStyle/>
              <a:p>
                <a:pPr>
                  <a:defRPr/>
                </a:pPr>
                <a:r>
                  <a:rPr lang="en-US"/>
                  <a:t>τp (fs)</a:t>
                </a:r>
              </a:p>
            </c:rich>
          </c:tx>
          <c:layout/>
        </c:title>
        <c:numFmt formatCode="General" sourceLinked="1"/>
        <c:tickLblPos val="nextTo"/>
        <c:crossAx val="50010001"/>
        <c:crosses val="autoZero"/>
        <c:crossBetween val="midCat"/>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'R01'!$A$2:$A$23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'R01'!$B$2:$B$23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20001"/>
        <c:axId val="50020002"/>
      </c:scatterChart>
      <c:valAx>
        <c:axId val="5002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20002"/>
        <c:crosses val="autoZero"/>
        <c:crossBetween val="midCat"/>
      </c:valAx>
      <c:valAx>
        <c:axId val="5002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20001"/>
        <c:crosses val="autoZero"/>
        <c:crossBetween val="midCat"/>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'R01'!$I$2:$I$23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'R01'!$J$2:$J$23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'R01'!$L$23:$L$24</c:f>
              <c:numCache>
                <c:formatCode>General</c:formatCode>
                <c:ptCount val="2"/>
                <c:pt idx="0">
                  <c:v>0</c:v>
                </c:pt>
                <c:pt idx="1">
                  <c:v>0</c:v>
                </c:pt>
              </c:numCache>
            </c:numRef>
          </c:xVal>
          <c:yVal>
            <c:numRef>
              <c:f>'R01'!$M$23:$M$24</c:f>
              <c:numCache>
                <c:formatCode>General</c:formatCode>
                <c:ptCount val="2"/>
                <c:pt idx="0">
                  <c:v>0</c:v>
                </c:pt>
                <c:pt idx="1">
                  <c:v>0</c:v>
                </c:pt>
              </c:numCache>
            </c:numRef>
          </c:yVal>
        </c:ser>
        <c:axId val="50030001"/>
        <c:axId val="50030002"/>
      </c:scatterChart>
      <c:valAx>
        <c:axId val="50030001"/>
        <c:scaling>
          <c:orientation val="minMax"/>
        </c:scaling>
        <c:axPos val="b"/>
        <c:title>
          <c:tx>
            <c:rich>
              <a:bodyPr/>
              <a:lstStyle/>
              <a:p>
                <a:pPr>
                  <a:defRPr/>
                </a:pPr>
                <a:r>
                  <a:rPr lang="en-US"/>
                  <a:t>Retardo respecto al centro (fs)</a:t>
                </a:r>
              </a:p>
            </c:rich>
          </c:tx>
          <c:layout/>
        </c:title>
        <c:numFmt formatCode="General" sourceLinked="1"/>
        <c:tickLblPos val="nextTo"/>
        <c:crossAx val="50030002"/>
        <c:crosses val="autoZero"/>
        <c:crossBetween val="midCat"/>
      </c:valAx>
      <c:valAx>
        <c:axId val="5003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3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'R02'!$A$2:$A$23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'R02'!$B$2:$B$23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40001"/>
        <c:axId val="50040002"/>
      </c:scatterChart>
      <c:valAx>
        <c:axId val="5004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40002"/>
        <c:crosses val="autoZero"/>
        <c:crossBetween val="midCat"/>
      </c:valAx>
      <c:valAx>
        <c:axId val="5004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40001"/>
        <c:crosses val="autoZero"/>
        <c:crossBetween val="midCat"/>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'R02'!$I$2:$I$23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'R02'!$J$2:$J$23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'R02'!$L$23:$L$24</c:f>
              <c:numCache>
                <c:formatCode>General</c:formatCode>
                <c:ptCount val="2"/>
                <c:pt idx="0">
                  <c:v>0</c:v>
                </c:pt>
                <c:pt idx="1">
                  <c:v>0</c:v>
                </c:pt>
              </c:numCache>
            </c:numRef>
          </c:xVal>
          <c:yVal>
            <c:numRef>
              <c:f>'R02'!$M$23:$M$24</c:f>
              <c:numCache>
                <c:formatCode>General</c:formatCode>
                <c:ptCount val="2"/>
                <c:pt idx="0">
                  <c:v>0</c:v>
                </c:pt>
                <c:pt idx="1">
                  <c:v>0</c:v>
                </c:pt>
              </c:numCache>
            </c:numRef>
          </c:yVal>
        </c:ser>
        <c:axId val="50050001"/>
        <c:axId val="50050002"/>
      </c:scatterChart>
      <c:valAx>
        <c:axId val="50050001"/>
        <c:scaling>
          <c:orientation val="minMax"/>
        </c:scaling>
        <c:axPos val="b"/>
        <c:title>
          <c:tx>
            <c:rich>
              <a:bodyPr/>
              <a:lstStyle/>
              <a:p>
                <a:pPr>
                  <a:defRPr/>
                </a:pPr>
                <a:r>
                  <a:rPr lang="en-US"/>
                  <a:t>Retardo respecto al centro (fs)</a:t>
                </a:r>
              </a:p>
            </c:rich>
          </c:tx>
          <c:layout/>
        </c:title>
        <c:numFmt formatCode="General" sourceLinked="1"/>
        <c:tickLblPos val="nextTo"/>
        <c:crossAx val="50050002"/>
        <c:crosses val="autoZero"/>
        <c:crossBetween val="midCat"/>
      </c:valAx>
      <c:valAx>
        <c:axId val="5005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5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'R03'!$A$2:$A$23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'R03'!$B$2:$B$23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60001"/>
        <c:axId val="50060002"/>
      </c:scatterChart>
      <c:valAx>
        <c:axId val="5006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60002"/>
        <c:crosses val="autoZero"/>
        <c:crossBetween val="midCat"/>
      </c:valAx>
      <c:valAx>
        <c:axId val="5006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60001"/>
        <c:crosses val="autoZero"/>
        <c:crossBetween val="midCat"/>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'R03'!$I$2:$I$23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'R03'!$J$2:$J$23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'R03'!$L$23:$L$24</c:f>
              <c:numCache>
                <c:formatCode>General</c:formatCode>
                <c:ptCount val="2"/>
                <c:pt idx="0">
                  <c:v>0</c:v>
                </c:pt>
                <c:pt idx="1">
                  <c:v>0</c:v>
                </c:pt>
              </c:numCache>
            </c:numRef>
          </c:xVal>
          <c:yVal>
            <c:numRef>
              <c:f>'R03'!$M$23:$M$24</c:f>
              <c:numCache>
                <c:formatCode>General</c:formatCode>
                <c:ptCount val="2"/>
                <c:pt idx="0">
                  <c:v>0</c:v>
                </c:pt>
                <c:pt idx="1">
                  <c:v>0</c:v>
                </c:pt>
              </c:numCache>
            </c:numRef>
          </c:yVal>
        </c:ser>
        <c:axId val="50070001"/>
        <c:axId val="50070002"/>
      </c:scatterChart>
      <c:valAx>
        <c:axId val="50070001"/>
        <c:scaling>
          <c:orientation val="minMax"/>
        </c:scaling>
        <c:axPos val="b"/>
        <c:title>
          <c:tx>
            <c:rich>
              <a:bodyPr/>
              <a:lstStyle/>
              <a:p>
                <a:pPr>
                  <a:defRPr/>
                </a:pPr>
                <a:r>
                  <a:rPr lang="en-US"/>
                  <a:t>Retardo respecto al centro (fs)</a:t>
                </a:r>
              </a:p>
            </c:rich>
          </c:tx>
          <c:layout/>
        </c:title>
        <c:numFmt formatCode="General" sourceLinked="1"/>
        <c:tickLblPos val="nextTo"/>
        <c:crossAx val="50070002"/>
        <c:crosses val="autoZero"/>
        <c:crossBetween val="midCat"/>
      </c:valAx>
      <c:valAx>
        <c:axId val="5007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7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'R04'!$A$2:$A$23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'R04'!$B$2:$B$23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080001"/>
        <c:axId val="50080002"/>
      </c:scatterChart>
      <c:valAx>
        <c:axId val="5008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080002"/>
        <c:crosses val="autoZero"/>
        <c:crossBetween val="midCat"/>
      </c:valAx>
      <c:valAx>
        <c:axId val="5008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080001"/>
        <c:crosses val="autoZero"/>
        <c:crossBetween val="midCat"/>
      </c:valAx>
    </c:plotArea>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'R04'!$I$2:$I$23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'R04'!$J$2:$J$23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'R04'!$L$23:$L$24</c:f>
              <c:numCache>
                <c:formatCode>General</c:formatCode>
                <c:ptCount val="2"/>
                <c:pt idx="0">
                  <c:v>0</c:v>
                </c:pt>
                <c:pt idx="1">
                  <c:v>0</c:v>
                </c:pt>
              </c:numCache>
            </c:numRef>
          </c:xVal>
          <c:yVal>
            <c:numRef>
              <c:f>'R04'!$M$23:$M$24</c:f>
              <c:numCache>
                <c:formatCode>General</c:formatCode>
                <c:ptCount val="2"/>
                <c:pt idx="0">
                  <c:v>0</c:v>
                </c:pt>
                <c:pt idx="1">
                  <c:v>0</c:v>
                </c:pt>
              </c:numCache>
            </c:numRef>
          </c:yVal>
        </c:ser>
        <c:axId val="50090001"/>
        <c:axId val="50090002"/>
      </c:scatterChart>
      <c:valAx>
        <c:axId val="50090001"/>
        <c:scaling>
          <c:orientation val="minMax"/>
        </c:scaling>
        <c:axPos val="b"/>
        <c:title>
          <c:tx>
            <c:rich>
              <a:bodyPr/>
              <a:lstStyle/>
              <a:p>
                <a:pPr>
                  <a:defRPr/>
                </a:pPr>
                <a:r>
                  <a:rPr lang="en-US"/>
                  <a:t>Retardo respecto al centro (fs)</a:t>
                </a:r>
              </a:p>
            </c:rich>
          </c:tx>
          <c:layout/>
        </c:title>
        <c:numFmt formatCode="General" sourceLinked="1"/>
        <c:tickLblPos val="nextTo"/>
        <c:crossAx val="50090002"/>
        <c:crosses val="autoZero"/>
        <c:crossBetween val="midCat"/>
      </c:valAx>
      <c:valAx>
        <c:axId val="5009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09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'R05'!$A$2:$A$23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'R05'!$B$2:$B$23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00001"/>
        <c:axId val="50100002"/>
      </c:scatterChart>
      <c:valAx>
        <c:axId val="5010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00002"/>
        <c:crosses val="autoZero"/>
        <c:crossBetween val="midCat"/>
      </c:valAx>
      <c:valAx>
        <c:axId val="5010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00001"/>
        <c:crosses val="autoZero"/>
        <c:crossBetween val="midCat"/>
      </c:valAx>
    </c:plotArea>
    <c:plotVisOnly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'R05'!$I$2:$I$23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'R05'!$J$2:$J$23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'R05'!$L$23:$L$24</c:f>
              <c:numCache>
                <c:formatCode>General</c:formatCode>
                <c:ptCount val="2"/>
                <c:pt idx="0">
                  <c:v>0</c:v>
                </c:pt>
                <c:pt idx="1">
                  <c:v>0</c:v>
                </c:pt>
              </c:numCache>
            </c:numRef>
          </c:xVal>
          <c:yVal>
            <c:numRef>
              <c:f>'R05'!$M$23:$M$24</c:f>
              <c:numCache>
                <c:formatCode>General</c:formatCode>
                <c:ptCount val="2"/>
                <c:pt idx="0">
                  <c:v>0</c:v>
                </c:pt>
                <c:pt idx="1">
                  <c:v>0</c:v>
                </c:pt>
              </c:numCache>
            </c:numRef>
          </c:yVal>
        </c:ser>
        <c:axId val="50110001"/>
        <c:axId val="50110002"/>
      </c:scatterChart>
      <c:valAx>
        <c:axId val="50110001"/>
        <c:scaling>
          <c:orientation val="minMax"/>
        </c:scaling>
        <c:axPos val="b"/>
        <c:title>
          <c:tx>
            <c:rich>
              <a:bodyPr/>
              <a:lstStyle/>
              <a:p>
                <a:pPr>
                  <a:defRPr/>
                </a:pPr>
                <a:r>
                  <a:rPr lang="en-US"/>
                  <a:t>Retardo respecto al centro (fs)</a:t>
                </a:r>
              </a:p>
            </c:rich>
          </c:tx>
          <c:layout/>
        </c:title>
        <c:numFmt formatCode="General" sourceLinked="1"/>
        <c:tickLblPos val="nextTo"/>
        <c:crossAx val="50110002"/>
        <c:crosses val="autoZero"/>
        <c:crossBetween val="midCat"/>
      </c:valAx>
      <c:valAx>
        <c:axId val="5011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1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'R06'!$A$2:$A$23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'R06'!$B$2:$B$23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20001"/>
        <c:axId val="50120002"/>
      </c:scatterChart>
      <c:valAx>
        <c:axId val="5012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20002"/>
        <c:crosses val="autoZero"/>
        <c:crossBetween val="midCat"/>
      </c:valAx>
      <c:valAx>
        <c:axId val="5012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20001"/>
        <c:crosses val="autoZero"/>
        <c:crossBetween val="midCat"/>
      </c:valAx>
    </c:plotArea>
    <c:plotVisOnly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'R06'!$I$2:$I$23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'R06'!$J$2:$J$23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'R06'!$L$23:$L$24</c:f>
              <c:numCache>
                <c:formatCode>General</c:formatCode>
                <c:ptCount val="2"/>
                <c:pt idx="0">
                  <c:v>0</c:v>
                </c:pt>
                <c:pt idx="1">
                  <c:v>0</c:v>
                </c:pt>
              </c:numCache>
            </c:numRef>
          </c:xVal>
          <c:yVal>
            <c:numRef>
              <c:f>'R06'!$M$23:$M$24</c:f>
              <c:numCache>
                <c:formatCode>General</c:formatCode>
                <c:ptCount val="2"/>
                <c:pt idx="0">
                  <c:v>0</c:v>
                </c:pt>
                <c:pt idx="1">
                  <c:v>0</c:v>
                </c:pt>
              </c:numCache>
            </c:numRef>
          </c:yVal>
        </c:ser>
        <c:axId val="50130001"/>
        <c:axId val="50130002"/>
      </c:scatterChart>
      <c:valAx>
        <c:axId val="50130001"/>
        <c:scaling>
          <c:orientation val="minMax"/>
        </c:scaling>
        <c:axPos val="b"/>
        <c:title>
          <c:tx>
            <c:rich>
              <a:bodyPr/>
              <a:lstStyle/>
              <a:p>
                <a:pPr>
                  <a:defRPr/>
                </a:pPr>
                <a:r>
                  <a:rPr lang="en-US"/>
                  <a:t>Retardo respecto al centro (fs)</a:t>
                </a:r>
              </a:p>
            </c:rich>
          </c:tx>
          <c:layout/>
        </c:title>
        <c:numFmt formatCode="General" sourceLinked="1"/>
        <c:tickLblPos val="nextTo"/>
        <c:crossAx val="50130002"/>
        <c:crosses val="autoZero"/>
        <c:crossBetween val="midCat"/>
      </c:valAx>
      <c:valAx>
        <c:axId val="5013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3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'R07'!$A$2:$A$23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'R07'!$B$2:$B$23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40001"/>
        <c:axId val="50140002"/>
      </c:scatterChart>
      <c:valAx>
        <c:axId val="5014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40002"/>
        <c:crosses val="autoZero"/>
        <c:crossBetween val="midCat"/>
      </c:valAx>
      <c:valAx>
        <c:axId val="5014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40001"/>
        <c:crosses val="autoZero"/>
        <c:crossBetween val="midCat"/>
      </c:valAx>
    </c:plotArea>
    <c:plotVisOnly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'R07'!$I$2:$I$23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'R07'!$J$2:$J$23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'R07'!$L$23:$L$24</c:f>
              <c:numCache>
                <c:formatCode>General</c:formatCode>
                <c:ptCount val="2"/>
                <c:pt idx="0">
                  <c:v>0</c:v>
                </c:pt>
                <c:pt idx="1">
                  <c:v>0</c:v>
                </c:pt>
              </c:numCache>
            </c:numRef>
          </c:xVal>
          <c:yVal>
            <c:numRef>
              <c:f>'R07'!$M$23:$M$24</c:f>
              <c:numCache>
                <c:formatCode>General</c:formatCode>
                <c:ptCount val="2"/>
                <c:pt idx="0">
                  <c:v>0</c:v>
                </c:pt>
                <c:pt idx="1">
                  <c:v>0</c:v>
                </c:pt>
              </c:numCache>
            </c:numRef>
          </c:yVal>
        </c:ser>
        <c:axId val="50150001"/>
        <c:axId val="50150002"/>
      </c:scatterChart>
      <c:valAx>
        <c:axId val="50150001"/>
        <c:scaling>
          <c:orientation val="minMax"/>
        </c:scaling>
        <c:axPos val="b"/>
        <c:title>
          <c:tx>
            <c:rich>
              <a:bodyPr/>
              <a:lstStyle/>
              <a:p>
                <a:pPr>
                  <a:defRPr/>
                </a:pPr>
                <a:r>
                  <a:rPr lang="en-US"/>
                  <a:t>Retardo respecto al centro (fs)</a:t>
                </a:r>
              </a:p>
            </c:rich>
          </c:tx>
          <c:layout/>
        </c:title>
        <c:numFmt formatCode="General" sourceLinked="1"/>
        <c:tickLblPos val="nextTo"/>
        <c:crossAx val="50150002"/>
        <c:crosses val="autoZero"/>
        <c:crossBetween val="midCat"/>
      </c:valAx>
      <c:valAx>
        <c:axId val="5015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5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'R08'!$A$2:$A$23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'R08'!$B$2:$B$23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60001"/>
        <c:axId val="50160002"/>
      </c:scatterChart>
      <c:valAx>
        <c:axId val="5016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60002"/>
        <c:crosses val="autoZero"/>
        <c:crossBetween val="midCat"/>
      </c:valAx>
      <c:valAx>
        <c:axId val="5016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60001"/>
        <c:crosses val="autoZero"/>
        <c:crossBetween val="midCat"/>
      </c:valAx>
    </c:plotArea>
    <c:plotVisOnly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'R08'!$I$2:$I$23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'R08'!$J$2:$J$23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'R08'!$L$23:$L$24</c:f>
              <c:numCache>
                <c:formatCode>General</c:formatCode>
                <c:ptCount val="2"/>
                <c:pt idx="0">
                  <c:v>0</c:v>
                </c:pt>
                <c:pt idx="1">
                  <c:v>0</c:v>
                </c:pt>
              </c:numCache>
            </c:numRef>
          </c:xVal>
          <c:yVal>
            <c:numRef>
              <c:f>'R08'!$M$23:$M$24</c:f>
              <c:numCache>
                <c:formatCode>General</c:formatCode>
                <c:ptCount val="2"/>
                <c:pt idx="0">
                  <c:v>0</c:v>
                </c:pt>
                <c:pt idx="1">
                  <c:v>0</c:v>
                </c:pt>
              </c:numCache>
            </c:numRef>
          </c:yVal>
        </c:ser>
        <c:axId val="50170001"/>
        <c:axId val="50170002"/>
      </c:scatterChart>
      <c:valAx>
        <c:axId val="50170001"/>
        <c:scaling>
          <c:orientation val="minMax"/>
        </c:scaling>
        <c:axPos val="b"/>
        <c:title>
          <c:tx>
            <c:rich>
              <a:bodyPr/>
              <a:lstStyle/>
              <a:p>
                <a:pPr>
                  <a:defRPr/>
                </a:pPr>
                <a:r>
                  <a:rPr lang="en-US"/>
                  <a:t>Retardo respecto al centro (fs)</a:t>
                </a:r>
              </a:p>
            </c:rich>
          </c:tx>
          <c:layout/>
        </c:title>
        <c:numFmt formatCode="General" sourceLinked="1"/>
        <c:tickLblPos val="nextTo"/>
        <c:crossAx val="50170002"/>
        <c:crosses val="autoZero"/>
        <c:crossBetween val="midCat"/>
      </c:valAx>
      <c:valAx>
        <c:axId val="5017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7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'R09'!$A$2:$A$23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'R09'!$B$2:$B$23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180001"/>
        <c:axId val="50180002"/>
      </c:scatterChart>
      <c:valAx>
        <c:axId val="5018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180002"/>
        <c:crosses val="autoZero"/>
        <c:crossBetween val="midCat"/>
      </c:valAx>
      <c:valAx>
        <c:axId val="5018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180001"/>
        <c:crosses val="autoZero"/>
        <c:crossBetween val="midCat"/>
      </c:valAx>
    </c:plotArea>
    <c:plotVisOnly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'R09'!$I$2:$I$23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'R09'!$J$2:$J$23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'R09'!$L$23:$L$24</c:f>
              <c:numCache>
                <c:formatCode>General</c:formatCode>
                <c:ptCount val="2"/>
                <c:pt idx="0">
                  <c:v>0</c:v>
                </c:pt>
                <c:pt idx="1">
                  <c:v>0</c:v>
                </c:pt>
              </c:numCache>
            </c:numRef>
          </c:xVal>
          <c:yVal>
            <c:numRef>
              <c:f>'R09'!$M$23:$M$24</c:f>
              <c:numCache>
                <c:formatCode>General</c:formatCode>
                <c:ptCount val="2"/>
                <c:pt idx="0">
                  <c:v>0</c:v>
                </c:pt>
                <c:pt idx="1">
                  <c:v>0</c:v>
                </c:pt>
              </c:numCache>
            </c:numRef>
          </c:yVal>
        </c:ser>
        <c:axId val="50190001"/>
        <c:axId val="50190002"/>
      </c:scatterChart>
      <c:valAx>
        <c:axId val="50190001"/>
        <c:scaling>
          <c:orientation val="minMax"/>
        </c:scaling>
        <c:axPos val="b"/>
        <c:title>
          <c:tx>
            <c:rich>
              <a:bodyPr/>
              <a:lstStyle/>
              <a:p>
                <a:pPr>
                  <a:defRPr/>
                </a:pPr>
                <a:r>
                  <a:rPr lang="en-US"/>
                  <a:t>Retardo respecto al centro (fs)</a:t>
                </a:r>
              </a:p>
            </c:rich>
          </c:tx>
          <c:layout/>
        </c:title>
        <c:numFmt formatCode="General" sourceLinked="1"/>
        <c:tickLblPos val="nextTo"/>
        <c:crossAx val="50190002"/>
        <c:crosses val="autoZero"/>
        <c:crossBetween val="midCat"/>
      </c:valAx>
      <c:valAx>
        <c:axId val="5019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19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'R10'!$A$2:$A$23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'R10'!$B$2:$B$23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200001"/>
        <c:axId val="50200002"/>
      </c:scatterChart>
      <c:valAx>
        <c:axId val="5020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200002"/>
        <c:crosses val="autoZero"/>
        <c:crossBetween val="midCat"/>
      </c:valAx>
      <c:valAx>
        <c:axId val="5020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200001"/>
        <c:crosses val="autoZero"/>
        <c:crossBetween val="midCat"/>
      </c:valAx>
    </c:plotArea>
    <c:plotVisOnly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'R10'!$I$2:$I$23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'R10'!$J$2:$J$23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'R10'!$L$23:$L$24</c:f>
              <c:numCache>
                <c:formatCode>General</c:formatCode>
                <c:ptCount val="2"/>
                <c:pt idx="0">
                  <c:v>0</c:v>
                </c:pt>
                <c:pt idx="1">
                  <c:v>0</c:v>
                </c:pt>
              </c:numCache>
            </c:numRef>
          </c:xVal>
          <c:yVal>
            <c:numRef>
              <c:f>'R10'!$M$23:$M$24</c:f>
              <c:numCache>
                <c:formatCode>General</c:formatCode>
                <c:ptCount val="2"/>
                <c:pt idx="0">
                  <c:v>0</c:v>
                </c:pt>
                <c:pt idx="1">
                  <c:v>0</c:v>
                </c:pt>
              </c:numCache>
            </c:numRef>
          </c:yVal>
        </c:ser>
        <c:axId val="50210001"/>
        <c:axId val="50210002"/>
      </c:scatterChart>
      <c:valAx>
        <c:axId val="50210001"/>
        <c:scaling>
          <c:orientation val="minMax"/>
        </c:scaling>
        <c:axPos val="b"/>
        <c:title>
          <c:tx>
            <c:rich>
              <a:bodyPr/>
              <a:lstStyle/>
              <a:p>
                <a:pPr>
                  <a:defRPr/>
                </a:pPr>
                <a:r>
                  <a:rPr lang="en-US"/>
                  <a:t>Retardo respecto al centro (fs)</a:t>
                </a:r>
              </a:p>
            </c:rich>
          </c:tx>
          <c:layout/>
        </c:title>
        <c:numFmt formatCode="General" sourceLinked="1"/>
        <c:tickLblPos val="nextTo"/>
        <c:crossAx val="50210002"/>
        <c:crosses val="autoZero"/>
        <c:crossBetween val="midCat"/>
      </c:valAx>
      <c:valAx>
        <c:axId val="5021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21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'R11'!$A$2:$A$23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'R11'!$B$2:$B$23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220001"/>
        <c:axId val="50220002"/>
      </c:scatterChart>
      <c:valAx>
        <c:axId val="5022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220002"/>
        <c:crosses val="autoZero"/>
        <c:crossBetween val="midCat"/>
      </c:valAx>
      <c:valAx>
        <c:axId val="5022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220001"/>
        <c:crosses val="autoZero"/>
        <c:crossBetween val="midCat"/>
      </c:valAx>
    </c:plotArea>
    <c:plotVisOnly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'R11'!$I$2:$I$23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'R11'!$J$2:$J$23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'R11'!$L$23:$L$24</c:f>
              <c:numCache>
                <c:formatCode>General</c:formatCode>
                <c:ptCount val="2"/>
                <c:pt idx="0">
                  <c:v>0</c:v>
                </c:pt>
                <c:pt idx="1">
                  <c:v>0</c:v>
                </c:pt>
              </c:numCache>
            </c:numRef>
          </c:xVal>
          <c:yVal>
            <c:numRef>
              <c:f>'R11'!$M$23:$M$24</c:f>
              <c:numCache>
                <c:formatCode>General</c:formatCode>
                <c:ptCount val="2"/>
                <c:pt idx="0">
                  <c:v>0</c:v>
                </c:pt>
                <c:pt idx="1">
                  <c:v>0</c:v>
                </c:pt>
              </c:numCache>
            </c:numRef>
          </c:yVal>
        </c:ser>
        <c:axId val="50230001"/>
        <c:axId val="50230002"/>
      </c:scatterChart>
      <c:valAx>
        <c:axId val="50230001"/>
        <c:scaling>
          <c:orientation val="minMax"/>
        </c:scaling>
        <c:axPos val="b"/>
        <c:title>
          <c:tx>
            <c:rich>
              <a:bodyPr/>
              <a:lstStyle/>
              <a:p>
                <a:pPr>
                  <a:defRPr/>
                </a:pPr>
                <a:r>
                  <a:rPr lang="en-US"/>
                  <a:t>Retardo respecto al centro (fs)</a:t>
                </a:r>
              </a:p>
            </c:rich>
          </c:tx>
          <c:layout/>
        </c:title>
        <c:numFmt formatCode="General" sourceLinked="1"/>
        <c:tickLblPos val="nextTo"/>
        <c:crossAx val="50230002"/>
        <c:crosses val="autoZero"/>
        <c:crossBetween val="midCat"/>
      </c:valAx>
      <c:valAx>
        <c:axId val="5023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23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Traza cruda: potencia óptica contra posición</a:t>
            </a:r>
          </a:p>
        </c:rich>
      </c:tx>
      <c:layout/>
    </c:title>
    <c:plotArea>
      <c:layout/>
      <c:scatterChart>
        <c:scatterStyle val="lineMarker"/>
        <c:ser>
          <c:idx val="0"/>
          <c:order val="0"/>
          <c:tx>
            <c:v>Datos crudos</c:v>
          </c:tx>
          <c:spPr>
            <a:ln w="9525">
              <a:solidFill>
                <a:srgbClr val="BFBFBF"/>
              </a:solidFill>
            </a:ln>
          </c:spPr>
          <c:marker>
            <c:symbol val="circle"/>
            <c:size val="5"/>
            <c:spPr>
              <a:solidFill>
                <a:srgbClr val="7F7F7F"/>
              </a:solidFill>
              <a:ln>
                <a:solidFill>
                  <a:srgbClr val="7F7F7F"/>
                </a:solidFill>
              </a:ln>
            </c:spPr>
          </c:marker>
          <c:xVal>
            <c:numRef>
              <c:f>'R12'!$A$2:$A$23</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numCache>
            </c:numRef>
          </c:xVal>
          <c:yVal>
            <c:numRef>
              <c:f>'R12'!$B$2:$B$23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axId val="50240001"/>
        <c:axId val="50240002"/>
      </c:scatterChart>
      <c:valAx>
        <c:axId val="50240001"/>
        <c:scaling>
          <c:orientation val="minMax"/>
          <c:max val="210.0"/>
          <c:min val="0"/>
        </c:scaling>
        <c:axPos val="b"/>
        <c:title>
          <c:tx>
            <c:rich>
              <a:bodyPr/>
              <a:lstStyle/>
              <a:p>
                <a:pPr>
                  <a:defRPr/>
                </a:pPr>
                <a:r>
                  <a:rPr lang="en-US"/>
                  <a:t>Posición del micrómetro (µm)</a:t>
                </a:r>
              </a:p>
            </c:rich>
          </c:tx>
          <c:layout/>
        </c:title>
        <c:numFmt formatCode="General" sourceLinked="1"/>
        <c:tickLblPos val="nextTo"/>
        <c:crossAx val="50240002"/>
        <c:crosses val="autoZero"/>
        <c:crossBetween val="midCat"/>
      </c:valAx>
      <c:valAx>
        <c:axId val="50240002"/>
        <c:scaling>
          <c:orientation val="minMax"/>
        </c:scaling>
        <c:axPos val="l"/>
        <c:majorGridlines>
          <c:spPr>
            <a:ln>
              <a:solidFill>
                <a:srgbClr val="EEEEEE"/>
              </a:solidFill>
            </a:ln>
          </c:spPr>
        </c:majorGridlines>
        <c:title>
          <c:tx>
            <c:rich>
              <a:bodyPr rot="-5400000" vert="horz"/>
              <a:lstStyle/>
              <a:p>
                <a:pPr>
                  <a:defRPr/>
                </a:pPr>
                <a:r>
                  <a:rPr lang="en-US"/>
                  <a:t>Potencia óptica (W)</a:t>
                </a:r>
              </a:p>
            </c:rich>
          </c:tx>
          <c:layout/>
        </c:title>
        <c:numFmt formatCode="0.0E+00" sourceLinked="0"/>
        <c:tickLblPos val="nextTo"/>
        <c:crossAx val="50240001"/>
        <c:crosses val="autoZero"/>
        <c:crossBetween val="midCat"/>
      </c:valAx>
    </c:plotArea>
    <c:plotVisOnly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Autocorrelación normalizada contra retardo</a:t>
            </a:r>
          </a:p>
        </c:rich>
      </c:tx>
      <c:layout/>
    </c:title>
    <c:plotArea>
      <c:layout/>
      <c:scatterChart>
        <c:scatterStyle val="lineMarker"/>
        <c:ser>
          <c:idx val="0"/>
          <c:order val="0"/>
          <c:tx>
            <c:v>Traza normalizada</c:v>
          </c:tx>
          <c:spPr>
            <a:ln w="9525">
              <a:solidFill>
                <a:srgbClr val="8EA9DB"/>
              </a:solidFill>
            </a:ln>
          </c:spPr>
          <c:marker>
            <c:symbol val="circle"/>
            <c:size val="5"/>
            <c:spPr>
              <a:solidFill>
                <a:srgbClr val="1F3864"/>
              </a:solidFill>
              <a:ln>
                <a:solidFill>
                  <a:srgbClr val="1F3864"/>
                </a:solidFill>
              </a:ln>
            </c:spPr>
          </c:marker>
          <c:xVal>
            <c:numRef>
              <c:f>'R12'!$I$2:$I$23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'R12'!$J$2:$J$23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er>
        <c:ser>
          <c:idx val="1"/>
          <c:order val="1"/>
          <c:tx>
            <c:v>Ancho a media altura</c:v>
          </c:tx>
          <c:spPr>
            <a:ln w="25400">
              <a:solidFill>
                <a:srgbClr val="C00000"/>
              </a:solidFill>
            </a:ln>
          </c:spPr>
          <c:marker>
            <c:symbol val="diamond"/>
            <c:size val="7"/>
            <c:spPr>
              <a:solidFill>
                <a:srgbClr val="C00000"/>
              </a:solidFill>
              <a:ln>
                <a:solidFill>
                  <a:srgbClr val="C00000"/>
                </a:solidFill>
              </a:ln>
            </c:spPr>
          </c:marker>
          <c:xVal>
            <c:numRef>
              <c:f>'R12'!$L$23:$L$24</c:f>
              <c:numCache>
                <c:formatCode>General</c:formatCode>
                <c:ptCount val="2"/>
                <c:pt idx="0">
                  <c:v>0</c:v>
                </c:pt>
                <c:pt idx="1">
                  <c:v>0</c:v>
                </c:pt>
              </c:numCache>
            </c:numRef>
          </c:xVal>
          <c:yVal>
            <c:numRef>
              <c:f>'R12'!$M$23:$M$24</c:f>
              <c:numCache>
                <c:formatCode>General</c:formatCode>
                <c:ptCount val="2"/>
                <c:pt idx="0">
                  <c:v>0</c:v>
                </c:pt>
                <c:pt idx="1">
                  <c:v>0</c:v>
                </c:pt>
              </c:numCache>
            </c:numRef>
          </c:yVal>
        </c:ser>
        <c:axId val="50250001"/>
        <c:axId val="50250002"/>
      </c:scatterChart>
      <c:valAx>
        <c:axId val="50250001"/>
        <c:scaling>
          <c:orientation val="minMax"/>
        </c:scaling>
        <c:axPos val="b"/>
        <c:title>
          <c:tx>
            <c:rich>
              <a:bodyPr/>
              <a:lstStyle/>
              <a:p>
                <a:pPr>
                  <a:defRPr/>
                </a:pPr>
                <a:r>
                  <a:rPr lang="en-US"/>
                  <a:t>Retardo respecto al centro (fs)</a:t>
                </a:r>
              </a:p>
            </c:rich>
          </c:tx>
          <c:layout/>
        </c:title>
        <c:numFmt formatCode="General" sourceLinked="1"/>
        <c:tickLblPos val="nextTo"/>
        <c:crossAx val="50250002"/>
        <c:crosses val="autoZero"/>
        <c:crossBetween val="midCat"/>
      </c:valAx>
      <c:valAx>
        <c:axId val="50250002"/>
        <c:scaling>
          <c:orientation val="minMax"/>
          <c:max val="1.1"/>
          <c:min val="-0.1"/>
        </c:scaling>
        <c:axPos val="l"/>
        <c:majorGridlines>
          <c:spPr>
            <a:ln>
              <a:solidFill>
                <a:srgbClr val="EEEEEE"/>
              </a:solidFill>
            </a:ln>
          </c:spPr>
        </c:majorGridlines>
        <c:title>
          <c:tx>
            <c:rich>
              <a:bodyPr rot="-5400000" vert="horz"/>
              <a:lstStyle/>
              <a:p>
                <a:pPr>
                  <a:defRPr/>
                </a:pPr>
                <a:r>
                  <a:rPr lang="en-US"/>
                  <a:t>Señal normalizada</a:t>
                </a:r>
              </a:p>
            </c:rich>
          </c:tx>
          <c:layout/>
        </c:title>
        <c:numFmt formatCode="General" sourceLinked="1"/>
        <c:tickLblPos val="nextTo"/>
        <c:crossAx val="50250001"/>
        <c:crosses val="autoZero"/>
        <c:crossBetween val="midCat"/>
      </c:valAx>
    </c:plotArea>
    <c:legend>
      <c:legendPos val="b"/>
      <c:layout/>
    </c:legend>
    <c:plotVisOnly val="1"/>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4.xml"/><Relationship Id="rId2"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0</xdr:rowOff>
    </xdr:from>
    <xdr:to>
      <xdr:col>12</xdr:col>
      <xdr:colOff>457200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0</xdr:colOff>
      <xdr:row>27</xdr:row>
      <xdr:rowOff>0</xdr:rowOff>
    </xdr:from>
    <xdr:to>
      <xdr:col>16</xdr:col>
      <xdr:colOff>247650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43</xdr:row>
      <xdr:rowOff>0</xdr:rowOff>
    </xdr:from>
    <xdr:to>
      <xdr:col>16</xdr:col>
      <xdr:colOff>247650</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A11"/>
  <sheetViews>
    <sheetView tabSelected="1" workbookViewId="0"/>
  </sheetViews>
  <sheetFormatPr defaultRowHeight="15"/>
  <cols>
    <col min="1" max="1" width="110.7109375" customWidth="1"/>
  </cols>
  <sheetData>
    <row r="1" spans="1:1">
      <c r="A1" s="1" t="s">
        <v>0</v>
      </c>
    </row>
    <row r="2" spans="1:1">
      <c r="A2" s="2" t="s">
        <v>1</v>
      </c>
    </row>
    <row r="4" spans="1:1" ht="42" customHeight="1">
      <c r="A4" s="3" t="s">
        <v>2</v>
      </c>
    </row>
    <row r="5" spans="1:1" ht="42" customHeight="1">
      <c r="A5" s="3" t="s">
        <v>3</v>
      </c>
    </row>
    <row r="6" spans="1:1" ht="42" customHeight="1">
      <c r="A6" s="3" t="s">
        <v>4</v>
      </c>
    </row>
    <row r="7" spans="1:1" ht="42" customHeight="1">
      <c r="A7" s="3" t="s">
        <v>5</v>
      </c>
    </row>
    <row r="8" spans="1:1" ht="42" customHeight="1">
      <c r="A8" s="3" t="s">
        <v>6</v>
      </c>
    </row>
    <row r="9" spans="1:1" ht="42" customHeight="1">
      <c r="A9" s="3" t="s">
        <v>7</v>
      </c>
    </row>
    <row r="10" spans="1:1" ht="42" customHeight="1">
      <c r="A10" s="3" t="s">
        <v>8</v>
      </c>
    </row>
    <row r="11" spans="1:1" ht="42" customHeight="1">
      <c r="A11" s="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heetViews>
  <sheetFormatPr defaultRowHeight="15"/>
  <cols>
    <col min="1" max="1" width="50.7109375" customWidth="1"/>
    <col min="2" max="2" width="16.7109375" customWidth="1"/>
    <col min="3" max="3" width="70.7109375" customWidth="1"/>
  </cols>
  <sheetData>
    <row r="1" spans="1:3">
      <c r="A1" s="1" t="s">
        <v>10</v>
      </c>
    </row>
    <row r="2" spans="1:3">
      <c r="A2" s="2" t="s">
        <v>11</v>
      </c>
    </row>
    <row r="4" spans="1:3">
      <c r="A4" s="4" t="s">
        <v>12</v>
      </c>
      <c r="B4" s="4" t="s">
        <v>13</v>
      </c>
      <c r="C4" s="4" t="s">
        <v>14</v>
      </c>
    </row>
    <row r="5" spans="1:3">
      <c r="A5" s="5" t="s">
        <v>15</v>
      </c>
      <c r="B5" s="6">
        <v>6</v>
      </c>
      <c r="C5" s="7" t="s">
        <v>16</v>
      </c>
    </row>
    <row r="6" spans="1:3">
      <c r="A6" s="5" t="s">
        <v>17</v>
      </c>
      <c r="B6" s="6">
        <v>76</v>
      </c>
      <c r="C6" s="7" t="s">
        <v>18</v>
      </c>
    </row>
    <row r="7" spans="1:3">
      <c r="A7" s="5" t="s">
        <v>19</v>
      </c>
      <c r="B7" s="6">
        <v>378</v>
      </c>
      <c r="C7" s="7" t="s">
        <v>20</v>
      </c>
    </row>
    <row r="8" spans="1:3">
      <c r="A8" s="5" t="s">
        <v>21</v>
      </c>
      <c r="B8" s="6">
        <v>10</v>
      </c>
      <c r="C8" s="7" t="s">
        <v>22</v>
      </c>
    </row>
    <row r="9" spans="1:3">
      <c r="A9" s="5" t="s">
        <v>23</v>
      </c>
      <c r="B9" s="6">
        <v>2</v>
      </c>
      <c r="C9" s="7" t="s">
        <v>24</v>
      </c>
    </row>
    <row r="10" spans="1:3">
      <c r="A10" s="5" t="s">
        <v>25</v>
      </c>
      <c r="B10" s="8">
        <v>299792458</v>
      </c>
      <c r="C10" s="7" t="s">
        <v>26</v>
      </c>
    </row>
    <row r="11" spans="1:3">
      <c r="A11" s="5" t="s">
        <v>27</v>
      </c>
      <c r="B11" s="9">
        <f>pasos*10^-6/c_luz*10^15</f>
        <v>0</v>
      </c>
      <c r="C11" s="7" t="s">
        <v>28</v>
      </c>
    </row>
    <row r="12" spans="1:3">
      <c r="A12" s="5" t="s">
        <v>29</v>
      </c>
      <c r="B12" s="6">
        <v>0.65</v>
      </c>
      <c r="C12" s="7" t="s">
        <v>30</v>
      </c>
    </row>
    <row r="13" spans="1:3">
      <c r="A13" s="5" t="s">
        <v>31</v>
      </c>
      <c r="B13" s="10">
        <v>2</v>
      </c>
      <c r="C13" s="7" t="s">
        <v>32</v>
      </c>
    </row>
    <row r="14" spans="1:3">
      <c r="A14" s="5" t="s">
        <v>33</v>
      </c>
      <c r="B14" s="10">
        <v>0</v>
      </c>
      <c r="C14" s="7" t="s">
        <v>34</v>
      </c>
    </row>
    <row r="15" spans="1:3">
      <c r="A15" s="5" t="s">
        <v>35</v>
      </c>
      <c r="B15" s="10">
        <v>4</v>
      </c>
      <c r="C15" s="7" t="s">
        <v>36</v>
      </c>
    </row>
    <row r="16" spans="1:3">
      <c r="A16" s="5" t="s">
        <v>37</v>
      </c>
      <c r="B16" s="6">
        <v>2</v>
      </c>
      <c r="C16" s="7" t="s">
        <v>38</v>
      </c>
    </row>
    <row r="17" spans="1:3">
      <c r="A17" s="5" t="s">
        <v>39</v>
      </c>
      <c r="B17" s="6">
        <v>0.05</v>
      </c>
      <c r="C17" s="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3"/>
  <sheetViews>
    <sheetView workbookViewId="0">
      <pane ySplit="6" topLeftCell="A7" activePane="bottomLeft" state="frozen"/>
      <selection pane="bottomLeft"/>
    </sheetView>
  </sheetViews>
  <sheetFormatPr defaultRowHeight="15"/>
  <cols>
    <col min="1" max="1" width="5.7109375" customWidth="1"/>
    <col min="2" max="2" width="8.7109375" customWidth="1"/>
    <col min="3" max="3" width="16.7109375" customWidth="1"/>
    <col min="4" max="6" width="11.7109375" customWidth="1"/>
    <col min="7" max="7" width="12.7109375" customWidth="1"/>
    <col min="8" max="8" width="13.7109375" customWidth="1"/>
    <col min="9" max="9" width="9.7109375" customWidth="1"/>
    <col min="10" max="10" width="36.7109375" customWidth="1"/>
    <col min="11" max="12" width="12.7109375" customWidth="1"/>
    <col min="13" max="13" width="36.7109375" customWidth="1"/>
    <col min="14" max="14" width="12.7109375" customWidth="1"/>
  </cols>
  <sheetData>
    <row r="1" spans="1:14">
      <c r="A1" s="1" t="s">
        <v>86</v>
      </c>
    </row>
    <row r="2" spans="1:14">
      <c r="A2" s="2" t="s">
        <v>87</v>
      </c>
    </row>
    <row r="4" spans="1:14" ht="30" customHeight="1">
      <c r="A4" s="11" t="s">
        <v>88</v>
      </c>
      <c r="B4" s="12" t="s">
        <v>89</v>
      </c>
      <c r="C4" s="12"/>
      <c r="D4" s="11" t="s">
        <v>90</v>
      </c>
      <c r="E4" s="13"/>
      <c r="F4" s="11" t="s">
        <v>91</v>
      </c>
      <c r="G4" s="14">
        <f>corriente</f>
        <v>0</v>
      </c>
      <c r="H4" s="11" t="s">
        <v>92</v>
      </c>
      <c r="I4" s="12"/>
      <c r="J4" s="11" t="s">
        <v>93</v>
      </c>
      <c r="K4" s="12"/>
      <c r="L4" s="12"/>
      <c r="M4" s="12"/>
    </row>
    <row r="6" spans="1:14" ht="42" customHeight="1">
      <c r="A6" s="4" t="s">
        <v>94</v>
      </c>
      <c r="B6" s="4" t="s">
        <v>95</v>
      </c>
      <c r="C6" s="4" t="s">
        <v>96</v>
      </c>
      <c r="D6" s="4" t="s">
        <v>97</v>
      </c>
      <c r="E6" s="4" t="s">
        <v>98</v>
      </c>
      <c r="F6" s="4" t="s">
        <v>99</v>
      </c>
      <c r="G6" s="4" t="s">
        <v>100</v>
      </c>
      <c r="H6" s="4" t="s">
        <v>69</v>
      </c>
      <c r="I6" s="4" t="s">
        <v>101</v>
      </c>
      <c r="J6" s="4" t="s">
        <v>102</v>
      </c>
      <c r="K6" s="4" t="s">
        <v>103</v>
      </c>
      <c r="L6" s="4" t="s">
        <v>104</v>
      </c>
      <c r="M6" s="4" t="s">
        <v>70</v>
      </c>
      <c r="N6" s="4" t="s">
        <v>105</v>
      </c>
    </row>
    <row r="7" spans="1:14">
      <c r="A7" s="10">
        <v>1</v>
      </c>
      <c r="B7" s="15" t="s">
        <v>106</v>
      </c>
      <c r="C7" s="13"/>
      <c r="D7" s="13"/>
      <c r="E7" s="6">
        <f>IF(AND(ISNUMBER(C7),ISNUMBER(D7)),(D7-C7)*1440,"")</f>
        <v>0</v>
      </c>
      <c r="F7" s="6">
        <f>IF(AND(ISNUMBER(C7),ISNUMBER(C8)),(C8-C7)*1440,"")</f>
        <v>0</v>
      </c>
      <c r="G7" s="12"/>
      <c r="H7" s="16">
        <f>IFERROR('R01'!$M$19+0,"")</f>
        <v>0</v>
      </c>
      <c r="I7" s="12" t="s">
        <v>107</v>
      </c>
      <c r="J7" s="17"/>
      <c r="K7" s="14">
        <f>IFERROR('R01'!$M$12+0,"")</f>
        <v>0</v>
      </c>
      <c r="L7" s="14">
        <f>IFERROR('R01'!$M$13+0,"")</f>
        <v>0</v>
      </c>
      <c r="M7" s="15">
        <f>'R01'!$M$20</f>
        <v>0</v>
      </c>
      <c r="N7" s="6">
        <f>IF(AND(ISNUMBER(L7),I7&lt;&gt;"No"),L7,"")</f>
        <v>0</v>
      </c>
    </row>
    <row r="8" spans="1:14">
      <c r="A8" s="10">
        <v>2</v>
      </c>
      <c r="B8" s="15" t="s">
        <v>108</v>
      </c>
      <c r="C8" s="13"/>
      <c r="D8" s="13"/>
      <c r="E8" s="6">
        <f>IF(AND(ISNUMBER(C8),ISNUMBER(D8)),(D8-C8)*1440,"")</f>
        <v>0</v>
      </c>
      <c r="F8" s="6">
        <f>IF(AND(ISNUMBER(C8),ISNUMBER(C9)),(C9-C8)*1440,"")</f>
        <v>0</v>
      </c>
      <c r="G8" s="12"/>
      <c r="H8" s="16">
        <f>IFERROR('R02'!$M$19+0,"")</f>
        <v>0</v>
      </c>
      <c r="I8" s="12" t="s">
        <v>107</v>
      </c>
      <c r="J8" s="17"/>
      <c r="K8" s="14">
        <f>IFERROR('R02'!$M$12+0,"")</f>
        <v>0</v>
      </c>
      <c r="L8" s="14">
        <f>IFERROR('R02'!$M$13+0,"")</f>
        <v>0</v>
      </c>
      <c r="M8" s="15">
        <f>'R02'!$M$20</f>
        <v>0</v>
      </c>
      <c r="N8" s="6">
        <f>IF(AND(ISNUMBER(L8),I8&lt;&gt;"No"),L8,"")</f>
        <v>0</v>
      </c>
    </row>
    <row r="9" spans="1:14">
      <c r="A9" s="10">
        <v>3</v>
      </c>
      <c r="B9" s="15" t="s">
        <v>109</v>
      </c>
      <c r="C9" s="13"/>
      <c r="D9" s="13"/>
      <c r="E9" s="6">
        <f>IF(AND(ISNUMBER(C9),ISNUMBER(D9)),(D9-C9)*1440,"")</f>
        <v>0</v>
      </c>
      <c r="F9" s="6">
        <f>IF(AND(ISNUMBER(C9),ISNUMBER(C10)),(C10-C9)*1440,"")</f>
        <v>0</v>
      </c>
      <c r="G9" s="12"/>
      <c r="H9" s="16">
        <f>IFERROR('R03'!$M$19+0,"")</f>
        <v>0</v>
      </c>
      <c r="I9" s="12" t="s">
        <v>107</v>
      </c>
      <c r="J9" s="17"/>
      <c r="K9" s="14">
        <f>IFERROR('R03'!$M$12+0,"")</f>
        <v>0</v>
      </c>
      <c r="L9" s="14">
        <f>IFERROR('R03'!$M$13+0,"")</f>
        <v>0</v>
      </c>
      <c r="M9" s="15">
        <f>'R03'!$M$20</f>
        <v>0</v>
      </c>
      <c r="N9" s="6">
        <f>IF(AND(ISNUMBER(L9),I9&lt;&gt;"No"),L9,"")</f>
        <v>0</v>
      </c>
    </row>
    <row r="10" spans="1:14">
      <c r="A10" s="10">
        <v>4</v>
      </c>
      <c r="B10" s="15" t="s">
        <v>110</v>
      </c>
      <c r="C10" s="13"/>
      <c r="D10" s="13"/>
      <c r="E10" s="6">
        <f>IF(AND(ISNUMBER(C10),ISNUMBER(D10)),(D10-C10)*1440,"")</f>
        <v>0</v>
      </c>
      <c r="F10" s="6">
        <f>IF(AND(ISNUMBER(C10),ISNUMBER(C11)),(C11-C10)*1440,"")</f>
        <v>0</v>
      </c>
      <c r="G10" s="12"/>
      <c r="H10" s="16">
        <f>IFERROR('R04'!$M$19+0,"")</f>
        <v>0</v>
      </c>
      <c r="I10" s="12" t="s">
        <v>107</v>
      </c>
      <c r="J10" s="17"/>
      <c r="K10" s="14">
        <f>IFERROR('R04'!$M$12+0,"")</f>
        <v>0</v>
      </c>
      <c r="L10" s="14">
        <f>IFERROR('R04'!$M$13+0,"")</f>
        <v>0</v>
      </c>
      <c r="M10" s="15">
        <f>'R04'!$M$20</f>
        <v>0</v>
      </c>
      <c r="N10" s="6">
        <f>IF(AND(ISNUMBER(L10),I10&lt;&gt;"No"),L10,"")</f>
        <v>0</v>
      </c>
    </row>
    <row r="11" spans="1:14">
      <c r="A11" s="10">
        <v>5</v>
      </c>
      <c r="B11" s="15" t="s">
        <v>111</v>
      </c>
      <c r="C11" s="13"/>
      <c r="D11" s="13"/>
      <c r="E11" s="6">
        <f>IF(AND(ISNUMBER(C11),ISNUMBER(D11)),(D11-C11)*1440,"")</f>
        <v>0</v>
      </c>
      <c r="F11" s="6">
        <f>IF(AND(ISNUMBER(C11),ISNUMBER(C12)),(C12-C11)*1440,"")</f>
        <v>0</v>
      </c>
      <c r="G11" s="12"/>
      <c r="H11" s="16">
        <f>IFERROR('R05'!$M$19+0,"")</f>
        <v>0</v>
      </c>
      <c r="I11" s="12" t="s">
        <v>107</v>
      </c>
      <c r="J11" s="17"/>
      <c r="K11" s="14">
        <f>IFERROR('R05'!$M$12+0,"")</f>
        <v>0</v>
      </c>
      <c r="L11" s="14">
        <f>IFERROR('R05'!$M$13+0,"")</f>
        <v>0</v>
      </c>
      <c r="M11" s="15">
        <f>'R05'!$M$20</f>
        <v>0</v>
      </c>
      <c r="N11" s="6">
        <f>IF(AND(ISNUMBER(L11),I11&lt;&gt;"No"),L11,"")</f>
        <v>0</v>
      </c>
    </row>
    <row r="12" spans="1:14">
      <c r="A12" s="10">
        <v>6</v>
      </c>
      <c r="B12" s="15" t="s">
        <v>112</v>
      </c>
      <c r="C12" s="13"/>
      <c r="D12" s="13"/>
      <c r="E12" s="6">
        <f>IF(AND(ISNUMBER(C12),ISNUMBER(D12)),(D12-C12)*1440,"")</f>
        <v>0</v>
      </c>
      <c r="F12" s="6">
        <f>IF(AND(ISNUMBER(C12),ISNUMBER(C13)),(C13-C12)*1440,"")</f>
        <v>0</v>
      </c>
      <c r="G12" s="12"/>
      <c r="H12" s="16">
        <f>IFERROR('R06'!$M$19+0,"")</f>
        <v>0</v>
      </c>
      <c r="I12" s="12" t="s">
        <v>107</v>
      </c>
      <c r="J12" s="17"/>
      <c r="K12" s="14">
        <f>IFERROR('R06'!$M$12+0,"")</f>
        <v>0</v>
      </c>
      <c r="L12" s="14">
        <f>IFERROR('R06'!$M$13+0,"")</f>
        <v>0</v>
      </c>
      <c r="M12" s="15">
        <f>'R06'!$M$20</f>
        <v>0</v>
      </c>
      <c r="N12" s="6">
        <f>IF(AND(ISNUMBER(L12),I12&lt;&gt;"No"),L12,"")</f>
        <v>0</v>
      </c>
    </row>
    <row r="13" spans="1:14">
      <c r="A13" s="10">
        <v>7</v>
      </c>
      <c r="B13" s="15" t="s">
        <v>113</v>
      </c>
      <c r="C13" s="13"/>
      <c r="D13" s="13"/>
      <c r="E13" s="6">
        <f>IF(AND(ISNUMBER(C13),ISNUMBER(D13)),(D13-C13)*1440,"")</f>
        <v>0</v>
      </c>
      <c r="F13" s="6">
        <f>IF(AND(ISNUMBER(C13),ISNUMBER(C14)),(C14-C13)*1440,"")</f>
        <v>0</v>
      </c>
      <c r="G13" s="12"/>
      <c r="H13" s="16">
        <f>IFERROR('R07'!$M$19+0,"")</f>
        <v>0</v>
      </c>
      <c r="I13" s="12" t="s">
        <v>107</v>
      </c>
      <c r="J13" s="17"/>
      <c r="K13" s="14">
        <f>IFERROR('R07'!$M$12+0,"")</f>
        <v>0</v>
      </c>
      <c r="L13" s="14">
        <f>IFERROR('R07'!$M$13+0,"")</f>
        <v>0</v>
      </c>
      <c r="M13" s="15">
        <f>'R07'!$M$20</f>
        <v>0</v>
      </c>
      <c r="N13" s="6">
        <f>IF(AND(ISNUMBER(L13),I13&lt;&gt;"No"),L13,"")</f>
        <v>0</v>
      </c>
    </row>
    <row r="14" spans="1:14">
      <c r="A14" s="10">
        <v>8</v>
      </c>
      <c r="B14" s="15" t="s">
        <v>114</v>
      </c>
      <c r="C14" s="13"/>
      <c r="D14" s="13"/>
      <c r="E14" s="6">
        <f>IF(AND(ISNUMBER(C14),ISNUMBER(D14)),(D14-C14)*1440,"")</f>
        <v>0</v>
      </c>
      <c r="F14" s="6">
        <f>IF(AND(ISNUMBER(C14),ISNUMBER(C15)),(C15-C14)*1440,"")</f>
        <v>0</v>
      </c>
      <c r="G14" s="12"/>
      <c r="H14" s="16">
        <f>IFERROR('R08'!$M$19+0,"")</f>
        <v>0</v>
      </c>
      <c r="I14" s="12" t="s">
        <v>107</v>
      </c>
      <c r="J14" s="17"/>
      <c r="K14" s="14">
        <f>IFERROR('R08'!$M$12+0,"")</f>
        <v>0</v>
      </c>
      <c r="L14" s="14">
        <f>IFERROR('R08'!$M$13+0,"")</f>
        <v>0</v>
      </c>
      <c r="M14" s="15">
        <f>'R08'!$M$20</f>
        <v>0</v>
      </c>
      <c r="N14" s="6">
        <f>IF(AND(ISNUMBER(L14),I14&lt;&gt;"No"),L14,"")</f>
        <v>0</v>
      </c>
    </row>
    <row r="15" spans="1:14">
      <c r="A15" s="10">
        <v>9</v>
      </c>
      <c r="B15" s="15" t="s">
        <v>115</v>
      </c>
      <c r="C15" s="13"/>
      <c r="D15" s="13"/>
      <c r="E15" s="6">
        <f>IF(AND(ISNUMBER(C15),ISNUMBER(D15)),(D15-C15)*1440,"")</f>
        <v>0</v>
      </c>
      <c r="F15" s="6">
        <f>IF(AND(ISNUMBER(C15),ISNUMBER(C16)),(C16-C15)*1440,"")</f>
        <v>0</v>
      </c>
      <c r="G15" s="12"/>
      <c r="H15" s="16">
        <f>IFERROR('R09'!$M$19+0,"")</f>
        <v>0</v>
      </c>
      <c r="I15" s="12" t="s">
        <v>107</v>
      </c>
      <c r="J15" s="17"/>
      <c r="K15" s="14">
        <f>IFERROR('R09'!$M$12+0,"")</f>
        <v>0</v>
      </c>
      <c r="L15" s="14">
        <f>IFERROR('R09'!$M$13+0,"")</f>
        <v>0</v>
      </c>
      <c r="M15" s="15">
        <f>'R09'!$M$20</f>
        <v>0</v>
      </c>
      <c r="N15" s="6">
        <f>IF(AND(ISNUMBER(L15),I15&lt;&gt;"No"),L15,"")</f>
        <v>0</v>
      </c>
    </row>
    <row r="16" spans="1:14">
      <c r="A16" s="10">
        <v>10</v>
      </c>
      <c r="B16" s="15" t="s">
        <v>116</v>
      </c>
      <c r="C16" s="13"/>
      <c r="D16" s="13"/>
      <c r="E16" s="6">
        <f>IF(AND(ISNUMBER(C16),ISNUMBER(D16)),(D16-C16)*1440,"")</f>
        <v>0</v>
      </c>
      <c r="F16" s="6">
        <f>IF(AND(ISNUMBER(C16),ISNUMBER(C17)),(C17-C16)*1440,"")</f>
        <v>0</v>
      </c>
      <c r="G16" s="12"/>
      <c r="H16" s="16">
        <f>IFERROR('R10'!$M$19+0,"")</f>
        <v>0</v>
      </c>
      <c r="I16" s="12"/>
      <c r="J16" s="17" t="s">
        <v>117</v>
      </c>
      <c r="K16" s="14">
        <f>IFERROR('R10'!$M$12+0,"")</f>
        <v>0</v>
      </c>
      <c r="L16" s="14">
        <f>IFERROR('R10'!$M$13+0,"")</f>
        <v>0</v>
      </c>
      <c r="M16" s="15">
        <f>'R10'!$M$20</f>
        <v>0</v>
      </c>
      <c r="N16" s="6">
        <f>IF(AND(ISNUMBER(L16),I16&lt;&gt;"No"),L16,"")</f>
        <v>0</v>
      </c>
    </row>
    <row r="17" spans="1:14">
      <c r="A17" s="10">
        <v>11</v>
      </c>
      <c r="B17" s="15" t="s">
        <v>118</v>
      </c>
      <c r="C17" s="13"/>
      <c r="D17" s="13"/>
      <c r="E17" s="6">
        <f>IF(AND(ISNUMBER(C17),ISNUMBER(D17)),(D17-C17)*1440,"")</f>
        <v>0</v>
      </c>
      <c r="F17" s="6">
        <f>IF(AND(ISNUMBER(C17),ISNUMBER(C18)),(C18-C17)*1440,"")</f>
        <v>0</v>
      </c>
      <c r="G17" s="12"/>
      <c r="H17" s="16">
        <f>IFERROR('R11'!$M$19+0,"")</f>
        <v>0</v>
      </c>
      <c r="I17" s="12"/>
      <c r="J17" s="17" t="s">
        <v>117</v>
      </c>
      <c r="K17" s="14">
        <f>IFERROR('R11'!$M$12+0,"")</f>
        <v>0</v>
      </c>
      <c r="L17" s="14">
        <f>IFERROR('R11'!$M$13+0,"")</f>
        <v>0</v>
      </c>
      <c r="M17" s="15">
        <f>'R11'!$M$20</f>
        <v>0</v>
      </c>
      <c r="N17" s="6">
        <f>IF(AND(ISNUMBER(L17),I17&lt;&gt;"No"),L17,"")</f>
        <v>0</v>
      </c>
    </row>
    <row r="18" spans="1:14">
      <c r="A18" s="10">
        <v>12</v>
      </c>
      <c r="B18" s="15" t="s">
        <v>119</v>
      </c>
      <c r="C18" s="13"/>
      <c r="D18" s="13"/>
      <c r="E18" s="6">
        <f>IF(AND(ISNUMBER(C18),ISNUMBER(D18)),(D18-C18)*1440,"")</f>
        <v>0</v>
      </c>
      <c r="F18" s="6"/>
      <c r="G18" s="12"/>
      <c r="H18" s="16">
        <f>IFERROR('R12'!$M$19+0,"")</f>
        <v>0</v>
      </c>
      <c r="I18" s="12"/>
      <c r="J18" s="17" t="s">
        <v>117</v>
      </c>
      <c r="K18" s="14">
        <f>IFERROR('R12'!$M$12+0,"")</f>
        <v>0</v>
      </c>
      <c r="L18" s="14">
        <f>IFERROR('R12'!$M$13+0,"")</f>
        <v>0</v>
      </c>
      <c r="M18" s="15">
        <f>'R12'!$M$20</f>
        <v>0</v>
      </c>
      <c r="N18" s="6">
        <f>IF(AND(ISNUMBER(L18),I18&lt;&gt;"No"),L18,"")</f>
        <v>0</v>
      </c>
    </row>
    <row r="20" spans="1:14">
      <c r="D20" s="11" t="s">
        <v>120</v>
      </c>
      <c r="E20" s="6">
        <f>IF(COUNT(E7:E18)=0,"",AVERAGE(E7:E18))</f>
        <v>0</v>
      </c>
      <c r="F20" s="6">
        <f>IF(COUNT(F7:F18)=0,"",AVERAGE(F7:F18))</f>
        <v>0</v>
      </c>
    </row>
    <row r="21" spans="1:14">
      <c r="D21" s="11" t="s">
        <v>121</v>
      </c>
      <c r="E21" s="6">
        <f>IF(COUNT(C7:D18)&lt;2,"",(MAX(D7:D18)-MIN(C7:C18))*24)</f>
        <v>0</v>
      </c>
      <c r="F21" s="7" t="s">
        <v>122</v>
      </c>
    </row>
    <row r="23" spans="1:14" ht="40" customHeight="1">
      <c r="A23" s="7" t="s">
        <v>123</v>
      </c>
      <c r="B23" s="7"/>
      <c r="C23" s="7"/>
      <c r="D23" s="7"/>
      <c r="E23" s="7"/>
      <c r="F23" s="7"/>
      <c r="G23" s="7"/>
      <c r="H23" s="7"/>
      <c r="I23" s="7"/>
      <c r="J23" s="7"/>
      <c r="K23" s="7"/>
      <c r="L23" s="7"/>
      <c r="M23" s="7"/>
    </row>
  </sheetData>
  <mergeCells count="3">
    <mergeCell ref="B4:C4"/>
    <mergeCell ref="K4:M4"/>
    <mergeCell ref="A23:M23"/>
  </mergeCells>
  <conditionalFormatting sqref="A16:M18">
    <cfRule type="notContainsErrors" dxfId="4" priority="4">
      <formula>NOT(ISERROR(A16))</formula>
    </cfRule>
  </conditionalFormatting>
  <conditionalFormatting sqref="M7:M18">
    <cfRule type="cellIs" dxfId="0" priority="1" operator="equal">
      <formula>"OK"</formula>
    </cfRule>
    <cfRule type="beginsWith" dxfId="1" priority="2" operator="beginsWith" text="Aviso">
      <formula>LEFT(M7,5)="Aviso"</formula>
    </cfRule>
    <cfRule type="beginsWith" dxfId="2" priority="3" operator="beginsWith" text="Revisar">
      <formula>LEFT(M7,7)="Revisar"</formula>
    </cfRule>
  </conditionalFormatting>
  <dataValidations count="2">
    <dataValidation type="list" allowBlank="1" showInputMessage="1" showErrorMessage="1" sqref="I7:I18">
      <formula1>"Sí,No"</formula1>
    </dataValidation>
    <dataValidation type="time" allowBlank="1" showInputMessage="1" showErrorMessage="1" error="Escribir la hora como hh:mm, p. ej. 14:35" sqref="C7:D18">
      <formula1>0</formula1>
      <formula2>0.99999</formula2>
    </dataValidation>
  </dataValidations>
  <hyperlinks>
    <hyperlink ref="B7" location="'R01'!A1" display="R01"/>
    <hyperlink ref="B8" location="'R02'!A1" display="R02"/>
    <hyperlink ref="B9" location="'R03'!A1" display="R03"/>
    <hyperlink ref="B10" location="'R04'!A1" display="R04"/>
    <hyperlink ref="B11" location="'R05'!A1" display="R05"/>
    <hyperlink ref="B12" location="'R06'!A1" display="R06"/>
    <hyperlink ref="B13" location="'R07'!A1" display="R07"/>
    <hyperlink ref="B14" location="'R08'!A1" display="R08"/>
    <hyperlink ref="B15" location="'R09'!A1" display="R09"/>
    <hyperlink ref="B16" location="'R10'!A1" display="R10"/>
    <hyperlink ref="B17" location="'R11'!A1" display="R11"/>
    <hyperlink ref="B18" location="'R12'!A1" display="R1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52.7109375" customWidth="1"/>
    <col min="2" max="2" width="16.7109375" customWidth="1"/>
    <col min="3" max="3" width="60.7109375" customWidth="1"/>
  </cols>
  <sheetData>
    <row r="1" spans="1:3">
      <c r="A1" s="1" t="s">
        <v>124</v>
      </c>
    </row>
    <row r="2" spans="1:3">
      <c r="A2" s="2" t="s">
        <v>125</v>
      </c>
    </row>
    <row r="4" spans="1:3">
      <c r="A4" s="4" t="s">
        <v>126</v>
      </c>
      <c r="B4" s="4" t="s">
        <v>13</v>
      </c>
      <c r="C4" s="4" t="s">
        <v>14</v>
      </c>
    </row>
    <row r="5" spans="1:3">
      <c r="A5" s="5" t="s">
        <v>127</v>
      </c>
      <c r="B5" s="10">
        <f>COUNT('Registro'!$N$7:$N$18)</f>
        <v>0</v>
      </c>
      <c r="C5" s="7" t="s">
        <v>128</v>
      </c>
    </row>
    <row r="6" spans="1:3">
      <c r="A6" s="5" t="s">
        <v>129</v>
      </c>
      <c r="B6" s="18">
        <f>IF(B5=0,"",AVERAGE('Registro'!$N$7:$N$18))</f>
        <v>0</v>
      </c>
      <c r="C6" s="7" t="s">
        <v>130</v>
      </c>
    </row>
    <row r="7" spans="1:3">
      <c r="A7" s="5" t="s">
        <v>131</v>
      </c>
      <c r="B7" s="18">
        <f>IF(B5&lt;2,"",_xlfn.STDEV.S('Registro'!$N$7:$N$18))</f>
        <v>0</v>
      </c>
      <c r="C7" s="7"/>
    </row>
    <row r="8" spans="1:3">
      <c r="A8" s="5" t="s">
        <v>132</v>
      </c>
      <c r="B8" s="6">
        <f>IF(ISNUMBER(B7),100*B7/B6,"")</f>
        <v>0</v>
      </c>
      <c r="C8" s="7"/>
    </row>
    <row r="9" spans="1:3">
      <c r="A9" s="5" t="s">
        <v>133</v>
      </c>
      <c r="B9" s="14">
        <f>tau0</f>
        <v>0</v>
      </c>
      <c r="C9" s="7" t="s">
        <v>134</v>
      </c>
    </row>
    <row r="10" spans="1:3">
      <c r="A10" s="5" t="s">
        <v>135</v>
      </c>
      <c r="B10" s="6">
        <f>IF(ISNUMBER(B6),B6-B9,"")</f>
        <v>0</v>
      </c>
      <c r="C10" s="7"/>
    </row>
    <row r="11" spans="1:3">
      <c r="A11" s="5" t="s">
        <v>136</v>
      </c>
      <c r="B11" s="19">
        <f>IF(ISNUMBER(B7),B10/(B7/SQRT(B5)),"")</f>
        <v>0</v>
      </c>
      <c r="C11" s="7" t="s">
        <v>137</v>
      </c>
    </row>
    <row r="12" spans="1:3">
      <c r="A12" s="5" t="s">
        <v>138</v>
      </c>
      <c r="B12" s="10">
        <f>IF(B5&gt;1,B5-1,"")</f>
        <v>0</v>
      </c>
      <c r="C12" s="7"/>
    </row>
    <row r="13" spans="1:3">
      <c r="A13" s="5" t="s">
        <v>139</v>
      </c>
      <c r="B13" s="19">
        <f>IF(ISNUMBER(B12),_xlfn.T.INV.2T(alfa,B12),"")</f>
        <v>0</v>
      </c>
      <c r="C13" s="7"/>
    </row>
    <row r="14" spans="1:3">
      <c r="A14" s="5" t="s">
        <v>140</v>
      </c>
      <c r="B14" s="9">
        <f>IF(ISNUMBER(B11),_xlfn.T.DIST.2T(ABS(B11),B12),"")</f>
        <v>0</v>
      </c>
      <c r="C14" s="7"/>
    </row>
    <row r="15" spans="1:3">
      <c r="A15" s="5" t="s">
        <v>141</v>
      </c>
      <c r="B15" s="6">
        <f>IF(ISNUMBER(B13),B6-B13*B7/SQRT(B5),"")</f>
        <v>0</v>
      </c>
      <c r="C15" s="7"/>
    </row>
    <row r="16" spans="1:3">
      <c r="A16" s="5" t="s">
        <v>142</v>
      </c>
      <c r="B16" s="6">
        <f>IF(ISNUMBER(B13),B6+B13*B7/SQRT(B5),"")</f>
        <v>0</v>
      </c>
      <c r="C16" s="7"/>
    </row>
    <row r="17" spans="1:3" ht="30" customHeight="1">
      <c r="A17" s="5" t="s">
        <v>143</v>
      </c>
      <c r="B17" s="20">
        <f>IF(ISNUMBER(B14),IF(B14&lt;alfa,"Se rechaza H0: el ancho medido difiere de τ0","No se rechaza H0: no hay evidencia de diferencia con τ0"),"")</f>
        <v>0</v>
      </c>
      <c r="C17" s="7"/>
    </row>
    <row r="18" spans="1:3">
      <c r="A18" s="5" t="s">
        <v>144</v>
      </c>
      <c r="B18" s="14">
        <f>'Registro'!E20</f>
        <v>0</v>
      </c>
      <c r="C18" s="7" t="s">
        <v>145</v>
      </c>
    </row>
    <row r="20" spans="1:3">
      <c r="A20" s="7" t="s">
        <v>146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71</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75</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76</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77</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78</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79</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80</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81</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82</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sheetPr>
    <tabColor rgb="FFA6A6A6"/>
  </sheetPr>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83</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sheetPr>
    <tabColor rgb="FFA6A6A6"/>
  </sheetPr>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84</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sheetPr>
    <tabColor rgb="FFA6A6A6"/>
  </sheetPr>
  <dimension ref="A1:M26"/>
  <sheetViews>
    <sheetView workbookViewId="0">
      <pane ySplit="1" topLeftCell="A2" activePane="bottomLeft" state="frozen"/>
      <selection pane="bottomLeft"/>
    </sheetView>
  </sheetViews>
  <sheetFormatPr defaultRowHeight="15"/>
  <cols>
    <col min="1" max="1" width="14.7109375" customWidth="1"/>
    <col min="2" max="2" width="15.7109375" customWidth="1"/>
    <col min="3" max="5" width="12.7109375" customWidth="1"/>
    <col min="6" max="8" width="9.7109375" customWidth="1"/>
    <col min="9" max="10" width="11.7109375" customWidth="1"/>
    <col min="11" max="11" width="7.7109375" customWidth="1"/>
    <col min="12" max="12" width="42.7109375" customWidth="1"/>
    <col min="13" max="13" width="14.7109375" customWidth="1"/>
  </cols>
  <sheetData>
    <row r="1" spans="1:13" ht="42" customHeight="1">
      <c r="A1" s="4" t="s">
        <v>41</v>
      </c>
      <c r="B1" s="4" t="s">
        <v>42</v>
      </c>
      <c r="C1" s="4" t="s">
        <v>43</v>
      </c>
      <c r="D1" s="4" t="s">
        <v>44</v>
      </c>
      <c r="E1" s="4" t="s">
        <v>45</v>
      </c>
      <c r="F1" s="4" t="s">
        <v>46</v>
      </c>
      <c r="G1" s="4" t="s">
        <v>47</v>
      </c>
      <c r="H1" s="4" t="s">
        <v>48</v>
      </c>
      <c r="I1" s="4" t="s">
        <v>49</v>
      </c>
      <c r="J1" s="4" t="s">
        <v>50</v>
      </c>
      <c r="K1" s="4" t="s">
        <v>51</v>
      </c>
      <c r="L1" s="4" t="s">
        <v>85</v>
      </c>
      <c r="M1" s="4" t="s">
        <v>72</v>
      </c>
    </row>
    <row r="2" spans="1:13">
      <c r="A2" s="21">
        <v>0</v>
      </c>
      <c r="B2" s="22"/>
      <c r="C2" s="23">
        <f>IF(ISNUMBER(A2),A2*conv,"")</f>
        <v>0</v>
      </c>
      <c r="D2" s="24">
        <f>IF(ISNUMBER(B2),AVERAGE(INDEX($B$2:$B$23,MAX(1,1-semi)):INDEX($B$2:$B$23,MIN($M$3,1+semi))),"")</f>
        <v>0</v>
      </c>
      <c r="E2" s="25">
        <f>IF(AND(ISNUMBER(D2),ISNUMBER($M$4)),(D2-$M$4)/($M$5-$M$4),"")</f>
        <v>0</v>
      </c>
      <c r="F2" s="23">
        <f>IF(AND(ISNUMBER(E2),ISNUMBER(E3),ISNUMBER($M$6)),IF(AND(2&lt;$M$6,E2&lt;0.5,E3&gt;=0.5),2,""),"")</f>
        <v>0</v>
      </c>
      <c r="G2" s="23">
        <f>IF(AND(ISNUMBER(E2),ISNUMBER(E3),ISNUMBER($M$6)),IF(AND(2&gt;=$M$6,E2&gt;=0.5,E3&lt;0.5),2,""),"")</f>
        <v>0</v>
      </c>
      <c r="H2" s="23">
        <f>IF(OR(ISNUMBER(F2),ISNUMBER(G2)),C2+(0.5-E2)*(C3-C2)/(E3-E2),"")</f>
        <v>0</v>
      </c>
      <c r="I2" s="23">
        <f>IF(AND(ISNUMBER(E2),ISNUMBER($M$15)),C2-$M$15,NA())</f>
        <v>0</v>
      </c>
      <c r="J2" s="25">
        <f>IF(ISNUMBER(E2),E2,NA())</f>
        <v>0</v>
      </c>
      <c r="K2" s="23">
        <f>IF(AND(ISNUMBER(C2),ISNUMBER(C3)),SIGN(C3-C2),"")</f>
        <v>0</v>
      </c>
      <c r="L2" s="5" t="s">
        <v>52</v>
      </c>
      <c r="M2" s="10">
        <f>COUNT($A$2:$A$23)</f>
        <v>0</v>
      </c>
    </row>
    <row r="3" spans="1:13">
      <c r="A3" s="21">
        <v>10</v>
      </c>
      <c r="B3" s="22"/>
      <c r="C3" s="23">
        <f>IF(ISNUMBER(A3),A3*conv,"")</f>
        <v>0</v>
      </c>
      <c r="D3" s="24">
        <f>IF(ISNUMBER(B3),AVERAGE(INDEX($B$2:$B$23,MAX(1,2-semi)):INDEX($B$2:$B$23,MIN($M$3,2+semi))),"")</f>
        <v>0</v>
      </c>
      <c r="E3" s="25">
        <f>IF(AND(ISNUMBER(D3),ISNUMBER($M$4)),(D3-$M$4)/($M$5-$M$4),"")</f>
        <v>0</v>
      </c>
      <c r="F3" s="23">
        <f>IF(AND(ISNUMBER(E3),ISNUMBER(E4),ISNUMBER($M$6)),IF(AND(3&lt;$M$6,E3&lt;0.5,E4&gt;=0.5),3,""),"")</f>
        <v>0</v>
      </c>
      <c r="G3" s="23">
        <f>IF(AND(ISNUMBER(E3),ISNUMBER(E4),ISNUMBER($M$6)),IF(AND(3&gt;=$M$6,E3&gt;=0.5,E4&lt;0.5),3,""),"")</f>
        <v>0</v>
      </c>
      <c r="H3" s="23">
        <f>IF(OR(ISNUMBER(F3),ISNUMBER(G3)),C3+(0.5-E3)*(C4-C3)/(E4-E3),"")</f>
        <v>0</v>
      </c>
      <c r="I3" s="23">
        <f>IF(AND(ISNUMBER(E3),ISNUMBER($M$15)),C3-$M$15,NA())</f>
        <v>0</v>
      </c>
      <c r="J3" s="25">
        <f>IF(ISNUMBER(E3),E3,NA())</f>
        <v>0</v>
      </c>
      <c r="K3" s="23">
        <f>IF(AND(ISNUMBER(C3),ISNUMBER(C4)),SIGN(C4-C3),"")</f>
        <v>0</v>
      </c>
      <c r="L3" s="5" t="s">
        <v>53</v>
      </c>
      <c r="M3" s="10">
        <f>COUNT($B$2:$B$23)</f>
        <v>0</v>
      </c>
    </row>
    <row r="4" spans="1:13">
      <c r="A4" s="21">
        <v>20</v>
      </c>
      <c r="B4" s="22"/>
      <c r="C4" s="23">
        <f>IF(ISNUMBER(A4),A4*conv,"")</f>
        <v>0</v>
      </c>
      <c r="D4" s="24">
        <f>IF(ISNUMBER(B4),AVERAGE(INDEX($B$2:$B$23,MAX(1,3-semi)):INDEX($B$2:$B$23,MIN($M$3,3+semi))),"")</f>
        <v>0</v>
      </c>
      <c r="E4" s="25">
        <f>IF(AND(ISNUMBER(D4),ISNUMBER($M$4)),(D4-$M$4)/($M$5-$M$4),"")</f>
        <v>0</v>
      </c>
      <c r="F4" s="23">
        <f>IF(AND(ISNUMBER(E4),ISNUMBER(E5),ISNUMBER($M$6)),IF(AND(4&lt;$M$6,E4&lt;0.5,E5&gt;=0.5),4,""),"")</f>
        <v>0</v>
      </c>
      <c r="G4" s="23">
        <f>IF(AND(ISNUMBER(E4),ISNUMBER(E5),ISNUMBER($M$6)),IF(AND(4&gt;=$M$6,E4&gt;=0.5,E5&lt;0.5),4,""),"")</f>
        <v>0</v>
      </c>
      <c r="H4" s="23">
        <f>IF(OR(ISNUMBER(F4),ISNUMBER(G4)),C4+(0.5-E4)*(C5-C4)/(E5-E4),"")</f>
        <v>0</v>
      </c>
      <c r="I4" s="23">
        <f>IF(AND(ISNUMBER(E4),ISNUMBER($M$15)),C4-$M$15,NA())</f>
        <v>0</v>
      </c>
      <c r="J4" s="25">
        <f>IF(ISNUMBER(E4),E4,NA())</f>
        <v>0</v>
      </c>
      <c r="K4" s="23">
        <f>IF(AND(ISNUMBER(C4),ISNUMBER(C5)),SIGN(C5-C4),"")</f>
        <v>0</v>
      </c>
      <c r="L4" s="5" t="s">
        <v>54</v>
      </c>
      <c r="M4" s="26">
        <f>IF($M$3&lt;$M$2,"",(AVERAGE(INDEX($B$2:$B$23,1):INDEX($B$2:$B$23,n_fondo))+AVERAGE(INDEX($B$2:$B$23,$M$3-n_fondo+1):INDEX($B$2:$B$23,$M$3)))/2)</f>
        <v>0</v>
      </c>
    </row>
    <row r="5" spans="1:13">
      <c r="A5" s="21">
        <v>30</v>
      </c>
      <c r="B5" s="22"/>
      <c r="C5" s="23">
        <f>IF(ISNUMBER(A5),A5*conv,"")</f>
        <v>0</v>
      </c>
      <c r="D5" s="24">
        <f>IF(ISNUMBER(B5),AVERAGE(INDEX($B$2:$B$23,MAX(1,4-semi)):INDEX($B$2:$B$23,MIN($M$3,4+semi))),"")</f>
        <v>0</v>
      </c>
      <c r="E5" s="25">
        <f>IF(AND(ISNUMBER(D5),ISNUMBER($M$4)),(D5-$M$4)/($M$5-$M$4),"")</f>
        <v>0</v>
      </c>
      <c r="F5" s="23">
        <f>IF(AND(ISNUMBER(E5),ISNUMBER(E6),ISNUMBER($M$6)),IF(AND(5&lt;$M$6,E5&lt;0.5,E6&gt;=0.5),5,""),"")</f>
        <v>0</v>
      </c>
      <c r="G5" s="23">
        <f>IF(AND(ISNUMBER(E5),ISNUMBER(E6),ISNUMBER($M$6)),IF(AND(5&gt;=$M$6,E5&gt;=0.5,E6&lt;0.5),5,""),"")</f>
        <v>0</v>
      </c>
      <c r="H5" s="23">
        <f>IF(OR(ISNUMBER(F5),ISNUMBER(G5)),C5+(0.5-E5)*(C6-C5)/(E6-E5),"")</f>
        <v>0</v>
      </c>
      <c r="I5" s="23">
        <f>IF(AND(ISNUMBER(E5),ISNUMBER($M$15)),C5-$M$15,NA())</f>
        <v>0</v>
      </c>
      <c r="J5" s="25">
        <f>IF(ISNUMBER(E5),E5,NA())</f>
        <v>0</v>
      </c>
      <c r="K5" s="23">
        <f>IF(AND(ISNUMBER(C5),ISNUMBER(C6)),SIGN(C6-C5),"")</f>
        <v>0</v>
      </c>
      <c r="L5" s="5" t="s">
        <v>55</v>
      </c>
      <c r="M5" s="26">
        <f>IF($M$3&lt;$M$2,"",MAX($D$2:$D$23))</f>
        <v>0</v>
      </c>
    </row>
    <row r="6" spans="1:13">
      <c r="A6" s="21">
        <v>40</v>
      </c>
      <c r="B6" s="22"/>
      <c r="C6" s="23">
        <f>IF(ISNUMBER(A6),A6*conv,"")</f>
        <v>0</v>
      </c>
      <c r="D6" s="24">
        <f>IF(ISNUMBER(B6),AVERAGE(INDEX($B$2:$B$23,MAX(1,5-semi)):INDEX($B$2:$B$23,MIN($M$3,5+semi))),"")</f>
        <v>0</v>
      </c>
      <c r="E6" s="25">
        <f>IF(AND(ISNUMBER(D6),ISNUMBER($M$4)),(D6-$M$4)/($M$5-$M$4),"")</f>
        <v>0</v>
      </c>
      <c r="F6" s="23">
        <f>IF(AND(ISNUMBER(E6),ISNUMBER(E7),ISNUMBER($M$6)),IF(AND(6&lt;$M$6,E6&lt;0.5,E7&gt;=0.5),6,""),"")</f>
        <v>0</v>
      </c>
      <c r="G6" s="23">
        <f>IF(AND(ISNUMBER(E6),ISNUMBER(E7),ISNUMBER($M$6)),IF(AND(6&gt;=$M$6,E6&gt;=0.5,E7&lt;0.5),6,""),"")</f>
        <v>0</v>
      </c>
      <c r="H6" s="23">
        <f>IF(OR(ISNUMBER(F6),ISNUMBER(G6)),C6+(0.5-E6)*(C7-C6)/(E7-E6),"")</f>
        <v>0</v>
      </c>
      <c r="I6" s="23">
        <f>IF(AND(ISNUMBER(E6),ISNUMBER($M$15)),C6-$M$15,NA())</f>
        <v>0</v>
      </c>
      <c r="J6" s="25">
        <f>IF(ISNUMBER(E6),E6,NA())</f>
        <v>0</v>
      </c>
      <c r="K6" s="23">
        <f>IF(AND(ISNUMBER(C6),ISNUMBER(C7)),SIGN(C7-C6),"")</f>
        <v>0</v>
      </c>
      <c r="L6" s="5" t="s">
        <v>56</v>
      </c>
      <c r="M6" s="10">
        <f>IFERROR(MATCH($M$5,$D$2:$D$23,0)+1,"")</f>
        <v>0</v>
      </c>
    </row>
    <row r="7" spans="1:13">
      <c r="A7" s="21">
        <v>50</v>
      </c>
      <c r="B7" s="22"/>
      <c r="C7" s="23">
        <f>IF(ISNUMBER(A7),A7*conv,"")</f>
        <v>0</v>
      </c>
      <c r="D7" s="24">
        <f>IF(ISNUMBER(B7),AVERAGE(INDEX($B$2:$B$23,MAX(1,6-semi)):INDEX($B$2:$B$23,MIN($M$3,6+semi))),"")</f>
        <v>0</v>
      </c>
      <c r="E7" s="25">
        <f>IF(AND(ISNUMBER(D7),ISNUMBER($M$4)),(D7-$M$4)/($M$5-$M$4),"")</f>
        <v>0</v>
      </c>
      <c r="F7" s="23">
        <f>IF(AND(ISNUMBER(E7),ISNUMBER(E8),ISNUMBER($M$6)),IF(AND(7&lt;$M$6,E7&lt;0.5,E8&gt;=0.5),7,""),"")</f>
        <v>0</v>
      </c>
      <c r="G7" s="23">
        <f>IF(AND(ISNUMBER(E7),ISNUMBER(E8),ISNUMBER($M$6)),IF(AND(7&gt;=$M$6,E7&gt;=0.5,E8&lt;0.5),7,""),"")</f>
        <v>0</v>
      </c>
      <c r="H7" s="23">
        <f>IF(OR(ISNUMBER(F7),ISNUMBER(G7)),C7+(0.5-E7)*(C8-C7)/(E8-E7),"")</f>
        <v>0</v>
      </c>
      <c r="I7" s="23">
        <f>IF(AND(ISNUMBER(E7),ISNUMBER($M$15)),C7-$M$15,NA())</f>
        <v>0</v>
      </c>
      <c r="J7" s="25">
        <f>IF(ISNUMBER(E7),E7,NA())</f>
        <v>0</v>
      </c>
      <c r="K7" s="23">
        <f>IF(AND(ISNUMBER(C7),ISNUMBER(C8)),SIGN(C8-C7),"")</f>
        <v>0</v>
      </c>
      <c r="L7" s="5" t="s">
        <v>57</v>
      </c>
      <c r="M7" s="6">
        <f>IFERROR(INDEX($C$1:$C$23,$M$6),"")</f>
        <v>0</v>
      </c>
    </row>
    <row r="8" spans="1:13">
      <c r="A8" s="21">
        <v>60</v>
      </c>
      <c r="B8" s="22"/>
      <c r="C8" s="23">
        <f>IF(ISNUMBER(A8),A8*conv,"")</f>
        <v>0</v>
      </c>
      <c r="D8" s="24">
        <f>IF(ISNUMBER(B8),AVERAGE(INDEX($B$2:$B$23,MAX(1,7-semi)):INDEX($B$2:$B$23,MIN($M$3,7+semi))),"")</f>
        <v>0</v>
      </c>
      <c r="E8" s="25">
        <f>IF(AND(ISNUMBER(D8),ISNUMBER($M$4)),(D8-$M$4)/($M$5-$M$4),"")</f>
        <v>0</v>
      </c>
      <c r="F8" s="23">
        <f>IF(AND(ISNUMBER(E8),ISNUMBER(E9),ISNUMBER($M$6)),IF(AND(8&lt;$M$6,E8&lt;0.5,E9&gt;=0.5),8,""),"")</f>
        <v>0</v>
      </c>
      <c r="G8" s="23">
        <f>IF(AND(ISNUMBER(E8),ISNUMBER(E9),ISNUMBER($M$6)),IF(AND(8&gt;=$M$6,E8&gt;=0.5,E9&lt;0.5),8,""),"")</f>
        <v>0</v>
      </c>
      <c r="H8" s="23">
        <f>IF(OR(ISNUMBER(F8),ISNUMBER(G8)),C8+(0.5-E8)*(C9-C8)/(E9-E8),"")</f>
        <v>0</v>
      </c>
      <c r="I8" s="23">
        <f>IF(AND(ISNUMBER(E8),ISNUMBER($M$15)),C8-$M$15,NA())</f>
        <v>0</v>
      </c>
      <c r="J8" s="25">
        <f>IF(ISNUMBER(E8),E8,NA())</f>
        <v>0</v>
      </c>
      <c r="K8" s="23">
        <f>IF(AND(ISNUMBER(C8),ISNUMBER(C9)),SIGN(C9-C8),"")</f>
        <v>0</v>
      </c>
      <c r="L8" s="5" t="s">
        <v>58</v>
      </c>
      <c r="M8" s="10">
        <f>MAX($F$2:$F$23)</f>
        <v>0</v>
      </c>
    </row>
    <row r="9" spans="1:13">
      <c r="A9" s="21">
        <v>70</v>
      </c>
      <c r="B9" s="22"/>
      <c r="C9" s="23">
        <f>IF(ISNUMBER(A9),A9*conv,"")</f>
        <v>0</v>
      </c>
      <c r="D9" s="24">
        <f>IF(ISNUMBER(B9),AVERAGE(INDEX($B$2:$B$23,MAX(1,8-semi)):INDEX($B$2:$B$23,MIN($M$3,8+semi))),"")</f>
        <v>0</v>
      </c>
      <c r="E9" s="25">
        <f>IF(AND(ISNUMBER(D9),ISNUMBER($M$4)),(D9-$M$4)/($M$5-$M$4),"")</f>
        <v>0</v>
      </c>
      <c r="F9" s="23">
        <f>IF(AND(ISNUMBER(E9),ISNUMBER(E10),ISNUMBER($M$6)),IF(AND(9&lt;$M$6,E9&lt;0.5,E10&gt;=0.5),9,""),"")</f>
        <v>0</v>
      </c>
      <c r="G9" s="23">
        <f>IF(AND(ISNUMBER(E9),ISNUMBER(E10),ISNUMBER($M$6)),IF(AND(9&gt;=$M$6,E9&gt;=0.5,E10&lt;0.5),9,""),"")</f>
        <v>0</v>
      </c>
      <c r="H9" s="23">
        <f>IF(OR(ISNUMBER(F9),ISNUMBER(G9)),C9+(0.5-E9)*(C10-C9)/(E10-E9),"")</f>
        <v>0</v>
      </c>
      <c r="I9" s="23">
        <f>IF(AND(ISNUMBER(E9),ISNUMBER($M$15)),C9-$M$15,NA())</f>
        <v>0</v>
      </c>
      <c r="J9" s="25">
        <f>IF(ISNUMBER(E9),E9,NA())</f>
        <v>0</v>
      </c>
      <c r="K9" s="23">
        <f>IF(AND(ISNUMBER(C9),ISNUMBER(C10)),SIGN(C10-C9),"")</f>
        <v>0</v>
      </c>
      <c r="L9" s="5" t="s">
        <v>59</v>
      </c>
      <c r="M9" s="10">
        <f>MIN($G$2:$G$23)</f>
        <v>0</v>
      </c>
    </row>
    <row r="10" spans="1:13">
      <c r="A10" s="21">
        <v>80</v>
      </c>
      <c r="B10" s="22"/>
      <c r="C10" s="23">
        <f>IF(ISNUMBER(A10),A10*conv,"")</f>
        <v>0</v>
      </c>
      <c r="D10" s="24">
        <f>IF(ISNUMBER(B10),AVERAGE(INDEX($B$2:$B$23,MAX(1,9-semi)):INDEX($B$2:$B$23,MIN($M$3,9+semi))),"")</f>
        <v>0</v>
      </c>
      <c r="E10" s="25">
        <f>IF(AND(ISNUMBER(D10),ISNUMBER($M$4)),(D10-$M$4)/($M$5-$M$4),"")</f>
        <v>0</v>
      </c>
      <c r="F10" s="23">
        <f>IF(AND(ISNUMBER(E10),ISNUMBER(E11),ISNUMBER($M$6)),IF(AND(10&lt;$M$6,E10&lt;0.5,E11&gt;=0.5),10,""),"")</f>
        <v>0</v>
      </c>
      <c r="G10" s="23">
        <f>IF(AND(ISNUMBER(E10),ISNUMBER(E11),ISNUMBER($M$6)),IF(AND(10&gt;=$M$6,E10&gt;=0.5,E11&lt;0.5),10,""),"")</f>
        <v>0</v>
      </c>
      <c r="H10" s="23">
        <f>IF(OR(ISNUMBER(F10),ISNUMBER(G10)),C10+(0.5-E10)*(C11-C10)/(E11-E10),"")</f>
        <v>0</v>
      </c>
      <c r="I10" s="23">
        <f>IF(AND(ISNUMBER(E10),ISNUMBER($M$15)),C10-$M$15,NA())</f>
        <v>0</v>
      </c>
      <c r="J10" s="25">
        <f>IF(ISNUMBER(E10),E10,NA())</f>
        <v>0</v>
      </c>
      <c r="K10" s="23">
        <f>IF(AND(ISNUMBER(C10),ISNUMBER(C11)),SIGN(C11-C10),"")</f>
        <v>0</v>
      </c>
      <c r="L10" s="5" t="s">
        <v>60</v>
      </c>
      <c r="M10" s="6">
        <f>IF($M$8&gt;0,INDEX($H$1:$H$23,$M$8),"")</f>
        <v>0</v>
      </c>
    </row>
    <row r="11" spans="1:13">
      <c r="A11" s="21">
        <v>90</v>
      </c>
      <c r="B11" s="22"/>
      <c r="C11" s="23">
        <f>IF(ISNUMBER(A11),A11*conv,"")</f>
        <v>0</v>
      </c>
      <c r="D11" s="24">
        <f>IF(ISNUMBER(B11),AVERAGE(INDEX($B$2:$B$23,MAX(1,10-semi)):INDEX($B$2:$B$23,MIN($M$3,10+semi))),"")</f>
        <v>0</v>
      </c>
      <c r="E11" s="25">
        <f>IF(AND(ISNUMBER(D11),ISNUMBER($M$4)),(D11-$M$4)/($M$5-$M$4),"")</f>
        <v>0</v>
      </c>
      <c r="F11" s="23">
        <f>IF(AND(ISNUMBER(E11),ISNUMBER(E12),ISNUMBER($M$6)),IF(AND(11&lt;$M$6,E11&lt;0.5,E12&gt;=0.5),11,""),"")</f>
        <v>0</v>
      </c>
      <c r="G11" s="23">
        <f>IF(AND(ISNUMBER(E11),ISNUMBER(E12),ISNUMBER($M$6)),IF(AND(11&gt;=$M$6,E11&gt;=0.5,E12&lt;0.5),11,""),"")</f>
        <v>0</v>
      </c>
      <c r="H11" s="23">
        <f>IF(OR(ISNUMBER(F11),ISNUMBER(G11)),C11+(0.5-E11)*(C12-C11)/(E12-E11),"")</f>
        <v>0</v>
      </c>
      <c r="I11" s="23">
        <f>IF(AND(ISNUMBER(E11),ISNUMBER($M$15)),C11-$M$15,NA())</f>
        <v>0</v>
      </c>
      <c r="J11" s="25">
        <f>IF(ISNUMBER(E11),E11,NA())</f>
        <v>0</v>
      </c>
      <c r="K11" s="23">
        <f>IF(AND(ISNUMBER(C11),ISNUMBER(C12)),SIGN(C12-C11),"")</f>
        <v>0</v>
      </c>
      <c r="L11" s="5" t="s">
        <v>61</v>
      </c>
      <c r="M11" s="6">
        <f>IF($M$9&gt;0,INDEX($H$1:$H$23,$M$9),"")</f>
        <v>0</v>
      </c>
    </row>
    <row r="12" spans="1:13">
      <c r="A12" s="21">
        <v>100</v>
      </c>
      <c r="B12" s="22"/>
      <c r="C12" s="23">
        <f>IF(ISNUMBER(A12),A12*conv,"")</f>
        <v>0</v>
      </c>
      <c r="D12" s="24">
        <f>IF(ISNUMBER(B12),AVERAGE(INDEX($B$2:$B$23,MAX(1,11-semi)):INDEX($B$2:$B$23,MIN($M$3,11+semi))),"")</f>
        <v>0</v>
      </c>
      <c r="E12" s="25">
        <f>IF(AND(ISNUMBER(D12),ISNUMBER($M$4)),(D12-$M$4)/($M$5-$M$4),"")</f>
        <v>0</v>
      </c>
      <c r="F12" s="23">
        <f>IF(AND(ISNUMBER(E12),ISNUMBER(E13),ISNUMBER($M$6)),IF(AND(12&lt;$M$6,E12&lt;0.5,E13&gt;=0.5),12,""),"")</f>
        <v>0</v>
      </c>
      <c r="G12" s="23">
        <f>IF(AND(ISNUMBER(E12),ISNUMBER(E13),ISNUMBER($M$6)),IF(AND(12&gt;=$M$6,E12&gt;=0.5,E13&lt;0.5),12,""),"")</f>
        <v>0</v>
      </c>
      <c r="H12" s="23">
        <f>IF(OR(ISNUMBER(F12),ISNUMBER(G12)),C12+(0.5-E12)*(C13-C12)/(E13-E12),"")</f>
        <v>0</v>
      </c>
      <c r="I12" s="23">
        <f>IF(AND(ISNUMBER(E12),ISNUMBER($M$15)),C12-$M$15,NA())</f>
        <v>0</v>
      </c>
      <c r="J12" s="25">
        <f>IF(ISNUMBER(E12),E12,NA())</f>
        <v>0</v>
      </c>
      <c r="K12" s="23">
        <f>IF(AND(ISNUMBER(C12),ISNUMBER(C13)),SIGN(C13-C12),"")</f>
        <v>0</v>
      </c>
      <c r="L12" s="5" t="s">
        <v>62</v>
      </c>
      <c r="M12" s="18">
        <f>IF(AND($M$8&gt;0,$M$9&gt;0),ABS($M$11-$M$10),"")</f>
        <v>0</v>
      </c>
    </row>
    <row r="13" spans="1:13">
      <c r="A13" s="21">
        <v>110</v>
      </c>
      <c r="B13" s="22"/>
      <c r="C13" s="23">
        <f>IF(ISNUMBER(A13),A13*conv,"")</f>
        <v>0</v>
      </c>
      <c r="D13" s="24">
        <f>IF(ISNUMBER(B13),AVERAGE(INDEX($B$2:$B$23,MAX(1,12-semi)):INDEX($B$2:$B$23,MIN($M$3,12+semi))),"")</f>
        <v>0</v>
      </c>
      <c r="E13" s="25">
        <f>IF(AND(ISNUMBER(D13),ISNUMBER($M$4)),(D13-$M$4)/($M$5-$M$4),"")</f>
        <v>0</v>
      </c>
      <c r="F13" s="23">
        <f>IF(AND(ISNUMBER(E13),ISNUMBER(E14),ISNUMBER($M$6)),IF(AND(13&lt;$M$6,E13&lt;0.5,E14&gt;=0.5),13,""),"")</f>
        <v>0</v>
      </c>
      <c r="G13" s="23">
        <f>IF(AND(ISNUMBER(E13),ISNUMBER(E14),ISNUMBER($M$6)),IF(AND(13&gt;=$M$6,E13&gt;=0.5,E14&lt;0.5),13,""),"")</f>
        <v>0</v>
      </c>
      <c r="H13" s="23">
        <f>IF(OR(ISNUMBER(F13),ISNUMBER(G13)),C13+(0.5-E13)*(C14-C13)/(E14-E13),"")</f>
        <v>0</v>
      </c>
      <c r="I13" s="23">
        <f>IF(AND(ISNUMBER(E13),ISNUMBER($M$15)),C13-$M$15,NA())</f>
        <v>0</v>
      </c>
      <c r="J13" s="25">
        <f>IF(ISNUMBER(E13),E13,NA())</f>
        <v>0</v>
      </c>
      <c r="K13" s="23">
        <f>IF(AND(ISNUMBER(C13),ISNUMBER(C14)),SIGN(C14-C13),"")</f>
        <v>0</v>
      </c>
      <c r="L13" s="5" t="s">
        <v>63</v>
      </c>
      <c r="M13" s="18">
        <f>IF(ISNUMBER($M$12),factor_forma*$M$12,"")</f>
        <v>0</v>
      </c>
    </row>
    <row r="14" spans="1:13">
      <c r="A14" s="21">
        <v>120</v>
      </c>
      <c r="B14" s="22"/>
      <c r="C14" s="23">
        <f>IF(ISNUMBER(A14),A14*conv,"")</f>
        <v>0</v>
      </c>
      <c r="D14" s="24">
        <f>IF(ISNUMBER(B14),AVERAGE(INDEX($B$2:$B$23,MAX(1,13-semi)):INDEX($B$2:$B$23,MIN($M$3,13+semi))),"")</f>
        <v>0</v>
      </c>
      <c r="E14" s="25">
        <f>IF(AND(ISNUMBER(D14),ISNUMBER($M$4)),(D14-$M$4)/($M$5-$M$4),"")</f>
        <v>0</v>
      </c>
      <c r="F14" s="23">
        <f>IF(AND(ISNUMBER(E14),ISNUMBER(E15),ISNUMBER($M$6)),IF(AND(14&lt;$M$6,E14&lt;0.5,E15&gt;=0.5),14,""),"")</f>
        <v>0</v>
      </c>
      <c r="G14" s="23">
        <f>IF(AND(ISNUMBER(E14),ISNUMBER(E15),ISNUMBER($M$6)),IF(AND(14&gt;=$M$6,E14&gt;=0.5,E15&lt;0.5),14,""),"")</f>
        <v>0</v>
      </c>
      <c r="H14" s="23">
        <f>IF(OR(ISNUMBER(F14),ISNUMBER(G14)),C14+(0.5-E14)*(C15-C14)/(E15-E14),"")</f>
        <v>0</v>
      </c>
      <c r="I14" s="23">
        <f>IF(AND(ISNUMBER(E14),ISNUMBER($M$15)),C14-$M$15,NA())</f>
        <v>0</v>
      </c>
      <c r="J14" s="25">
        <f>IF(ISNUMBER(E14),E14,NA())</f>
        <v>0</v>
      </c>
      <c r="K14" s="23">
        <f>IF(AND(ISNUMBER(C14),ISNUMBER(C15)),SIGN(C15-C14),"")</f>
        <v>0</v>
      </c>
      <c r="L14" s="5" t="s">
        <v>64</v>
      </c>
      <c r="M14" s="6">
        <f>IF(ISNUMBER($M$12),0.7071*$M$12,"")</f>
        <v>0</v>
      </c>
    </row>
    <row r="15" spans="1:13">
      <c r="A15" s="21">
        <v>130</v>
      </c>
      <c r="B15" s="22"/>
      <c r="C15" s="23">
        <f>IF(ISNUMBER(A15),A15*conv,"")</f>
        <v>0</v>
      </c>
      <c r="D15" s="24">
        <f>IF(ISNUMBER(B15),AVERAGE(INDEX($B$2:$B$23,MAX(1,14-semi)):INDEX($B$2:$B$23,MIN($M$3,14+semi))),"")</f>
        <v>0</v>
      </c>
      <c r="E15" s="25">
        <f>IF(AND(ISNUMBER(D15),ISNUMBER($M$4)),(D15-$M$4)/($M$5-$M$4),"")</f>
        <v>0</v>
      </c>
      <c r="F15" s="23">
        <f>IF(AND(ISNUMBER(E15),ISNUMBER(E16),ISNUMBER($M$6)),IF(AND(15&lt;$M$6,E15&lt;0.5,E16&gt;=0.5),15,""),"")</f>
        <v>0</v>
      </c>
      <c r="G15" s="23">
        <f>IF(AND(ISNUMBER(E15),ISNUMBER(E16),ISNUMBER($M$6)),IF(AND(15&gt;=$M$6,E15&gt;=0.5,E16&lt;0.5),15,""),"")</f>
        <v>0</v>
      </c>
      <c r="H15" s="23">
        <f>IF(OR(ISNUMBER(F15),ISNUMBER(G15)),C15+(0.5-E15)*(C16-C15)/(E16-E15),"")</f>
        <v>0</v>
      </c>
      <c r="I15" s="23">
        <f>IF(AND(ISNUMBER(E15),ISNUMBER($M$15)),C15-$M$15,NA())</f>
        <v>0</v>
      </c>
      <c r="J15" s="25">
        <f>IF(ISNUMBER(E15),E15,NA())</f>
        <v>0</v>
      </c>
      <c r="K15" s="23">
        <f>IF(AND(ISNUMBER(C15),ISNUMBER(C16)),SIGN(C16-C15),"")</f>
        <v>0</v>
      </c>
      <c r="L15" s="5" t="s">
        <v>65</v>
      </c>
      <c r="M15" s="6">
        <f>IF(ISNUMBER($M$12),($M$10+$M$11)/2,$M$7)</f>
        <v>0</v>
      </c>
    </row>
    <row r="16" spans="1:13">
      <c r="A16" s="21">
        <v>140</v>
      </c>
      <c r="B16" s="22"/>
      <c r="C16" s="23">
        <f>IF(ISNUMBER(A16),A16*conv,"")</f>
        <v>0</v>
      </c>
      <c r="D16" s="24">
        <f>IF(ISNUMBER(B16),AVERAGE(INDEX($B$2:$B$23,MAX(1,15-semi)):INDEX($B$2:$B$23,MIN($M$3,15+semi))),"")</f>
        <v>0</v>
      </c>
      <c r="E16" s="25">
        <f>IF(AND(ISNUMBER(D16),ISNUMBER($M$4)),(D16-$M$4)/($M$5-$M$4),"")</f>
        <v>0</v>
      </c>
      <c r="F16" s="23">
        <f>IF(AND(ISNUMBER(E16),ISNUMBER(E17),ISNUMBER($M$6)),IF(AND(16&lt;$M$6,E16&lt;0.5,E17&gt;=0.5),16,""),"")</f>
        <v>0</v>
      </c>
      <c r="G16" s="23">
        <f>IF(AND(ISNUMBER(E16),ISNUMBER(E17),ISNUMBER($M$6)),IF(AND(16&gt;=$M$6,E16&gt;=0.5,E17&lt;0.5),16,""),"")</f>
        <v>0</v>
      </c>
      <c r="H16" s="23">
        <f>IF(OR(ISNUMBER(F16),ISNUMBER(G16)),C16+(0.5-E16)*(C17-C16)/(E17-E16),"")</f>
        <v>0</v>
      </c>
      <c r="I16" s="23">
        <f>IF(AND(ISNUMBER(E16),ISNUMBER($M$15)),C16-$M$15,NA())</f>
        <v>0</v>
      </c>
      <c r="J16" s="25">
        <f>IF(ISNUMBER(E16),E16,NA())</f>
        <v>0</v>
      </c>
      <c r="K16" s="23">
        <f>IF(AND(ISNUMBER(C16),ISNUMBER(C17)),SIGN(C17-C16),"")</f>
        <v>0</v>
      </c>
      <c r="L16" s="5" t="s">
        <v>66</v>
      </c>
      <c r="M16" s="10">
        <f>COUNTIF($E$2:$E$23,"&gt;=0.5")</f>
        <v>0</v>
      </c>
    </row>
    <row r="17" spans="1:13">
      <c r="A17" s="21">
        <v>150</v>
      </c>
      <c r="B17" s="22"/>
      <c r="C17" s="23">
        <f>IF(ISNUMBER(A17),A17*conv,"")</f>
        <v>0</v>
      </c>
      <c r="D17" s="24">
        <f>IF(ISNUMBER(B17),AVERAGE(INDEX($B$2:$B$23,MAX(1,16-semi)):INDEX($B$2:$B$23,MIN($M$3,16+semi))),"")</f>
        <v>0</v>
      </c>
      <c r="E17" s="25">
        <f>IF(AND(ISNUMBER(D17),ISNUMBER($M$4)),(D17-$M$4)/($M$5-$M$4),"")</f>
        <v>0</v>
      </c>
      <c r="F17" s="23">
        <f>IF(AND(ISNUMBER(E17),ISNUMBER(E18),ISNUMBER($M$6)),IF(AND(17&lt;$M$6,E17&lt;0.5,E18&gt;=0.5),17,""),"")</f>
        <v>0</v>
      </c>
      <c r="G17" s="23">
        <f>IF(AND(ISNUMBER(E17),ISNUMBER(E18),ISNUMBER($M$6)),IF(AND(17&gt;=$M$6,E17&gt;=0.5,E18&lt;0.5),17,""),"")</f>
        <v>0</v>
      </c>
      <c r="H17" s="23">
        <f>IF(OR(ISNUMBER(F17),ISNUMBER(G17)),C17+(0.5-E17)*(C18-C17)/(E18-E17),"")</f>
        <v>0</v>
      </c>
      <c r="I17" s="23">
        <f>IF(AND(ISNUMBER(E17),ISNUMBER($M$15)),C17-$M$15,NA())</f>
        <v>0</v>
      </c>
      <c r="J17" s="25">
        <f>IF(ISNUMBER(E17),E17,NA())</f>
        <v>0</v>
      </c>
      <c r="K17" s="23">
        <f>IF(AND(ISNUMBER(C17),ISNUMBER(C18)),SIGN(C18-C17),"")</f>
        <v>0</v>
      </c>
      <c r="L17" s="5" t="s">
        <v>67</v>
      </c>
      <c r="M17" s="6">
        <f>IFERROR($M$15-MIN($C$2:$C$23),"")</f>
        <v>0</v>
      </c>
    </row>
    <row r="18" spans="1:13">
      <c r="A18" s="21">
        <v>160</v>
      </c>
      <c r="B18" s="22"/>
      <c r="C18" s="23">
        <f>IF(ISNUMBER(A18),A18*conv,"")</f>
        <v>0</v>
      </c>
      <c r="D18" s="24">
        <f>IF(ISNUMBER(B18),AVERAGE(INDEX($B$2:$B$23,MAX(1,17-semi)):INDEX($B$2:$B$23,MIN($M$3,17+semi))),"")</f>
        <v>0</v>
      </c>
      <c r="E18" s="25">
        <f>IF(AND(ISNUMBER(D18),ISNUMBER($M$4)),(D18-$M$4)/($M$5-$M$4),"")</f>
        <v>0</v>
      </c>
      <c r="F18" s="23">
        <f>IF(AND(ISNUMBER(E18),ISNUMBER(E19),ISNUMBER($M$6)),IF(AND(18&lt;$M$6,E18&lt;0.5,E19&gt;=0.5),18,""),"")</f>
        <v>0</v>
      </c>
      <c r="G18" s="23">
        <f>IF(AND(ISNUMBER(E18),ISNUMBER(E19),ISNUMBER($M$6)),IF(AND(18&gt;=$M$6,E18&gt;=0.5,E19&lt;0.5),18,""),"")</f>
        <v>0</v>
      </c>
      <c r="H18" s="23">
        <f>IF(OR(ISNUMBER(F18),ISNUMBER(G18)),C18+(0.5-E18)*(C19-C18)/(E19-E18),"")</f>
        <v>0</v>
      </c>
      <c r="I18" s="23">
        <f>IF(AND(ISNUMBER(E18),ISNUMBER($M$15)),C18-$M$15,NA())</f>
        <v>0</v>
      </c>
      <c r="J18" s="25">
        <f>IF(ISNUMBER(E18),E18,NA())</f>
        <v>0</v>
      </c>
      <c r="K18" s="23">
        <f>IF(AND(ISNUMBER(C18),ISNUMBER(C19)),SIGN(C19-C18),"")</f>
        <v>0</v>
      </c>
      <c r="L18" s="5" t="s">
        <v>68</v>
      </c>
      <c r="M18" s="6">
        <f>IFERROR(MAX($C$2:$C$23)-$M$15,"")</f>
        <v>0</v>
      </c>
    </row>
    <row r="19" spans="1:13">
      <c r="A19" s="21">
        <v>170</v>
      </c>
      <c r="B19" s="22"/>
      <c r="C19" s="23">
        <f>IF(ISNUMBER(A19),A19*conv,"")</f>
        <v>0</v>
      </c>
      <c r="D19" s="24">
        <f>IF(ISNUMBER(B19),AVERAGE(INDEX($B$2:$B$23,MAX(1,18-semi)):INDEX($B$2:$B$23,MIN($M$3,18+semi))),"")</f>
        <v>0</v>
      </c>
      <c r="E19" s="25">
        <f>IF(AND(ISNUMBER(D19),ISNUMBER($M$4)),(D19-$M$4)/($M$5-$M$4),"")</f>
        <v>0</v>
      </c>
      <c r="F19" s="23">
        <f>IF(AND(ISNUMBER(E19),ISNUMBER(E20),ISNUMBER($M$6)),IF(AND(19&lt;$M$6,E19&lt;0.5,E20&gt;=0.5),19,""),"")</f>
        <v>0</v>
      </c>
      <c r="G19" s="23">
        <f>IF(AND(ISNUMBER(E19),ISNUMBER(E20),ISNUMBER($M$6)),IF(AND(19&gt;=$M$6,E19&gt;=0.5,E20&lt;0.5),19,""),"")</f>
        <v>0</v>
      </c>
      <c r="H19" s="23">
        <f>IF(OR(ISNUMBER(F19),ISNUMBER(G19)),C19+(0.5-E19)*(C20-C19)/(E20-E19),"")</f>
        <v>0</v>
      </c>
      <c r="I19" s="23">
        <f>IF(AND(ISNUMBER(E19),ISNUMBER($M$15)),C19-$M$15,NA())</f>
        <v>0</v>
      </c>
      <c r="J19" s="25">
        <f>IF(ISNUMBER(E19),E19,NA())</f>
        <v>0</v>
      </c>
      <c r="K19" s="23">
        <f>IF(AND(ISNUMBER(C19),ISNUMBER(C20)),SIGN(C20-C19),"")</f>
        <v>0</v>
      </c>
      <c r="L19" s="5" t="s">
        <v>69</v>
      </c>
      <c r="M19" s="10">
        <f>IF($M$3&lt;$M$2,"",IFERROR(INDEX($A$1:$A$23,$M$6),""))</f>
        <v>0</v>
      </c>
    </row>
    <row r="20" spans="1:13">
      <c r="A20" s="21">
        <v>180</v>
      </c>
      <c r="B20" s="22"/>
      <c r="C20" s="23">
        <f>IF(ISNUMBER(A20),A20*conv,"")</f>
        <v>0</v>
      </c>
      <c r="D20" s="24">
        <f>IF(ISNUMBER(B20),AVERAGE(INDEX($B$2:$B$23,MAX(1,19-semi)):INDEX($B$2:$B$23,MIN($M$3,19+semi))),"")</f>
        <v>0</v>
      </c>
      <c r="E20" s="25">
        <f>IF(AND(ISNUMBER(D20),ISNUMBER($M$4)),(D20-$M$4)/($M$5-$M$4),"")</f>
        <v>0</v>
      </c>
      <c r="F20" s="23">
        <f>IF(AND(ISNUMBER(E20),ISNUMBER(E21),ISNUMBER($M$6)),IF(AND(20&lt;$M$6,E20&lt;0.5,E21&gt;=0.5),20,""),"")</f>
        <v>0</v>
      </c>
      <c r="G20" s="23">
        <f>IF(AND(ISNUMBER(E20),ISNUMBER(E21),ISNUMBER($M$6)),IF(AND(20&gt;=$M$6,E20&gt;=0.5,E21&lt;0.5),20,""),"")</f>
        <v>0</v>
      </c>
      <c r="H20" s="23">
        <f>IF(OR(ISNUMBER(F20),ISNUMBER(G20)),C20+(0.5-E20)*(C21-C20)/(E21-E20),"")</f>
        <v>0</v>
      </c>
      <c r="I20" s="23">
        <f>IF(AND(ISNUMBER(E20),ISNUMBER($M$15)),C20-$M$15,NA())</f>
        <v>0</v>
      </c>
      <c r="J20" s="25">
        <f>IF(ISNUMBER(E20),E20,NA())</f>
        <v>0</v>
      </c>
      <c r="K20" s="23">
        <f>IF(AND(ISNUMBER(C20),ISNUMBER(C21)),SIGN(C21-C20),"")</f>
        <v>0</v>
      </c>
      <c r="L20" s="5" t="s">
        <v>70</v>
      </c>
      <c r="M20" s="20">
        <f>IF($M$3=0,"Sin datos",IF($M$3&lt;$M$2,"Incompleta: faltan lecturas de potencia",IF(OR($M$8=0,$M$9=0),"Revisar: no se hallaron los dos cruces de media altura",IF($M$16&lt;pts_min,"Aviso: pocas lecturas dentro del ancho a media altura",IF(MIN($M$17,$M$18)&lt;rec_min*$M$12,"Aviso: el pico está corrido; el barrido no llega a una de las alas","OK")))))</f>
        <v>0</v>
      </c>
    </row>
    <row r="21" spans="1:13">
      <c r="A21" s="21">
        <v>190</v>
      </c>
      <c r="B21" s="22"/>
      <c r="C21" s="23">
        <f>IF(ISNUMBER(A21),A21*conv,"")</f>
        <v>0</v>
      </c>
      <c r="D21" s="24">
        <f>IF(ISNUMBER(B21),AVERAGE(INDEX($B$2:$B$23,MAX(1,20-semi)):INDEX($B$2:$B$23,MIN($M$3,20+semi))),"")</f>
        <v>0</v>
      </c>
      <c r="E21" s="25">
        <f>IF(AND(ISNUMBER(D21),ISNUMBER($M$4)),(D21-$M$4)/($M$5-$M$4),"")</f>
        <v>0</v>
      </c>
      <c r="F21" s="23">
        <f>IF(AND(ISNUMBER(E21),ISNUMBER(E22),ISNUMBER($M$6)),IF(AND(21&lt;$M$6,E21&lt;0.5,E22&gt;=0.5),21,""),"")</f>
        <v>0</v>
      </c>
      <c r="G21" s="23">
        <f>IF(AND(ISNUMBER(E21),ISNUMBER(E22),ISNUMBER($M$6)),IF(AND(21&gt;=$M$6,E21&gt;=0.5,E22&lt;0.5),21,""),"")</f>
        <v>0</v>
      </c>
      <c r="H21" s="23">
        <f>IF(OR(ISNUMBER(F21),ISNUMBER(G21)),C21+(0.5-E21)*(C22-C21)/(E22-E21),"")</f>
        <v>0</v>
      </c>
      <c r="I21" s="23">
        <f>IF(AND(ISNUMBER(E21),ISNUMBER($M$15)),C21-$M$15,NA())</f>
        <v>0</v>
      </c>
      <c r="J21" s="25">
        <f>IF(ISNUMBER(E21),E21,NA())</f>
        <v>0</v>
      </c>
      <c r="K21" s="23">
        <f>IF(AND(ISNUMBER(C21),ISNUMBER(C22)),SIGN(C22-C21),"")</f>
        <v>0</v>
      </c>
    </row>
    <row r="22" spans="1:13">
      <c r="A22" s="21">
        <v>200</v>
      </c>
      <c r="B22" s="22"/>
      <c r="C22" s="23">
        <f>IF(ISNUMBER(A22),A22*conv,"")</f>
        <v>0</v>
      </c>
      <c r="D22" s="24">
        <f>IF(ISNUMBER(B22),AVERAGE(INDEX($B$2:$B$23,MAX(1,21-semi)):INDEX($B$2:$B$23,MIN($M$3,21+semi))),"")</f>
        <v>0</v>
      </c>
      <c r="E22" s="25">
        <f>IF(AND(ISNUMBER(D22),ISNUMBER($M$4)),(D22-$M$4)/($M$5-$M$4),"")</f>
        <v>0</v>
      </c>
      <c r="F22" s="23">
        <f>IF(AND(ISNUMBER(E22),ISNUMBER(E23),ISNUMBER($M$6)),IF(AND(22&lt;$M$6,E22&lt;0.5,E23&gt;=0.5),22,""),"")</f>
        <v>0</v>
      </c>
      <c r="G22" s="23">
        <f>IF(AND(ISNUMBER(E22),ISNUMBER(E23),ISNUMBER($M$6)),IF(AND(22&gt;=$M$6,E22&gt;=0.5,E23&lt;0.5),22,""),"")</f>
        <v>0</v>
      </c>
      <c r="H22" s="23">
        <f>IF(OR(ISNUMBER(F22),ISNUMBER(G22)),C22+(0.5-E22)*(C23-C22)/(E23-E22),"")</f>
        <v>0</v>
      </c>
      <c r="I22" s="23">
        <f>IF(AND(ISNUMBER(E22),ISNUMBER($M$15)),C22-$M$15,NA())</f>
        <v>0</v>
      </c>
      <c r="J22" s="25">
        <f>IF(ISNUMBER(E22),E22,NA())</f>
        <v>0</v>
      </c>
      <c r="K22" s="23">
        <f>IF(AND(ISNUMBER(C22),ISNUMBER(C23)),SIGN(C23-C22),"")</f>
        <v>0</v>
      </c>
      <c r="L22" s="2" t="s">
        <v>73</v>
      </c>
    </row>
    <row r="23" spans="1:13">
      <c r="A23" s="21">
        <v>210</v>
      </c>
      <c r="B23" s="22"/>
      <c r="C23" s="23">
        <f>IF(ISNUMBER(A23),A23*conv,"")</f>
        <v>0</v>
      </c>
      <c r="D23" s="24">
        <f>IF(ISNUMBER(B23),AVERAGE(INDEX($B$2:$B$23,MAX(1,22-semi)):INDEX($B$2:$B$23,MIN($M$3,22+semi))),"")</f>
        <v>0</v>
      </c>
      <c r="E23" s="25">
        <f>IF(AND(ISNUMBER(D23),ISNUMBER($M$4)),(D23-$M$4)/($M$5-$M$4),"")</f>
        <v>0</v>
      </c>
      <c r="F23" s="23">
        <f>IF(AND(ISNUMBER(E23),ISNUMBER(E24),ISNUMBER($M$6)),IF(AND(23&lt;$M$6,E23&lt;0.5,E24&gt;=0.5),23,""),"")</f>
        <v>0</v>
      </c>
      <c r="G23" s="23">
        <f>IF(AND(ISNUMBER(E23),ISNUMBER(E24),ISNUMBER($M$6)),IF(AND(23&gt;=$M$6,E23&gt;=0.5,E24&lt;0.5),23,""),"")</f>
        <v>0</v>
      </c>
      <c r="H23" s="23">
        <f>IF(OR(ISNUMBER(F23),ISNUMBER(G23)),C23+(0.5-E23)*(C24-C23)/(E24-E23),"")</f>
        <v>0</v>
      </c>
      <c r="I23" s="23">
        <f>IF(AND(ISNUMBER(E23),ISNUMBER($M$15)),C23-$M$15,NA())</f>
        <v>0</v>
      </c>
      <c r="J23" s="25">
        <f>IF(ISNUMBER(E23),E23,NA())</f>
        <v>0</v>
      </c>
      <c r="K23" s="23">
        <f>IF(AND(ISNUMBER(C23),ISNUMBER(C24)),SIGN(C24-C23),"")</f>
        <v>0</v>
      </c>
      <c r="L23" s="23">
        <f>IF(ISNUMBER($M$12),$M$10-$M$15,NA())</f>
        <v>0</v>
      </c>
      <c r="M23" s="23">
        <f>IF(ISNUMBER($M$12),0.5,NA())</f>
        <v>0</v>
      </c>
    </row>
    <row r="24" spans="1:13">
      <c r="L24" s="23">
        <f>IF(ISNUMBER($M$12),$M$11-$M$15,NA())</f>
        <v>0</v>
      </c>
      <c r="M24" s="23">
        <f>IF(ISNUMBER($M$12),0.5,NA())</f>
        <v>0</v>
      </c>
    </row>
    <row r="26" spans="1:13">
      <c r="L26" s="7" t="s">
        <v>74</v>
      </c>
    </row>
  </sheetData>
  <sheetProtection sheet="1" objects="1" scenarios="1" formatColumns="0" formatRows="0"/>
  <conditionalFormatting sqref="I2:J23">
    <cfRule type="containsErrors" dxfId="3" priority="4">
      <formula>ISERROR(I2)</formula>
    </cfRule>
  </conditionalFormatting>
  <conditionalFormatting sqref="L23:M24">
    <cfRule type="containsErrors" dxfId="3" priority="5">
      <formula>ISERROR(L23)</formula>
    </cfRule>
  </conditionalFormatting>
  <conditionalFormatting sqref="M20">
    <cfRule type="cellIs" dxfId="0" priority="1" operator="equal">
      <formula>"OK"</formula>
    </cfRule>
    <cfRule type="beginsWith" dxfId="1" priority="2" operator="beginsWith" text="Aviso">
      <formula>LEFT(M20,5)="Aviso"</formula>
    </cfRule>
    <cfRule type="beginsWith" dxfId="2" priority="3" operator="beginsWith" text="Revisar">
      <formula>LEFT(M20,7)="Revisar"</formula>
    </cfRule>
  </conditionalFormatting>
  <dataValidations count="1">
    <dataValidation type="decimal" allowBlank="1" showInputMessage="1" showErrorMessage="1" errorTitle="Potencia en W" error="Escribir la potencia en W, p. ej. 2.35E-05 (no en µW)." sqref="B2:B23">
      <formula1>-1</formula1>
      <formula2>1</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vt:i4>
      </vt:variant>
    </vt:vector>
  </HeadingPairs>
  <TitlesOfParts>
    <vt:vector size="29" baseType="lpstr">
      <vt:lpstr>Instrucciones</vt:lpstr>
      <vt:lpstr>Configuración</vt:lpstr>
      <vt:lpstr>Registro</vt:lpstr>
      <vt:lpstr>Resumen</vt:lpstr>
      <vt:lpstr>R01</vt:lpstr>
      <vt:lpstr>R02</vt:lpstr>
      <vt:lpstr>R03</vt:lpstr>
      <vt:lpstr>R04</vt:lpstr>
      <vt:lpstr>R05</vt:lpstr>
      <vt:lpstr>R06</vt:lpstr>
      <vt:lpstr>R07</vt:lpstr>
      <vt:lpstr>R08</vt:lpstr>
      <vt:lpstr>R09</vt:lpstr>
      <vt:lpstr>R10</vt:lpstr>
      <vt:lpstr>R11</vt:lpstr>
      <vt:lpstr>R12</vt:lpstr>
      <vt:lpstr>alfa</vt:lpstr>
      <vt:lpstr>c_luz</vt:lpstr>
      <vt:lpstr>conv</vt:lpstr>
      <vt:lpstr>corriente</vt:lpstr>
      <vt:lpstr>factor_forma</vt:lpstr>
      <vt:lpstr>n_fondo</vt:lpstr>
      <vt:lpstr>paso</vt:lpstr>
      <vt:lpstr>pasos</vt:lpstr>
      <vt:lpstr>pfab</vt:lpstr>
      <vt:lpstr>pts_min</vt:lpstr>
      <vt:lpstr>rec_min</vt:lpstr>
      <vt:lpstr>semi</vt:lpstr>
      <vt:lpstr>tau0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Medición del autocorrelador · 6 A</dc:title>
  <dc:creator>Juan Esteban Rodríguez Ochoa · Sebastián Zapata Henao</dc:creator>
  <cp:lastModifiedBy>Juan Esteban Rodríguez Ochoa · Sebastián Zapata Henao</cp:lastModifiedBy>
  <dcterms:created xsi:type="dcterms:W3CDTF">2026-10-27T23:21:27Z</dcterms:created>
  <dcterms:modified xsi:type="dcterms:W3CDTF">2026-10-27T23:21:27Z</dcterms:modified>
</cp:coreProperties>
</file>