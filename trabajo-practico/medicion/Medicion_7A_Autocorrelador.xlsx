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ciones" sheetId="1" r:id="rId1"/>
    <sheet name="Configuración" sheetId="2" r:id="rId2"/>
    <sheet name="Registro" sheetId="3" r:id="rId3"/>
    <sheet name="Resumen" sheetId="4" r:id="rId4"/>
    <sheet name="R01" sheetId="5" r:id="rId5"/>
    <sheet name="R02" sheetId="6" r:id="rId6"/>
    <sheet name="R03" sheetId="7" r:id="rId7"/>
    <sheet name="R04" sheetId="8" r:id="rId8"/>
    <sheet name="R05" sheetId="9" r:id="rId9"/>
    <sheet name="R06" sheetId="10" r:id="rId10"/>
    <sheet name="R07" sheetId="11" r:id="rId11"/>
    <sheet name="R08" sheetId="12" r:id="rId12"/>
    <sheet name="R09" sheetId="13" r:id="rId13"/>
    <sheet name="R10" sheetId="14" r:id="rId14"/>
    <sheet name="R11" sheetId="15" r:id="rId15"/>
    <sheet name="R12" sheetId="16" r:id="rId16"/>
  </sheets>
  <definedNames>
    <definedName name="alfa">'Configuración'!$B$17</definedName>
    <definedName name="c_luz">'Configuración'!$B$10</definedName>
    <definedName name="conv">'Configuración'!$B$11</definedName>
    <definedName name="corriente">'Configuración'!$B$5</definedName>
    <definedName name="factor_forma">'Configuración'!$B$12</definedName>
    <definedName name="n_fondo">'Configuración'!$B$13</definedName>
    <definedName name="paso">'Configuración'!$B$8</definedName>
    <definedName name="pasos">'Configuración'!$B$9</definedName>
    <definedName name="pfab">'Configuración'!$B$7</definedName>
    <definedName name="pts_min">'Configuración'!$B$15</definedName>
    <definedName name="rec_min">'Configuración'!$B$16</definedName>
    <definedName name="semi">'Configuración'!$B$14</definedName>
    <definedName name="tau0">'Configuración'!$B$6</definedName>
  </definedNames>
  <calcPr calcId="124519" fullCalcOnLoad="1"/>
</workbook>
</file>

<file path=xl/sharedStrings.xml><?xml version="1.0" encoding="utf-8"?>
<sst xmlns="http://schemas.openxmlformats.org/spreadsheetml/2006/main" count="524" uniqueCount="147">
  <si>
    <t>Medición definitiva del autocorrelador · corriente 7 A (I3)</t>
  </si>
  <si>
    <t>Fecha prevista: sábado 31 oct 2026. Nueve réplicas de la misma corriente, una tras otra.</t>
  </si>
  <si>
    <t>1. Encender el láser y dejarlo calentar como en el piloto. Fijar la corriente de bombeo en 7 A y anotar en Registro la fecha, la hora de encendido y la potencia media del láser.</t>
  </si>
  <si>
    <t>2. Las posiciones del micrómetro están fijas en todas las hojas R01–R09 (columna A, gris): 22 lecturas, de 0 a 210 µm cada 10 µm, contadas desde el punto de partida del barrido. Escoger el punto de partida de modo que el pico caiga en la mitad del recorrido (≈ 100–110 µm). A 5 A la traza es ancha: si el pico queda en 120 µm o más, el barrido no alcanza el ala derecha (el Estado lo avisa).</t>
  </si>
  <si>
    <t>3. Girar el micrómetro siempre en el mismo sentido. En cada posición escribir la potencia óptica en W (columna B, amarilla), tal como la da el medidor: por ejemplo 2.35E-05.</t>
  </si>
  <si>
    <t>4. En Registro, escribir la hora de inicio y la hora de fin de cada corrida (hh:mm). La duración y el tiempo entre inicios se calculan solos.</t>
  </si>
  <si>
    <t>5. Revisar el «Estado de la traza» (columna L del Registro, o la celda M20 de la hoja). Si dice OK o Aviso, seguir. Si dice Revisar, comprobar los datos escritos antes de seguir.</t>
  </si>
  <si>
    <t>6. Una traza solo se marca «No» en ¿Válida? por una causa anotada en el momento (el láser perdió los pulsos, la potencia salió de rango, el barrido se interrumpió). Nunca por dar un valor inesperado. Toda traza descartada se repone en la siguiente hoja de reposición (R10, R11, R12).</t>
  </si>
  <si>
    <t>7. La hoja Resumen da n, la media, S, el intervalo de confianza del 95 % y la prueba t de una muestra contra τ0 del fabricante. El análisis definitivo (ajuste sech² de toda la traza) se hace después con scripts/trabajo-practico/analiza_piloto.py; aquí se usa el ancho a media altura × 0,65.</t>
  </si>
  <si>
    <t>Colores: amarillo con letra azul = se llena; gris = fijo; lo demás son fórmulas. Las hojas de traza están protegidas (sin contraseña) para no borrar las posiciones ni las fórmulas.</t>
  </si>
  <si>
    <t>Configuración</t>
  </si>
  <si>
    <t>Valores fijos del protocolo. No cambiarlos durante la medición.</t>
  </si>
  <si>
    <t>Parámetro</t>
  </si>
  <si>
    <t>Valor</t>
  </si>
  <si>
    <t>Nota</t>
  </si>
  <si>
    <t>Corriente de bombeo (A)</t>
  </si>
  <si>
    <t>I3 del protocolo; hoja de pruebas de fábrica, tabla 5.</t>
  </si>
  <si>
    <t>τ0: ancho de pulso del fabricante (fs)</t>
  </si>
  <si>
    <t>Tabla 5 de la hoja de pruebas de fábrica.</t>
  </si>
  <si>
    <t>Potencia media de fábrica (mW)</t>
  </si>
  <si>
    <t>Referencia para comparar con la potencia medida.</t>
  </si>
  <si>
    <t>Paso del micrómetro (µm)</t>
  </si>
  <si>
    <t>Fijo, como en el piloto.</t>
  </si>
  <si>
    <t>Veces que el haz recorre el desplazamiento</t>
  </si>
  <si>
    <t>Retrorreflector: τ = 2Δx/c.</t>
  </si>
  <si>
    <t>Velocidad de la luz c (m/s)</t>
  </si>
  <si>
    <t>Valor exacto (SI).</t>
  </si>
  <si>
    <t>Retardo por µm del micrómetro (fs)</t>
  </si>
  <si>
    <t>6,6713 fs por µm.</t>
  </si>
  <si>
    <t>Factor de forma sech²: τp = factor × Δτ_AC</t>
  </si>
  <si>
    <t>El que usa Calmar (teórico 0,648).</t>
  </si>
  <si>
    <t>Lecturas por ala para el fondo</t>
  </si>
  <si>
    <t>Promedio de las 2 primeras y las 2 últimas lecturas.</t>
  </si>
  <si>
    <t>Semiventana de suavizado</t>
  </si>
  <si>
    <t>0 = sin suavizar (programa de análisis fijo).</t>
  </si>
  <si>
    <t>Lecturas mínimas dentro del ancho a media altura</t>
  </si>
  <si>
    <t>Con paso de 10 µm el piloto tuvo 4–5 lecturas dentro del FWHM.</t>
  </si>
  <si>
    <t>Recorrido mínimo a cada lado del centro (múltiplos de Δτ_AC)</t>
  </si>
  <si>
    <t>Si no se alcanza, el fondo sale alto y el ancho corto.</t>
  </si>
  <si>
    <t>α de la prueba t (dos colas)</t>
  </si>
  <si>
    <t>Protocolo.</t>
  </si>
  <si>
    <t>Posición del micrómetro (µm) · fija</t>
  </si>
  <si>
    <t>Potencia óptica (W)</t>
  </si>
  <si>
    <t>Retardo τ (fs)</t>
  </si>
  <si>
    <t>Señal suavizada</t>
  </si>
  <si>
    <t>Señal normalizada</t>
  </si>
  <si>
    <t>Cruce izq. (fila)</t>
  </si>
  <si>
    <t>Cruce der. (fila)</t>
  </si>
  <si>
    <t>τ de cruce (fs)</t>
  </si>
  <si>
    <t>Retardo centrado (fs) · gráfica</t>
  </si>
  <si>
    <t>Normalizada · gráfica</t>
  </si>
  <si>
    <t>Sentido</t>
  </si>
  <si>
    <t>Posiciones de la traza</t>
  </si>
  <si>
    <t>Lecturas de potencia escritas</t>
  </si>
  <si>
    <t>Fondo (promedio de las alas, W)</t>
  </si>
  <si>
    <t>Máximo de la señal (W)</t>
  </si>
  <si>
    <t>Fila del máximo</t>
  </si>
  <si>
    <t>Retardo del máximo (fs)</t>
  </si>
  <si>
    <t>Fila del cruce izquierdo a media altura</t>
  </si>
  <si>
    <t>Fila del cruce derecho a media altura</t>
  </si>
  <si>
    <t>τ del cruce izquierdo (fs)</t>
  </si>
  <si>
    <t>τ del cruce derecho (fs)</t>
  </si>
  <si>
    <t>Ancho de la traza a media altura Δτ_AC (fs)</t>
  </si>
  <si>
    <t>Ancho de pulso τp = factor × Δτ_AC (fs)</t>
  </si>
  <si>
    <t>Referencia: τp si fuera gaussiano (fs)</t>
  </si>
  <si>
    <t>Centro de la traza (fs)</t>
  </si>
  <si>
    <t>Lecturas dentro del ancho a media altura</t>
  </si>
  <si>
    <t>Recorrido a la izquierda del centro (fs)</t>
  </si>
  <si>
    <t>Recorrido a la derecha del centro (fs)</t>
  </si>
  <si>
    <t>Posición del pico (µm)</t>
  </si>
  <si>
    <t>Estado de la traza</t>
  </si>
  <si>
    <t>Traza R01</t>
  </si>
  <si>
    <t>7 A</t>
  </si>
  <si>
    <t>Línea de media altura (gráfica)</t>
  </si>
  <si>
    <t>Solo se llena la columna B (potencia en W), en el orden de las posiciones.</t>
  </si>
  <si>
    <t>Traza R02</t>
  </si>
  <si>
    <t>Traza R03</t>
  </si>
  <si>
    <t>Traza R04</t>
  </si>
  <si>
    <t>Traza R05</t>
  </si>
  <si>
    <t>Traza R06</t>
  </si>
  <si>
    <t>Traza R07</t>
  </si>
  <si>
    <t>Traza R08</t>
  </si>
  <si>
    <t>Traza R09</t>
  </si>
  <si>
    <t>Traza R10 · reposición</t>
  </si>
  <si>
    <t>Traza R11 · reposición</t>
  </si>
  <si>
    <t>Traza R12 · reposición</t>
  </si>
  <si>
    <t>Registro de la medición · 7 A (I3)</t>
  </si>
  <si>
    <t>Amarillo = llenar. Nueve réplicas seguidas a la misma corriente; R10–R12 solo si hay que reponer una traza descartada.</t>
  </si>
  <si>
    <t>Fecha</t>
  </si>
  <si>
    <t>sábado 31 oct 2026</t>
  </si>
  <si>
    <t>Encendido del láser</t>
  </si>
  <si>
    <t>Corriente (A)</t>
  </si>
  <si>
    <t>Temperatura del laboratorio (°C)</t>
  </si>
  <si>
    <t>Responsables:</t>
  </si>
  <si>
    <t>N°</t>
  </si>
  <si>
    <t>Hoja</t>
  </si>
  <si>
    <t>Hora inicio</t>
  </si>
  <si>
    <t>Hora fin</t>
  </si>
  <si>
    <t>Duración (min)</t>
  </si>
  <si>
    <t>Δ inicio a la siguiente (min)</t>
  </si>
  <si>
    <t>Potencia media del láser (mW)</t>
  </si>
  <si>
    <t>¿Válida?</t>
  </si>
  <si>
    <t>Observaciones (causa si no es válida)</t>
  </si>
  <si>
    <t>Δτ_AC (fs)</t>
  </si>
  <si>
    <t>τp (fs)</t>
  </si>
  <si>
    <t>τp usable (fs)</t>
  </si>
  <si>
    <t>R01</t>
  </si>
  <si>
    <t>Sí</t>
  </si>
  <si>
    <t>R02</t>
  </si>
  <si>
    <t>R03</t>
  </si>
  <si>
    <t>R04</t>
  </si>
  <si>
    <t>R05</t>
  </si>
  <si>
    <t>R06</t>
  </si>
  <si>
    <t>R07</t>
  </si>
  <si>
    <t>R08</t>
  </si>
  <si>
    <t>R09</t>
  </si>
  <si>
    <t>R10</t>
  </si>
  <si>
    <t>Reposición: anotar qué traza reemplaza</t>
  </si>
  <si>
    <t>R11</t>
  </si>
  <si>
    <t>R12</t>
  </si>
  <si>
    <t>Media</t>
  </si>
  <si>
    <t>Total (h)</t>
  </si>
  <si>
    <t>del primer inicio al último fin</t>
  </si>
  <si>
    <t>Reglas del protocolo (sección 5): una traza solo se marca «No» por una causa anotada en el momento (el láser perdió los pulsos, la potencia salió de rango, el barrido se interrumpió). Nunca por dar un valor inesperado. La traza que la reemplaza va en la siguiente hoja de reposición (R10, R11, R12), y se anota en Observaciones a cuál reemplaza.</t>
  </si>
  <si>
    <t>Resumen y prueba t de una muestra · 7 A</t>
  </si>
  <si>
    <t>Cuentan las trazas con τp calculado y no marcadas «No» en el Registro (incluidas las de reposición).</t>
  </si>
  <si>
    <t>Cálculo</t>
  </si>
  <si>
    <t>Réplicas válidas n</t>
  </si>
  <si>
    <t>Meta: 9.</t>
  </si>
  <si>
    <t>Media de τp, ȳ (fs)</t>
  </si>
  <si>
    <t>Estimador: ancho a media altura × factor sech².</t>
  </si>
  <si>
    <t>Desviación estándar S (fs)</t>
  </si>
  <si>
    <t>Coeficiente de variación (%)</t>
  </si>
  <si>
    <t>τ0 del fabricante (fs)</t>
  </si>
  <si>
    <t>Tabla 5 de la hoja de pruebas.</t>
  </si>
  <si>
    <t>ȳ − τ0 (fs)</t>
  </si>
  <si>
    <t>Estadístico t0 = (ȳ − τ0) / (S/√n)</t>
  </si>
  <si>
    <t>H0: μ = τ0   frente a   H1: μ ≠ τ0.</t>
  </si>
  <si>
    <t>Grados de libertad n − 1</t>
  </si>
  <si>
    <t>t crítico t(α/2, n − 1)</t>
  </si>
  <si>
    <t>Valor P (dos colas)</t>
  </si>
  <si>
    <t>Límite inferior del IC 95 % de μ (fs)</t>
  </si>
  <si>
    <t>Límite superior del IC 95 % de μ (fs)</t>
  </si>
  <si>
    <t>Decisión</t>
  </si>
  <si>
    <t>Duración media por corrida (min)</t>
  </si>
  <si>
    <t>Desde el Registro.</t>
  </si>
  <si>
    <t>Prueba preliminar con el estimador de la hoja (FWHM × 0,65). El informe usa el ajuste sech² de toda la traza (analiza_piloto.py) y valida los supuestos (normalidad, sin tendencia en el orden de medición).</t>
  </si>
</sst>
</file>

<file path=xl/styles.xml><?xml version="1.0" encoding="utf-8"?>
<styleSheet xmlns="http://schemas.openxmlformats.org/spreadsheetml/2006/main">
  <numFmts count="6">
    <numFmt numFmtId="164" formatCode="0.00"/>
    <numFmt numFmtId="165" formatCode="0.0000"/>
    <numFmt numFmtId="166" formatCode="hh:mm"/>
    <numFmt numFmtId="167" formatCode="0.000"/>
    <numFmt numFmtId="168" formatCode="0.000E+00"/>
    <numFmt numFmtId="169" formatCode="0.00E+00"/>
  </numFmts>
  <fonts count="10">
    <font>
      <sz val="11"/>
      <color theme="1"/>
      <name val="Calibri"/>
      <family val="2"/>
      <scheme val="minor"/>
    </font>
    <font>
      <b/>
      <sz val="14"/>
      <color rgb="FF1F3864"/>
      <name val="Arial"/>
      <family val="2"/>
    </font>
    <font>
      <i/>
      <sz val="10"/>
      <color rgb="FF595959"/>
      <name val="Arial"/>
      <family val="2"/>
    </font>
    <font>
      <sz val="10"/>
      <color theme="1"/>
      <name val="Arial"/>
      <family val="2"/>
    </font>
    <font>
      <b/>
      <sz val="10"/>
      <color rgb="FFFFFFFF"/>
      <name val="Arial"/>
      <family val="2"/>
    </font>
    <font>
      <b/>
      <sz val="10"/>
      <color theme="1"/>
      <name val="Arial"/>
      <family val="2"/>
    </font>
    <font>
      <sz val="10"/>
      <color rgb="FF0000FF"/>
      <name val="Arial"/>
      <family val="2"/>
    </font>
    <font>
      <sz val="10"/>
      <color rgb="FF008000"/>
      <name val="Arial"/>
      <family val="2"/>
    </font>
    <font>
      <b/>
      <sz val="12"/>
      <color theme="1"/>
      <name val="Arial"/>
      <family val="2"/>
    </font>
    <font>
      <sz val="10"/>
      <color rgb="FF808080"/>
      <name val="Arial"/>
      <family val="2"/>
    </font>
  </fonts>
  <fills count="6">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E2EFDA"/>
        <bgColor indexed="64"/>
      </patternFill>
    </fill>
    <fill>
      <patternFill patternType="solid">
        <fgColor rgb="FFD9D9D9"/>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vertical="center"/>
    </xf>
    <xf numFmtId="0" fontId="2" fillId="0" borderId="0" xfId="0" applyFont="1" applyAlignment="1">
      <alignment vertical="top" wrapText="1"/>
    </xf>
    <xf numFmtId="1" fontId="3" fillId="0" borderId="1" xfId="0" applyNumberFormat="1" applyFont="1" applyBorder="1" applyAlignment="1">
      <alignment vertical="center"/>
    </xf>
    <xf numFmtId="165" fontId="3" fillId="0" borderId="1" xfId="0" applyNumberFormat="1" applyFont="1" applyBorder="1" applyAlignment="1">
      <alignment vertical="center"/>
    </xf>
    <xf numFmtId="1" fontId="3" fillId="0" borderId="1" xfId="0" applyNumberFormat="1" applyFont="1" applyBorder="1" applyAlignment="1">
      <alignment horizontal="center" vertical="center"/>
    </xf>
    <xf numFmtId="0" fontId="5" fillId="0" borderId="1" xfId="0" applyFont="1" applyBorder="1" applyAlignment="1">
      <alignment vertical="center" wrapText="1"/>
    </xf>
    <xf numFmtId="0" fontId="6" fillId="3" borderId="1" xfId="0" applyFont="1" applyFill="1" applyBorder="1" applyAlignment="1" applyProtection="1">
      <alignment vertical="center"/>
      <protection locked="0"/>
    </xf>
    <xf numFmtId="166" fontId="6" fillId="3" borderId="1" xfId="0" applyNumberFormat="1" applyFont="1" applyFill="1" applyBorder="1" applyAlignment="1" applyProtection="1">
      <alignment horizontal="center" vertical="center"/>
      <protection locked="0"/>
    </xf>
    <xf numFmtId="164" fontId="7" fillId="0" borderId="1" xfId="0" applyNumberFormat="1" applyFont="1" applyBorder="1" applyAlignment="1">
      <alignment vertical="center"/>
    </xf>
    <xf numFmtId="0" fontId="7" fillId="0" borderId="1" xfId="0" applyFont="1" applyBorder="1" applyAlignment="1">
      <alignment vertical="center"/>
    </xf>
    <xf numFmtId="1" fontId="7" fillId="0" borderId="1" xfId="0" applyNumberFormat="1" applyFont="1" applyBorder="1" applyAlignment="1">
      <alignment vertical="center"/>
    </xf>
    <xf numFmtId="0" fontId="6" fillId="3" borderId="1" xfId="0" applyFont="1" applyFill="1" applyBorder="1" applyAlignment="1" applyProtection="1">
      <alignment vertical="center" wrapText="1"/>
      <protection locked="0"/>
    </xf>
    <xf numFmtId="164" fontId="8" fillId="4" borderId="2" xfId="0" applyNumberFormat="1" applyFont="1" applyFill="1" applyBorder="1" applyAlignment="1">
      <alignment vertical="center"/>
    </xf>
    <xf numFmtId="167" fontId="3" fillId="0" borderId="1" xfId="0" applyNumberFormat="1" applyFont="1" applyBorder="1" applyAlignment="1">
      <alignment vertical="center"/>
    </xf>
    <xf numFmtId="0" fontId="5" fillId="4" borderId="2" xfId="0" applyFont="1" applyFill="1" applyBorder="1" applyAlignment="1">
      <alignment vertical="center" wrapText="1"/>
    </xf>
    <xf numFmtId="1" fontId="5" fillId="5" borderId="1" xfId="0" applyNumberFormat="1" applyFont="1" applyFill="1" applyBorder="1" applyAlignment="1">
      <alignment horizontal="center" vertical="center"/>
    </xf>
    <xf numFmtId="168" fontId="6" fillId="3" borderId="1" xfId="0" applyNumberFormat="1" applyFont="1" applyFill="1" applyBorder="1" applyAlignment="1" applyProtection="1">
      <alignment vertical="center"/>
      <protection locked="0"/>
    </xf>
    <xf numFmtId="164" fontId="9" fillId="0" borderId="0" xfId="0" applyNumberFormat="1" applyFont="1" applyAlignment="1">
      <alignment vertical="center"/>
    </xf>
    <xf numFmtId="168" fontId="9" fillId="0" borderId="0" xfId="0" applyNumberFormat="1" applyFont="1" applyAlignment="1">
      <alignment vertical="center"/>
    </xf>
    <xf numFmtId="165" fontId="9" fillId="0" borderId="0" xfId="0" applyNumberFormat="1" applyFont="1" applyAlignment="1">
      <alignment vertical="center"/>
    </xf>
    <xf numFmtId="169" fontId="3" fillId="0" borderId="1" xfId="0" applyNumberFormat="1" applyFont="1" applyBorder="1" applyAlignment="1">
      <alignment vertical="center"/>
    </xf>
  </cellXfs>
  <cellStyles count="1">
    <cellStyle name="Normal" xfId="0" builtinId="0"/>
  </cellStyles>
  <dxfs count="5">
    <dxf>
      <font>
        <color rgb="FF006100"/>
      </font>
      <fill>
        <patternFill>
          <bgColor rgb="FFC6EF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D9D9D9"/>
      </font>
    </dxf>
    <dxf>
      <fill>
        <patternFill>
          <bgColor rgb="FFF2F2F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τp en el orden de medición (¿hay deriva?)</a:t>
            </a:r>
          </a:p>
        </c:rich>
      </c:tx>
      <c:layout/>
    </c:title>
    <c:plotArea>
      <c:layout/>
      <c:scatterChart>
        <c:scatterStyle val="lineMarker"/>
        <c:ser>
          <c:idx val="0"/>
          <c:order val="0"/>
          <c:tx>
            <c:v>τp por réplica</c:v>
          </c:tx>
          <c:spPr>
            <a:ln w="28575">
              <a:noFill/>
            </a:ln>
          </c:spPr>
          <c:marker>
            <c:symbol val="circle"/>
            <c:size val="7"/>
            <c:spPr>
              <a:solidFill>
                <a:srgbClr val="1F3864"/>
              </a:solidFill>
              <a:ln>
                <a:solidFill>
                  <a:srgbClr val="1F3864"/>
                </a:solidFill>
              </a:ln>
            </c:spPr>
          </c:marker>
          <c:xVal>
            <c:numRef>
              <c:f>Registro!$A$7:$A$18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Registro!$N$7:$N$18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er>
        <c:axId val="50010001"/>
        <c:axId val="50010002"/>
      </c:scatterChart>
      <c:valAx>
        <c:axId val="50010001"/>
        <c:scaling>
          <c:orientation val="minMax"/>
          <c:max val="13"/>
          <c:min val="0"/>
        </c:scaling>
        <c:axPos val="b"/>
        <c:title>
          <c:tx>
            <c:rich>
              <a:bodyPr/>
              <a:lstStyle/>
              <a:p>
                <a:pPr>
                  <a:defRPr/>
                </a:pPr>
                <a:r>
                  <a:rPr lang="en-US"/>
                  <a:t>N° de corrida</a:t>
                </a:r>
              </a:p>
            </c:rich>
          </c:tx>
          <c:layout/>
        </c:title>
        <c:numFmt formatCode="General" sourceLinked="1"/>
        <c:tickLblPos val="nextTo"/>
        <c:crossAx val="50010002"/>
        <c:crosses val="autoZero"/>
        <c:crossBetween val="midCat"/>
        <c:majorUnit val="1"/>
      </c:valAx>
      <c:valAx>
        <c:axId val="50010002"/>
        <c:scaling>
          <c:orientation val="minMax"/>
        </c:scaling>
        <c:axPos val="l"/>
        <c:majorGridlines>
          <c:spPr>
            <a:ln>
              <a:solidFill>
                <a:srgbClr val="EEEEEE"/>
              </a:solidFill>
            </a:ln>
          </c:spPr>
        </c:majorGridlines>
        <c:title>
          <c:tx>
            <c:rich>
              <a:bodyPr rot="-5400000" vert="horz"/>
              <a:lstStyle/>
              <a:p>
                <a:pPr>
                  <a:defRPr/>
                </a:pPr>
                <a:r>
                  <a:rPr lang="en-US"/>
                  <a:t>τp (fs)</a:t>
                </a:r>
              </a:p>
            </c:rich>
          </c:tx>
          <c:layout/>
        </c:title>
        <c:numFmt formatCode="General" sourceLinked="1"/>
        <c:tickLblPos val="nextTo"/>
        <c:crossAx val="50010001"/>
        <c:crosses val="autoZero"/>
        <c:crossBetween val="midCat"/>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'R01'!$A$2:$A$23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'R01'!$B$2:$B$23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20001"/>
        <c:axId val="50020002"/>
      </c:scatterChart>
      <c:valAx>
        <c:axId val="5002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20002"/>
        <c:crosses val="autoZero"/>
        <c:crossBetween val="midCat"/>
      </c:valAx>
      <c:valAx>
        <c:axId val="5002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20001"/>
        <c:crosses val="autoZero"/>
        <c:crossBetween val="midCat"/>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'R01'!$I$2:$I$23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'R01'!$J$2:$J$23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'R01'!$L$23:$L$24</c:f>
              <c:numCache>
                <c:formatCode>General</c:formatCode>
                <c:ptCount val="2"/>
                <c:pt idx="0">
                  <c:v>0</c:v>
                </c:pt>
                <c:pt idx="1">
                  <c:v>0</c:v>
                </c:pt>
              </c:numCache>
            </c:numRef>
          </c:xVal>
          <c:yVal>
            <c:numRef>
              <c:f>'R01'!$M$23:$M$24</c:f>
              <c:numCache>
                <c:formatCode>General</c:formatCode>
                <c:ptCount val="2"/>
                <c:pt idx="0">
                  <c:v>0</c:v>
                </c:pt>
                <c:pt idx="1">
                  <c:v>0</c:v>
                </c:pt>
              </c:numCache>
            </c:numRef>
          </c:yVal>
        </c:ser>
        <c:axId val="50030001"/>
        <c:axId val="50030002"/>
      </c:scatterChart>
      <c:valAx>
        <c:axId val="50030001"/>
        <c:scaling>
          <c:orientation val="minMax"/>
        </c:scaling>
        <c:axPos val="b"/>
        <c:title>
          <c:tx>
            <c:rich>
              <a:bodyPr/>
              <a:lstStyle/>
              <a:p>
                <a:pPr>
                  <a:defRPr/>
                </a:pPr>
                <a:r>
                  <a:rPr lang="en-US"/>
                  <a:t>Retardo respecto al centro (fs)</a:t>
                </a:r>
              </a:p>
            </c:rich>
          </c:tx>
          <c:layout/>
        </c:title>
        <c:numFmt formatCode="General" sourceLinked="1"/>
        <c:tickLblPos val="nextTo"/>
        <c:crossAx val="50030002"/>
        <c:crosses val="autoZero"/>
        <c:crossBetween val="midCat"/>
      </c:valAx>
      <c:valAx>
        <c:axId val="5003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3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'R02'!$A$2:$A$23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'R02'!$B$2:$B$23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40001"/>
        <c:axId val="50040002"/>
      </c:scatterChart>
      <c:valAx>
        <c:axId val="5004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40002"/>
        <c:crosses val="autoZero"/>
        <c:crossBetween val="midCat"/>
      </c:valAx>
      <c:valAx>
        <c:axId val="5004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40001"/>
        <c:crosses val="autoZero"/>
        <c:crossBetween val="midCat"/>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'R02'!$I$2:$I$23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'R02'!$J$2:$J$23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'R02'!$L$23:$L$24</c:f>
              <c:numCache>
                <c:formatCode>General</c:formatCode>
                <c:ptCount val="2"/>
                <c:pt idx="0">
                  <c:v>0</c:v>
                </c:pt>
                <c:pt idx="1">
                  <c:v>0</c:v>
                </c:pt>
              </c:numCache>
            </c:numRef>
          </c:xVal>
          <c:yVal>
            <c:numRef>
              <c:f>'R02'!$M$23:$M$24</c:f>
              <c:numCache>
                <c:formatCode>General</c:formatCode>
                <c:ptCount val="2"/>
                <c:pt idx="0">
                  <c:v>0</c:v>
                </c:pt>
                <c:pt idx="1">
                  <c:v>0</c:v>
                </c:pt>
              </c:numCache>
            </c:numRef>
          </c:yVal>
        </c:ser>
        <c:axId val="50050001"/>
        <c:axId val="50050002"/>
      </c:scatterChart>
      <c:valAx>
        <c:axId val="50050001"/>
        <c:scaling>
          <c:orientation val="minMax"/>
        </c:scaling>
        <c:axPos val="b"/>
        <c:title>
          <c:tx>
            <c:rich>
              <a:bodyPr/>
              <a:lstStyle/>
              <a:p>
                <a:pPr>
                  <a:defRPr/>
                </a:pPr>
                <a:r>
                  <a:rPr lang="en-US"/>
                  <a:t>Retardo respecto al centro (fs)</a:t>
                </a:r>
              </a:p>
            </c:rich>
          </c:tx>
          <c:layout/>
        </c:title>
        <c:numFmt formatCode="General" sourceLinked="1"/>
        <c:tickLblPos val="nextTo"/>
        <c:crossAx val="50050002"/>
        <c:crosses val="autoZero"/>
        <c:crossBetween val="midCat"/>
      </c:valAx>
      <c:valAx>
        <c:axId val="5005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5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'R03'!$A$2:$A$23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'R03'!$B$2:$B$23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60001"/>
        <c:axId val="50060002"/>
      </c:scatterChart>
      <c:valAx>
        <c:axId val="5006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60002"/>
        <c:crosses val="autoZero"/>
        <c:crossBetween val="midCat"/>
      </c:valAx>
      <c:valAx>
        <c:axId val="5006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60001"/>
        <c:crosses val="autoZero"/>
        <c:crossBetween val="midCat"/>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'R03'!$I$2:$I$23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'R03'!$J$2:$J$23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'R03'!$L$23:$L$24</c:f>
              <c:numCache>
                <c:formatCode>General</c:formatCode>
                <c:ptCount val="2"/>
                <c:pt idx="0">
                  <c:v>0</c:v>
                </c:pt>
                <c:pt idx="1">
                  <c:v>0</c:v>
                </c:pt>
              </c:numCache>
            </c:numRef>
          </c:xVal>
          <c:yVal>
            <c:numRef>
              <c:f>'R03'!$M$23:$M$24</c:f>
              <c:numCache>
                <c:formatCode>General</c:formatCode>
                <c:ptCount val="2"/>
                <c:pt idx="0">
                  <c:v>0</c:v>
                </c:pt>
                <c:pt idx="1">
                  <c:v>0</c:v>
                </c:pt>
              </c:numCache>
            </c:numRef>
          </c:yVal>
        </c:ser>
        <c:axId val="50070001"/>
        <c:axId val="50070002"/>
      </c:scatterChart>
      <c:valAx>
        <c:axId val="50070001"/>
        <c:scaling>
          <c:orientation val="minMax"/>
        </c:scaling>
        <c:axPos val="b"/>
        <c:title>
          <c:tx>
            <c:rich>
              <a:bodyPr/>
              <a:lstStyle/>
              <a:p>
                <a:pPr>
                  <a:defRPr/>
                </a:pPr>
                <a:r>
                  <a:rPr lang="en-US"/>
                  <a:t>Retardo respecto al centro (fs)</a:t>
                </a:r>
              </a:p>
            </c:rich>
          </c:tx>
          <c:layout/>
        </c:title>
        <c:numFmt formatCode="General" sourceLinked="1"/>
        <c:tickLblPos val="nextTo"/>
        <c:crossAx val="50070002"/>
        <c:crosses val="autoZero"/>
        <c:crossBetween val="midCat"/>
      </c:valAx>
      <c:valAx>
        <c:axId val="5007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7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'R04'!$A$2:$A$23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'R04'!$B$2:$B$23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80001"/>
        <c:axId val="50080002"/>
      </c:scatterChart>
      <c:valAx>
        <c:axId val="5008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80002"/>
        <c:crosses val="autoZero"/>
        <c:crossBetween val="midCat"/>
      </c:valAx>
      <c:valAx>
        <c:axId val="5008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80001"/>
        <c:crosses val="autoZero"/>
        <c:crossBetween val="midCat"/>
      </c:valAx>
    </c:plotArea>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'R04'!$I$2:$I$23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'R04'!$J$2:$J$23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'R04'!$L$23:$L$24</c:f>
              <c:numCache>
                <c:formatCode>General</c:formatCode>
                <c:ptCount val="2"/>
                <c:pt idx="0">
                  <c:v>0</c:v>
                </c:pt>
                <c:pt idx="1">
                  <c:v>0</c:v>
                </c:pt>
              </c:numCache>
            </c:numRef>
          </c:xVal>
          <c:yVal>
            <c:numRef>
              <c:f>'R04'!$M$23:$M$24</c:f>
              <c:numCache>
                <c:formatCode>General</c:formatCode>
                <c:ptCount val="2"/>
                <c:pt idx="0">
                  <c:v>0</c:v>
                </c:pt>
                <c:pt idx="1">
                  <c:v>0</c:v>
                </c:pt>
              </c:numCache>
            </c:numRef>
          </c:yVal>
        </c:ser>
        <c:axId val="50090001"/>
        <c:axId val="50090002"/>
      </c:scatterChart>
      <c:valAx>
        <c:axId val="50090001"/>
        <c:scaling>
          <c:orientation val="minMax"/>
        </c:scaling>
        <c:axPos val="b"/>
        <c:title>
          <c:tx>
            <c:rich>
              <a:bodyPr/>
              <a:lstStyle/>
              <a:p>
                <a:pPr>
                  <a:defRPr/>
                </a:pPr>
                <a:r>
                  <a:rPr lang="en-US"/>
                  <a:t>Retardo respecto al centro (fs)</a:t>
                </a:r>
              </a:p>
            </c:rich>
          </c:tx>
          <c:layout/>
        </c:title>
        <c:numFmt formatCode="General" sourceLinked="1"/>
        <c:tickLblPos val="nextTo"/>
        <c:crossAx val="50090002"/>
        <c:crosses val="autoZero"/>
        <c:crossBetween val="midCat"/>
      </c:valAx>
      <c:valAx>
        <c:axId val="5009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9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'R05'!$A$2:$A$23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'R05'!$B$2:$B$23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00001"/>
        <c:axId val="50100002"/>
      </c:scatterChart>
      <c:valAx>
        <c:axId val="5010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00002"/>
        <c:crosses val="autoZero"/>
        <c:crossBetween val="midCat"/>
      </c:valAx>
      <c:valAx>
        <c:axId val="5010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00001"/>
        <c:crosses val="autoZero"/>
        <c:crossBetween val="midCat"/>
      </c:valAx>
    </c:plotArea>
    <c:plotVisOnly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'R05'!$I$2:$I$23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'R05'!$J$2:$J$23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'R05'!$L$23:$L$24</c:f>
              <c:numCache>
                <c:formatCode>General</c:formatCode>
                <c:ptCount val="2"/>
                <c:pt idx="0">
                  <c:v>0</c:v>
                </c:pt>
                <c:pt idx="1">
                  <c:v>0</c:v>
                </c:pt>
              </c:numCache>
            </c:numRef>
          </c:xVal>
          <c:yVal>
            <c:numRef>
              <c:f>'R05'!$M$23:$M$24</c:f>
              <c:numCache>
                <c:formatCode>General</c:formatCode>
                <c:ptCount val="2"/>
                <c:pt idx="0">
                  <c:v>0</c:v>
                </c:pt>
                <c:pt idx="1">
                  <c:v>0</c:v>
                </c:pt>
              </c:numCache>
            </c:numRef>
          </c:yVal>
        </c:ser>
        <c:axId val="50110001"/>
        <c:axId val="50110002"/>
      </c:scatterChart>
      <c:valAx>
        <c:axId val="50110001"/>
        <c:scaling>
          <c:orientation val="minMax"/>
        </c:scaling>
        <c:axPos val="b"/>
        <c:title>
          <c:tx>
            <c:rich>
              <a:bodyPr/>
              <a:lstStyle/>
              <a:p>
                <a:pPr>
                  <a:defRPr/>
                </a:pPr>
                <a:r>
                  <a:rPr lang="en-US"/>
                  <a:t>Retardo respecto al centro (fs)</a:t>
                </a:r>
              </a:p>
            </c:rich>
          </c:tx>
          <c:layout/>
        </c:title>
        <c:numFmt formatCode="General" sourceLinked="1"/>
        <c:tickLblPos val="nextTo"/>
        <c:crossAx val="50110002"/>
        <c:crosses val="autoZero"/>
        <c:crossBetween val="midCat"/>
      </c:valAx>
      <c:valAx>
        <c:axId val="5011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1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'R06'!$A$2:$A$23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'R06'!$B$2:$B$23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20001"/>
        <c:axId val="50120002"/>
      </c:scatterChart>
      <c:valAx>
        <c:axId val="5012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20002"/>
        <c:crosses val="autoZero"/>
        <c:crossBetween val="midCat"/>
      </c:valAx>
      <c:valAx>
        <c:axId val="5012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20001"/>
        <c:crosses val="autoZero"/>
        <c:crossBetween val="midCat"/>
      </c:valAx>
    </c:plotArea>
    <c:plotVisOnly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'R06'!$I$2:$I$23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'R06'!$J$2:$J$23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'R06'!$L$23:$L$24</c:f>
              <c:numCache>
                <c:formatCode>General</c:formatCode>
                <c:ptCount val="2"/>
                <c:pt idx="0">
                  <c:v>0</c:v>
                </c:pt>
                <c:pt idx="1">
                  <c:v>0</c:v>
                </c:pt>
              </c:numCache>
            </c:numRef>
          </c:xVal>
          <c:yVal>
            <c:numRef>
              <c:f>'R06'!$M$23:$M$24</c:f>
              <c:numCache>
                <c:formatCode>General</c:formatCode>
                <c:ptCount val="2"/>
                <c:pt idx="0">
                  <c:v>0</c:v>
                </c:pt>
                <c:pt idx="1">
                  <c:v>0</c:v>
                </c:pt>
              </c:numCache>
            </c:numRef>
          </c:yVal>
        </c:ser>
        <c:axId val="50130001"/>
        <c:axId val="50130002"/>
      </c:scatterChart>
      <c:valAx>
        <c:axId val="50130001"/>
        <c:scaling>
          <c:orientation val="minMax"/>
        </c:scaling>
        <c:axPos val="b"/>
        <c:title>
          <c:tx>
            <c:rich>
              <a:bodyPr/>
              <a:lstStyle/>
              <a:p>
                <a:pPr>
                  <a:defRPr/>
                </a:pPr>
                <a:r>
                  <a:rPr lang="en-US"/>
                  <a:t>Retardo respecto al centro (fs)</a:t>
                </a:r>
              </a:p>
            </c:rich>
          </c:tx>
          <c:layout/>
        </c:title>
        <c:numFmt formatCode="General" sourceLinked="1"/>
        <c:tickLblPos val="nextTo"/>
        <c:crossAx val="50130002"/>
        <c:crosses val="autoZero"/>
        <c:crossBetween val="midCat"/>
      </c:valAx>
      <c:valAx>
        <c:axId val="5013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3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'R07'!$A$2:$A$23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'R07'!$B$2:$B$23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40001"/>
        <c:axId val="50140002"/>
      </c:scatterChart>
      <c:valAx>
        <c:axId val="5014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40002"/>
        <c:crosses val="autoZero"/>
        <c:crossBetween val="midCat"/>
      </c:valAx>
      <c:valAx>
        <c:axId val="5014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40001"/>
        <c:crosses val="autoZero"/>
        <c:crossBetween val="midCat"/>
      </c:valAx>
    </c:plotArea>
    <c:plotVisOnly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'R07'!$I$2:$I$23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'R07'!$J$2:$J$23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'R07'!$L$23:$L$24</c:f>
              <c:numCache>
                <c:formatCode>General</c:formatCode>
                <c:ptCount val="2"/>
                <c:pt idx="0">
                  <c:v>0</c:v>
                </c:pt>
                <c:pt idx="1">
                  <c:v>0</c:v>
                </c:pt>
              </c:numCache>
            </c:numRef>
          </c:xVal>
          <c:yVal>
            <c:numRef>
              <c:f>'R07'!$M$23:$M$24</c:f>
              <c:numCache>
                <c:formatCode>General</c:formatCode>
                <c:ptCount val="2"/>
                <c:pt idx="0">
                  <c:v>0</c:v>
                </c:pt>
                <c:pt idx="1">
                  <c:v>0</c:v>
                </c:pt>
              </c:numCache>
            </c:numRef>
          </c:yVal>
        </c:ser>
        <c:axId val="50150001"/>
        <c:axId val="50150002"/>
      </c:scatterChart>
      <c:valAx>
        <c:axId val="50150001"/>
        <c:scaling>
          <c:orientation val="minMax"/>
        </c:scaling>
        <c:axPos val="b"/>
        <c:title>
          <c:tx>
            <c:rich>
              <a:bodyPr/>
              <a:lstStyle/>
              <a:p>
                <a:pPr>
                  <a:defRPr/>
                </a:pPr>
                <a:r>
                  <a:rPr lang="en-US"/>
                  <a:t>Retardo respecto al centro (fs)</a:t>
                </a:r>
              </a:p>
            </c:rich>
          </c:tx>
          <c:layout/>
        </c:title>
        <c:numFmt formatCode="General" sourceLinked="1"/>
        <c:tickLblPos val="nextTo"/>
        <c:crossAx val="50150002"/>
        <c:crosses val="autoZero"/>
        <c:crossBetween val="midCat"/>
      </c:valAx>
      <c:valAx>
        <c:axId val="5015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5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'R08'!$A$2:$A$23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'R08'!$B$2:$B$23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60001"/>
        <c:axId val="50160002"/>
      </c:scatterChart>
      <c:valAx>
        <c:axId val="5016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60002"/>
        <c:crosses val="autoZero"/>
        <c:crossBetween val="midCat"/>
      </c:valAx>
      <c:valAx>
        <c:axId val="5016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60001"/>
        <c:crosses val="autoZero"/>
        <c:crossBetween val="midCat"/>
      </c:valAx>
    </c:plotArea>
    <c:plotVisOnly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'R08'!$I$2:$I$23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'R08'!$J$2:$J$23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'R08'!$L$23:$L$24</c:f>
              <c:numCache>
                <c:formatCode>General</c:formatCode>
                <c:ptCount val="2"/>
                <c:pt idx="0">
                  <c:v>0</c:v>
                </c:pt>
                <c:pt idx="1">
                  <c:v>0</c:v>
                </c:pt>
              </c:numCache>
            </c:numRef>
          </c:xVal>
          <c:yVal>
            <c:numRef>
              <c:f>'R08'!$M$23:$M$24</c:f>
              <c:numCache>
                <c:formatCode>General</c:formatCode>
                <c:ptCount val="2"/>
                <c:pt idx="0">
                  <c:v>0</c:v>
                </c:pt>
                <c:pt idx="1">
                  <c:v>0</c:v>
                </c:pt>
              </c:numCache>
            </c:numRef>
          </c:yVal>
        </c:ser>
        <c:axId val="50170001"/>
        <c:axId val="50170002"/>
      </c:scatterChart>
      <c:valAx>
        <c:axId val="50170001"/>
        <c:scaling>
          <c:orientation val="minMax"/>
        </c:scaling>
        <c:axPos val="b"/>
        <c:title>
          <c:tx>
            <c:rich>
              <a:bodyPr/>
              <a:lstStyle/>
              <a:p>
                <a:pPr>
                  <a:defRPr/>
                </a:pPr>
                <a:r>
                  <a:rPr lang="en-US"/>
                  <a:t>Retardo respecto al centro (fs)</a:t>
                </a:r>
              </a:p>
            </c:rich>
          </c:tx>
          <c:layout/>
        </c:title>
        <c:numFmt formatCode="General" sourceLinked="1"/>
        <c:tickLblPos val="nextTo"/>
        <c:crossAx val="50170002"/>
        <c:crosses val="autoZero"/>
        <c:crossBetween val="midCat"/>
      </c:valAx>
      <c:valAx>
        <c:axId val="5017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7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'R09'!$A$2:$A$23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'R09'!$B$2:$B$23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80001"/>
        <c:axId val="50180002"/>
      </c:scatterChart>
      <c:valAx>
        <c:axId val="5018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80002"/>
        <c:crosses val="autoZero"/>
        <c:crossBetween val="midCat"/>
      </c:valAx>
      <c:valAx>
        <c:axId val="5018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80001"/>
        <c:crosses val="autoZero"/>
        <c:crossBetween val="midCat"/>
      </c:valAx>
    </c:plotArea>
    <c:plotVisOnly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'R09'!$I$2:$I$23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'R09'!$J$2:$J$23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'R09'!$L$23:$L$24</c:f>
              <c:numCache>
                <c:formatCode>General</c:formatCode>
                <c:ptCount val="2"/>
                <c:pt idx="0">
                  <c:v>0</c:v>
                </c:pt>
                <c:pt idx="1">
                  <c:v>0</c:v>
                </c:pt>
              </c:numCache>
            </c:numRef>
          </c:xVal>
          <c:yVal>
            <c:numRef>
              <c:f>'R09'!$M$23:$M$24</c:f>
              <c:numCache>
                <c:formatCode>General</c:formatCode>
                <c:ptCount val="2"/>
                <c:pt idx="0">
                  <c:v>0</c:v>
                </c:pt>
                <c:pt idx="1">
                  <c:v>0</c:v>
                </c:pt>
              </c:numCache>
            </c:numRef>
          </c:yVal>
        </c:ser>
        <c:axId val="50190001"/>
        <c:axId val="50190002"/>
      </c:scatterChart>
      <c:valAx>
        <c:axId val="50190001"/>
        <c:scaling>
          <c:orientation val="minMax"/>
        </c:scaling>
        <c:axPos val="b"/>
        <c:title>
          <c:tx>
            <c:rich>
              <a:bodyPr/>
              <a:lstStyle/>
              <a:p>
                <a:pPr>
                  <a:defRPr/>
                </a:pPr>
                <a:r>
                  <a:rPr lang="en-US"/>
                  <a:t>Retardo respecto al centro (fs)</a:t>
                </a:r>
              </a:p>
            </c:rich>
          </c:tx>
          <c:layout/>
        </c:title>
        <c:numFmt formatCode="General" sourceLinked="1"/>
        <c:tickLblPos val="nextTo"/>
        <c:crossAx val="50190002"/>
        <c:crosses val="autoZero"/>
        <c:crossBetween val="midCat"/>
      </c:valAx>
      <c:valAx>
        <c:axId val="5019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9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'R10'!$A$2:$A$23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'R10'!$B$2:$B$23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200001"/>
        <c:axId val="50200002"/>
      </c:scatterChart>
      <c:valAx>
        <c:axId val="5020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200002"/>
        <c:crosses val="autoZero"/>
        <c:crossBetween val="midCat"/>
      </c:valAx>
      <c:valAx>
        <c:axId val="5020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200001"/>
        <c:crosses val="autoZero"/>
        <c:crossBetween val="midCat"/>
      </c:valAx>
    </c:plotArea>
    <c:plotVisOnly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'R10'!$I$2:$I$23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'R10'!$J$2:$J$23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'R10'!$L$23:$L$24</c:f>
              <c:numCache>
                <c:formatCode>General</c:formatCode>
                <c:ptCount val="2"/>
                <c:pt idx="0">
                  <c:v>0</c:v>
                </c:pt>
                <c:pt idx="1">
                  <c:v>0</c:v>
                </c:pt>
              </c:numCache>
            </c:numRef>
          </c:xVal>
          <c:yVal>
            <c:numRef>
              <c:f>'R10'!$M$23:$M$24</c:f>
              <c:numCache>
                <c:formatCode>General</c:formatCode>
                <c:ptCount val="2"/>
                <c:pt idx="0">
                  <c:v>0</c:v>
                </c:pt>
                <c:pt idx="1">
                  <c:v>0</c:v>
                </c:pt>
              </c:numCache>
            </c:numRef>
          </c:yVal>
        </c:ser>
        <c:axId val="50210001"/>
        <c:axId val="50210002"/>
      </c:scatterChart>
      <c:valAx>
        <c:axId val="50210001"/>
        <c:scaling>
          <c:orientation val="minMax"/>
        </c:scaling>
        <c:axPos val="b"/>
        <c:title>
          <c:tx>
            <c:rich>
              <a:bodyPr/>
              <a:lstStyle/>
              <a:p>
                <a:pPr>
                  <a:defRPr/>
                </a:pPr>
                <a:r>
                  <a:rPr lang="en-US"/>
                  <a:t>Retardo respecto al centro (fs)</a:t>
                </a:r>
              </a:p>
            </c:rich>
          </c:tx>
          <c:layout/>
        </c:title>
        <c:numFmt formatCode="General" sourceLinked="1"/>
        <c:tickLblPos val="nextTo"/>
        <c:crossAx val="50210002"/>
        <c:crosses val="autoZero"/>
        <c:crossBetween val="midCat"/>
      </c:valAx>
      <c:valAx>
        <c:axId val="5021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21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'R11'!$A$2:$A$23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'R11'!$B$2:$B$23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220001"/>
        <c:axId val="50220002"/>
      </c:scatterChart>
      <c:valAx>
        <c:axId val="5022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220002"/>
        <c:crosses val="autoZero"/>
        <c:crossBetween val="midCat"/>
      </c:valAx>
      <c:valAx>
        <c:axId val="5022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220001"/>
        <c:crosses val="autoZero"/>
        <c:crossBetween val="midCat"/>
      </c:valAx>
    </c:plotArea>
    <c:plotVisOnly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'R11'!$I$2:$I$23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'R11'!$J$2:$J$23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'R11'!$L$23:$L$24</c:f>
              <c:numCache>
                <c:formatCode>General</c:formatCode>
                <c:ptCount val="2"/>
                <c:pt idx="0">
                  <c:v>0</c:v>
                </c:pt>
                <c:pt idx="1">
                  <c:v>0</c:v>
                </c:pt>
              </c:numCache>
            </c:numRef>
          </c:xVal>
          <c:yVal>
            <c:numRef>
              <c:f>'R11'!$M$23:$M$24</c:f>
              <c:numCache>
                <c:formatCode>General</c:formatCode>
                <c:ptCount val="2"/>
                <c:pt idx="0">
                  <c:v>0</c:v>
                </c:pt>
                <c:pt idx="1">
                  <c:v>0</c:v>
                </c:pt>
              </c:numCache>
            </c:numRef>
          </c:yVal>
        </c:ser>
        <c:axId val="50230001"/>
        <c:axId val="50230002"/>
      </c:scatterChart>
      <c:valAx>
        <c:axId val="50230001"/>
        <c:scaling>
          <c:orientation val="minMax"/>
        </c:scaling>
        <c:axPos val="b"/>
        <c:title>
          <c:tx>
            <c:rich>
              <a:bodyPr/>
              <a:lstStyle/>
              <a:p>
                <a:pPr>
                  <a:defRPr/>
                </a:pPr>
                <a:r>
                  <a:rPr lang="en-US"/>
                  <a:t>Retardo respecto al centro (fs)</a:t>
                </a:r>
              </a:p>
            </c:rich>
          </c:tx>
          <c:layout/>
        </c:title>
        <c:numFmt formatCode="General" sourceLinked="1"/>
        <c:tickLblPos val="nextTo"/>
        <c:crossAx val="50230002"/>
        <c:crosses val="autoZero"/>
        <c:crossBetween val="midCat"/>
      </c:valAx>
      <c:valAx>
        <c:axId val="5023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23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'R12'!$A$2:$A$23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'R12'!$B$2:$B$23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240001"/>
        <c:axId val="50240002"/>
      </c:scatterChart>
      <c:valAx>
        <c:axId val="5024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240002"/>
        <c:crosses val="autoZero"/>
        <c:crossBetween val="midCat"/>
      </c:valAx>
      <c:valAx>
        <c:axId val="5024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240001"/>
        <c:crosses val="autoZero"/>
        <c:crossBetween val="midCat"/>
      </c:valAx>
    </c:plotArea>
    <c:plotVisOnly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'R12'!$I$2:$I$23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'R12'!$J$2:$J$23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'R12'!$L$23:$L$24</c:f>
              <c:numCache>
                <c:formatCode>General</c:formatCode>
                <c:ptCount val="2"/>
                <c:pt idx="0">
                  <c:v>0</c:v>
                </c:pt>
                <c:pt idx="1">
                  <c:v>0</c:v>
                </c:pt>
              </c:numCache>
            </c:numRef>
          </c:xVal>
          <c:yVal>
            <c:numRef>
              <c:f>'R12'!$M$23:$M$24</c:f>
              <c:numCache>
                <c:formatCode>General</c:formatCode>
                <c:ptCount val="2"/>
                <c:pt idx="0">
                  <c:v>0</c:v>
                </c:pt>
                <c:pt idx="1">
                  <c:v>0</c:v>
                </c:pt>
              </c:numCache>
            </c:numRef>
          </c:yVal>
        </c:ser>
        <c:axId val="50250001"/>
        <c:axId val="50250002"/>
      </c:scatterChart>
      <c:valAx>
        <c:axId val="50250001"/>
        <c:scaling>
          <c:orientation val="minMax"/>
        </c:scaling>
        <c:axPos val="b"/>
        <c:title>
          <c:tx>
            <c:rich>
              <a:bodyPr/>
              <a:lstStyle/>
              <a:p>
                <a:pPr>
                  <a:defRPr/>
                </a:pPr>
                <a:r>
                  <a:rPr lang="en-US"/>
                  <a:t>Retardo respecto al centro (fs)</a:t>
                </a:r>
              </a:p>
            </c:rich>
          </c:tx>
          <c:layout/>
        </c:title>
        <c:numFmt formatCode="General" sourceLinked="1"/>
        <c:tickLblPos val="nextTo"/>
        <c:crossAx val="50250002"/>
        <c:crosses val="autoZero"/>
        <c:crossBetween val="midCat"/>
      </c:valAx>
      <c:valAx>
        <c:axId val="5025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25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4.xml"/><Relationship Id="rId2"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0</xdr:rowOff>
    </xdr:from>
    <xdr:to>
      <xdr:col>12</xdr:col>
      <xdr:colOff>457200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A11"/>
  <sheetViews>
    <sheetView tabSelected="1" workbookViewId="0"/>
  </sheetViews>
  <sheetFormatPr defaultRowHeight="15"/>
  <cols>
    <col min="1" max="1" width="110.7109375" customWidth="1"/>
  </cols>
  <sheetData>
    <row r="1" spans="1:1">
      <c r="A1" s="1" t="s">
        <v>0</v>
      </c>
    </row>
    <row r="2" spans="1:1">
      <c r="A2" s="2" t="s">
        <v>1</v>
      </c>
    </row>
    <row r="4" spans="1:1" ht="42" customHeight="1">
      <c r="A4" s="3" t="s">
        <v>2</v>
      </c>
    </row>
    <row r="5" spans="1:1" ht="42" customHeight="1">
      <c r="A5" s="3" t="s">
        <v>3</v>
      </c>
    </row>
    <row r="6" spans="1:1" ht="42" customHeight="1">
      <c r="A6" s="3" t="s">
        <v>4</v>
      </c>
    </row>
    <row r="7" spans="1:1" ht="42" customHeight="1">
      <c r="A7" s="3" t="s">
        <v>5</v>
      </c>
    </row>
    <row r="8" spans="1:1" ht="42" customHeight="1">
      <c r="A8" s="3" t="s">
        <v>6</v>
      </c>
    </row>
    <row r="9" spans="1:1" ht="42" customHeight="1">
      <c r="A9" s="3" t="s">
        <v>7</v>
      </c>
    </row>
    <row r="10" spans="1:1" ht="42" customHeight="1">
      <c r="A10" s="3" t="s">
        <v>8</v>
      </c>
    </row>
    <row r="11" spans="1:1" ht="42" customHeight="1">
      <c r="A11" s="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heetViews>
  <sheetFormatPr defaultRowHeight="15"/>
  <cols>
    <col min="1" max="1" width="50.7109375" customWidth="1"/>
    <col min="2" max="2" width="16.7109375" customWidth="1"/>
    <col min="3" max="3" width="70.7109375" customWidth="1"/>
  </cols>
  <sheetData>
    <row r="1" spans="1:3">
      <c r="A1" s="1" t="s">
        <v>10</v>
      </c>
    </row>
    <row r="2" spans="1:3">
      <c r="A2" s="2" t="s">
        <v>11</v>
      </c>
    </row>
    <row r="4" spans="1:3">
      <c r="A4" s="4" t="s">
        <v>12</v>
      </c>
      <c r="B4" s="4" t="s">
        <v>13</v>
      </c>
      <c r="C4" s="4" t="s">
        <v>14</v>
      </c>
    </row>
    <row r="5" spans="1:3">
      <c r="A5" s="5" t="s">
        <v>15</v>
      </c>
      <c r="B5" s="6">
        <v>7</v>
      </c>
      <c r="C5" s="7" t="s">
        <v>16</v>
      </c>
    </row>
    <row r="6" spans="1:3">
      <c r="A6" s="5" t="s">
        <v>17</v>
      </c>
      <c r="B6" s="6">
        <v>54</v>
      </c>
      <c r="C6" s="7" t="s">
        <v>18</v>
      </c>
    </row>
    <row r="7" spans="1:3">
      <c r="A7" s="5" t="s">
        <v>19</v>
      </c>
      <c r="B7" s="6">
        <v>579</v>
      </c>
      <c r="C7" s="7" t="s">
        <v>20</v>
      </c>
    </row>
    <row r="8" spans="1:3">
      <c r="A8" s="5" t="s">
        <v>21</v>
      </c>
      <c r="B8" s="6">
        <v>10</v>
      </c>
      <c r="C8" s="7" t="s">
        <v>22</v>
      </c>
    </row>
    <row r="9" spans="1:3">
      <c r="A9" s="5" t="s">
        <v>23</v>
      </c>
      <c r="B9" s="6">
        <v>2</v>
      </c>
      <c r="C9" s="7" t="s">
        <v>24</v>
      </c>
    </row>
    <row r="10" spans="1:3">
      <c r="A10" s="5" t="s">
        <v>25</v>
      </c>
      <c r="B10" s="8">
        <v>299792458</v>
      </c>
      <c r="C10" s="7" t="s">
        <v>26</v>
      </c>
    </row>
    <row r="11" spans="1:3">
      <c r="A11" s="5" t="s">
        <v>27</v>
      </c>
      <c r="B11" s="9">
        <f>pasos*10^-6/c_luz*10^15</f>
        <v>0</v>
      </c>
      <c r="C11" s="7" t="s">
        <v>28</v>
      </c>
    </row>
    <row r="12" spans="1:3">
      <c r="A12" s="5" t="s">
        <v>29</v>
      </c>
      <c r="B12" s="6">
        <v>0.65</v>
      </c>
      <c r="C12" s="7" t="s">
        <v>30</v>
      </c>
    </row>
    <row r="13" spans="1:3">
      <c r="A13" s="5" t="s">
        <v>31</v>
      </c>
      <c r="B13" s="10">
        <v>2</v>
      </c>
      <c r="C13" s="7" t="s">
        <v>32</v>
      </c>
    </row>
    <row r="14" spans="1:3">
      <c r="A14" s="5" t="s">
        <v>33</v>
      </c>
      <c r="B14" s="10">
        <v>0</v>
      </c>
      <c r="C14" s="7" t="s">
        <v>34</v>
      </c>
    </row>
    <row r="15" spans="1:3">
      <c r="A15" s="5" t="s">
        <v>35</v>
      </c>
      <c r="B15" s="10">
        <v>4</v>
      </c>
      <c r="C15" s="7" t="s">
        <v>36</v>
      </c>
    </row>
    <row r="16" spans="1:3">
      <c r="A16" s="5" t="s">
        <v>37</v>
      </c>
      <c r="B16" s="6">
        <v>2</v>
      </c>
      <c r="C16" s="7" t="s">
        <v>38</v>
      </c>
    </row>
    <row r="17" spans="1:3">
      <c r="A17" s="5" t="s">
        <v>39</v>
      </c>
      <c r="B17" s="6">
        <v>0.05</v>
      </c>
      <c r="C17" s="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3"/>
  <sheetViews>
    <sheetView workbookViewId="0">
      <pane ySplit="6" topLeftCell="A7" activePane="bottomLeft" state="frozen"/>
      <selection pane="bottomLeft"/>
    </sheetView>
  </sheetViews>
  <sheetFormatPr defaultRowHeight="15"/>
  <cols>
    <col min="1" max="1" width="5.7109375" customWidth="1"/>
    <col min="2" max="2" width="8.7109375" customWidth="1"/>
    <col min="3" max="3" width="16.7109375" customWidth="1"/>
    <col min="4" max="6" width="11.7109375" customWidth="1"/>
    <col min="7" max="7" width="12.7109375" customWidth="1"/>
    <col min="8" max="8" width="13.7109375" customWidth="1"/>
    <col min="9" max="9" width="9.7109375" customWidth="1"/>
    <col min="10" max="10" width="36.7109375" customWidth="1"/>
    <col min="11" max="12" width="12.7109375" customWidth="1"/>
    <col min="13" max="13" width="36.7109375" customWidth="1"/>
    <col min="14" max="14" width="12.7109375" customWidth="1"/>
  </cols>
  <sheetData>
    <row r="1" spans="1:14">
      <c r="A1" s="1" t="s">
        <v>86</v>
      </c>
    </row>
    <row r="2" spans="1:14">
      <c r="A2" s="2" t="s">
        <v>87</v>
      </c>
    </row>
    <row r="4" spans="1:14" ht="30" customHeight="1">
      <c r="A4" s="11" t="s">
        <v>88</v>
      </c>
      <c r="B4" s="12" t="s">
        <v>89</v>
      </c>
      <c r="C4" s="12"/>
      <c r="D4" s="11" t="s">
        <v>90</v>
      </c>
      <c r="E4" s="13"/>
      <c r="F4" s="11" t="s">
        <v>91</v>
      </c>
      <c r="G4" s="14">
        <f>corriente</f>
        <v>0</v>
      </c>
      <c r="H4" s="11" t="s">
        <v>92</v>
      </c>
      <c r="I4" s="12"/>
      <c r="J4" s="11" t="s">
        <v>93</v>
      </c>
      <c r="K4" s="12"/>
      <c r="L4" s="12"/>
      <c r="M4" s="12"/>
    </row>
    <row r="6" spans="1:14" ht="42" customHeight="1">
      <c r="A6" s="4" t="s">
        <v>94</v>
      </c>
      <c r="B6" s="4" t="s">
        <v>95</v>
      </c>
      <c r="C6" s="4" t="s">
        <v>96</v>
      </c>
      <c r="D6" s="4" t="s">
        <v>97</v>
      </c>
      <c r="E6" s="4" t="s">
        <v>98</v>
      </c>
      <c r="F6" s="4" t="s">
        <v>99</v>
      </c>
      <c r="G6" s="4" t="s">
        <v>100</v>
      </c>
      <c r="H6" s="4" t="s">
        <v>69</v>
      </c>
      <c r="I6" s="4" t="s">
        <v>101</v>
      </c>
      <c r="J6" s="4" t="s">
        <v>102</v>
      </c>
      <c r="K6" s="4" t="s">
        <v>103</v>
      </c>
      <c r="L6" s="4" t="s">
        <v>104</v>
      </c>
      <c r="M6" s="4" t="s">
        <v>70</v>
      </c>
      <c r="N6" s="4" t="s">
        <v>105</v>
      </c>
    </row>
    <row r="7" spans="1:14">
      <c r="A7" s="10">
        <v>1</v>
      </c>
      <c r="B7" s="15" t="s">
        <v>106</v>
      </c>
      <c r="C7" s="13"/>
      <c r="D7" s="13"/>
      <c r="E7" s="6">
        <f>IF(AND(ISNUMBER(C7),ISNUMBER(D7)),(D7-C7)*1440,"")</f>
        <v>0</v>
      </c>
      <c r="F7" s="6">
        <f>IF(AND(ISNUMBER(C7),ISNUMBER(C8)),(C8-C7)*1440,"")</f>
        <v>0</v>
      </c>
      <c r="G7" s="12"/>
      <c r="H7" s="16">
        <f>IFERROR('R01'!$M$19+0,"")</f>
        <v>0</v>
      </c>
      <c r="I7" s="12" t="s">
        <v>107</v>
      </c>
      <c r="J7" s="17"/>
      <c r="K7" s="14">
        <f>IFERROR('R01'!$M$12+0,"")</f>
        <v>0</v>
      </c>
      <c r="L7" s="14">
        <f>IFERROR('R01'!$M$13+0,"")</f>
        <v>0</v>
      </c>
      <c r="M7" s="15">
        <f>'R01'!$M$20</f>
        <v>0</v>
      </c>
      <c r="N7" s="6">
        <f>IF(AND(ISNUMBER(L7),I7&lt;&gt;"No"),L7,"")</f>
        <v>0</v>
      </c>
    </row>
    <row r="8" spans="1:14">
      <c r="A8" s="10">
        <v>2</v>
      </c>
      <c r="B8" s="15" t="s">
        <v>108</v>
      </c>
      <c r="C8" s="13"/>
      <c r="D8" s="13"/>
      <c r="E8" s="6">
        <f>IF(AND(ISNUMBER(C8),ISNUMBER(D8)),(D8-C8)*1440,"")</f>
        <v>0</v>
      </c>
      <c r="F8" s="6">
        <f>IF(AND(ISNUMBER(C8),ISNUMBER(C9)),(C9-C8)*1440,"")</f>
        <v>0</v>
      </c>
      <c r="G8" s="12"/>
      <c r="H8" s="16">
        <f>IFERROR('R02'!$M$19+0,"")</f>
        <v>0</v>
      </c>
      <c r="I8" s="12" t="s">
        <v>107</v>
      </c>
      <c r="J8" s="17"/>
      <c r="K8" s="14">
        <f>IFERROR('R02'!$M$12+0,"")</f>
        <v>0</v>
      </c>
      <c r="L8" s="14">
        <f>IFERROR('R02'!$M$13+0,"")</f>
        <v>0</v>
      </c>
      <c r="M8" s="15">
        <f>'R02'!$M$20</f>
        <v>0</v>
      </c>
      <c r="N8" s="6">
        <f>IF(AND(ISNUMBER(L8),I8&lt;&gt;"No"),L8,"")</f>
        <v>0</v>
      </c>
    </row>
    <row r="9" spans="1:14">
      <c r="A9" s="10">
        <v>3</v>
      </c>
      <c r="B9" s="15" t="s">
        <v>109</v>
      </c>
      <c r="C9" s="13"/>
      <c r="D9" s="13"/>
      <c r="E9" s="6">
        <f>IF(AND(ISNUMBER(C9),ISNUMBER(D9)),(D9-C9)*1440,"")</f>
        <v>0</v>
      </c>
      <c r="F9" s="6">
        <f>IF(AND(ISNUMBER(C9),ISNUMBER(C10)),(C10-C9)*1440,"")</f>
        <v>0</v>
      </c>
      <c r="G9" s="12"/>
      <c r="H9" s="16">
        <f>IFERROR('R03'!$M$19+0,"")</f>
        <v>0</v>
      </c>
      <c r="I9" s="12" t="s">
        <v>107</v>
      </c>
      <c r="J9" s="17"/>
      <c r="K9" s="14">
        <f>IFERROR('R03'!$M$12+0,"")</f>
        <v>0</v>
      </c>
      <c r="L9" s="14">
        <f>IFERROR('R03'!$M$13+0,"")</f>
        <v>0</v>
      </c>
      <c r="M9" s="15">
        <f>'R03'!$M$20</f>
        <v>0</v>
      </c>
      <c r="N9" s="6">
        <f>IF(AND(ISNUMBER(L9),I9&lt;&gt;"No"),L9,"")</f>
        <v>0</v>
      </c>
    </row>
    <row r="10" spans="1:14">
      <c r="A10" s="10">
        <v>4</v>
      </c>
      <c r="B10" s="15" t="s">
        <v>110</v>
      </c>
      <c r="C10" s="13"/>
      <c r="D10" s="13"/>
      <c r="E10" s="6">
        <f>IF(AND(ISNUMBER(C10),ISNUMBER(D10)),(D10-C10)*1440,"")</f>
        <v>0</v>
      </c>
      <c r="F10" s="6">
        <f>IF(AND(ISNUMBER(C10),ISNUMBER(C11)),(C11-C10)*1440,"")</f>
        <v>0</v>
      </c>
      <c r="G10" s="12"/>
      <c r="H10" s="16">
        <f>IFERROR('R04'!$M$19+0,"")</f>
        <v>0</v>
      </c>
      <c r="I10" s="12" t="s">
        <v>107</v>
      </c>
      <c r="J10" s="17"/>
      <c r="K10" s="14">
        <f>IFERROR('R04'!$M$12+0,"")</f>
        <v>0</v>
      </c>
      <c r="L10" s="14">
        <f>IFERROR('R04'!$M$13+0,"")</f>
        <v>0</v>
      </c>
      <c r="M10" s="15">
        <f>'R04'!$M$20</f>
        <v>0</v>
      </c>
      <c r="N10" s="6">
        <f>IF(AND(ISNUMBER(L10),I10&lt;&gt;"No"),L10,"")</f>
        <v>0</v>
      </c>
    </row>
    <row r="11" spans="1:14">
      <c r="A11" s="10">
        <v>5</v>
      </c>
      <c r="B11" s="15" t="s">
        <v>111</v>
      </c>
      <c r="C11" s="13"/>
      <c r="D11" s="13"/>
      <c r="E11" s="6">
        <f>IF(AND(ISNUMBER(C11),ISNUMBER(D11)),(D11-C11)*1440,"")</f>
        <v>0</v>
      </c>
      <c r="F11" s="6">
        <f>IF(AND(ISNUMBER(C11),ISNUMBER(C12)),(C12-C11)*1440,"")</f>
        <v>0</v>
      </c>
      <c r="G11" s="12"/>
      <c r="H11" s="16">
        <f>IFERROR('R05'!$M$19+0,"")</f>
        <v>0</v>
      </c>
      <c r="I11" s="12" t="s">
        <v>107</v>
      </c>
      <c r="J11" s="17"/>
      <c r="K11" s="14">
        <f>IFERROR('R05'!$M$12+0,"")</f>
        <v>0</v>
      </c>
      <c r="L11" s="14">
        <f>IFERROR('R05'!$M$13+0,"")</f>
        <v>0</v>
      </c>
      <c r="M11" s="15">
        <f>'R05'!$M$20</f>
        <v>0</v>
      </c>
      <c r="N11" s="6">
        <f>IF(AND(ISNUMBER(L11),I11&lt;&gt;"No"),L11,"")</f>
        <v>0</v>
      </c>
    </row>
    <row r="12" spans="1:14">
      <c r="A12" s="10">
        <v>6</v>
      </c>
      <c r="B12" s="15" t="s">
        <v>112</v>
      </c>
      <c r="C12" s="13"/>
      <c r="D12" s="13"/>
      <c r="E12" s="6">
        <f>IF(AND(ISNUMBER(C12),ISNUMBER(D12)),(D12-C12)*1440,"")</f>
        <v>0</v>
      </c>
      <c r="F12" s="6">
        <f>IF(AND(ISNUMBER(C12),ISNUMBER(C13)),(C13-C12)*1440,"")</f>
        <v>0</v>
      </c>
      <c r="G12" s="12"/>
      <c r="H12" s="16">
        <f>IFERROR('R06'!$M$19+0,"")</f>
        <v>0</v>
      </c>
      <c r="I12" s="12" t="s">
        <v>107</v>
      </c>
      <c r="J12" s="17"/>
      <c r="K12" s="14">
        <f>IFERROR('R06'!$M$12+0,"")</f>
        <v>0</v>
      </c>
      <c r="L12" s="14">
        <f>IFERROR('R06'!$M$13+0,"")</f>
        <v>0</v>
      </c>
      <c r="M12" s="15">
        <f>'R06'!$M$20</f>
        <v>0</v>
      </c>
      <c r="N12" s="6">
        <f>IF(AND(ISNUMBER(L12),I12&lt;&gt;"No"),L12,"")</f>
        <v>0</v>
      </c>
    </row>
    <row r="13" spans="1:14">
      <c r="A13" s="10">
        <v>7</v>
      </c>
      <c r="B13" s="15" t="s">
        <v>113</v>
      </c>
      <c r="C13" s="13"/>
      <c r="D13" s="13"/>
      <c r="E13" s="6">
        <f>IF(AND(ISNUMBER(C13),ISNUMBER(D13)),(D13-C13)*1440,"")</f>
        <v>0</v>
      </c>
      <c r="F13" s="6">
        <f>IF(AND(ISNUMBER(C13),ISNUMBER(C14)),(C14-C13)*1440,"")</f>
        <v>0</v>
      </c>
      <c r="G13" s="12"/>
      <c r="H13" s="16">
        <f>IFERROR('R07'!$M$19+0,"")</f>
        <v>0</v>
      </c>
      <c r="I13" s="12" t="s">
        <v>107</v>
      </c>
      <c r="J13" s="17"/>
      <c r="K13" s="14">
        <f>IFERROR('R07'!$M$12+0,"")</f>
        <v>0</v>
      </c>
      <c r="L13" s="14">
        <f>IFERROR('R07'!$M$13+0,"")</f>
        <v>0</v>
      </c>
      <c r="M13" s="15">
        <f>'R07'!$M$20</f>
        <v>0</v>
      </c>
      <c r="N13" s="6">
        <f>IF(AND(ISNUMBER(L13),I13&lt;&gt;"No"),L13,"")</f>
        <v>0</v>
      </c>
    </row>
    <row r="14" spans="1:14">
      <c r="A14" s="10">
        <v>8</v>
      </c>
      <c r="B14" s="15" t="s">
        <v>114</v>
      </c>
      <c r="C14" s="13"/>
      <c r="D14" s="13"/>
      <c r="E14" s="6">
        <f>IF(AND(ISNUMBER(C14),ISNUMBER(D14)),(D14-C14)*1440,"")</f>
        <v>0</v>
      </c>
      <c r="F14" s="6">
        <f>IF(AND(ISNUMBER(C14),ISNUMBER(C15)),(C15-C14)*1440,"")</f>
        <v>0</v>
      </c>
      <c r="G14" s="12"/>
      <c r="H14" s="16">
        <f>IFERROR('R08'!$M$19+0,"")</f>
        <v>0</v>
      </c>
      <c r="I14" s="12" t="s">
        <v>107</v>
      </c>
      <c r="J14" s="17"/>
      <c r="K14" s="14">
        <f>IFERROR('R08'!$M$12+0,"")</f>
        <v>0</v>
      </c>
      <c r="L14" s="14">
        <f>IFERROR('R08'!$M$13+0,"")</f>
        <v>0</v>
      </c>
      <c r="M14" s="15">
        <f>'R08'!$M$20</f>
        <v>0</v>
      </c>
      <c r="N14" s="6">
        <f>IF(AND(ISNUMBER(L14),I14&lt;&gt;"No"),L14,"")</f>
        <v>0</v>
      </c>
    </row>
    <row r="15" spans="1:14">
      <c r="A15" s="10">
        <v>9</v>
      </c>
      <c r="B15" s="15" t="s">
        <v>115</v>
      </c>
      <c r="C15" s="13"/>
      <c r="D15" s="13"/>
      <c r="E15" s="6">
        <f>IF(AND(ISNUMBER(C15),ISNUMBER(D15)),(D15-C15)*1440,"")</f>
        <v>0</v>
      </c>
      <c r="F15" s="6">
        <f>IF(AND(ISNUMBER(C15),ISNUMBER(C16)),(C16-C15)*1440,"")</f>
        <v>0</v>
      </c>
      <c r="G15" s="12"/>
      <c r="H15" s="16">
        <f>IFERROR('R09'!$M$19+0,"")</f>
        <v>0</v>
      </c>
      <c r="I15" s="12" t="s">
        <v>107</v>
      </c>
      <c r="J15" s="17"/>
      <c r="K15" s="14">
        <f>IFERROR('R09'!$M$12+0,"")</f>
        <v>0</v>
      </c>
      <c r="L15" s="14">
        <f>IFERROR('R09'!$M$13+0,"")</f>
        <v>0</v>
      </c>
      <c r="M15" s="15">
        <f>'R09'!$M$20</f>
        <v>0</v>
      </c>
      <c r="N15" s="6">
        <f>IF(AND(ISNUMBER(L15),I15&lt;&gt;"No"),L15,"")</f>
        <v>0</v>
      </c>
    </row>
    <row r="16" spans="1:14">
      <c r="A16" s="10">
        <v>10</v>
      </c>
      <c r="B16" s="15" t="s">
        <v>116</v>
      </c>
      <c r="C16" s="13"/>
      <c r="D16" s="13"/>
      <c r="E16" s="6">
        <f>IF(AND(ISNUMBER(C16),ISNUMBER(D16)),(D16-C16)*1440,"")</f>
        <v>0</v>
      </c>
      <c r="F16" s="6">
        <f>IF(AND(ISNUMBER(C16),ISNUMBER(C17)),(C17-C16)*1440,"")</f>
        <v>0</v>
      </c>
      <c r="G16" s="12"/>
      <c r="H16" s="16">
        <f>IFERROR('R10'!$M$19+0,"")</f>
        <v>0</v>
      </c>
      <c r="I16" s="12"/>
      <c r="J16" s="17" t="s">
        <v>117</v>
      </c>
      <c r="K16" s="14">
        <f>IFERROR('R10'!$M$12+0,"")</f>
        <v>0</v>
      </c>
      <c r="L16" s="14">
        <f>IFERROR('R10'!$M$13+0,"")</f>
        <v>0</v>
      </c>
      <c r="M16" s="15">
        <f>'R10'!$M$20</f>
        <v>0</v>
      </c>
      <c r="N16" s="6">
        <f>IF(AND(ISNUMBER(L16),I16&lt;&gt;"No"),L16,"")</f>
        <v>0</v>
      </c>
    </row>
    <row r="17" spans="1:14">
      <c r="A17" s="10">
        <v>11</v>
      </c>
      <c r="B17" s="15" t="s">
        <v>118</v>
      </c>
      <c r="C17" s="13"/>
      <c r="D17" s="13"/>
      <c r="E17" s="6">
        <f>IF(AND(ISNUMBER(C17),ISNUMBER(D17)),(D17-C17)*1440,"")</f>
        <v>0</v>
      </c>
      <c r="F17" s="6">
        <f>IF(AND(ISNUMBER(C17),ISNUMBER(C18)),(C18-C17)*1440,"")</f>
        <v>0</v>
      </c>
      <c r="G17" s="12"/>
      <c r="H17" s="16">
        <f>IFERROR('R11'!$M$19+0,"")</f>
        <v>0</v>
      </c>
      <c r="I17" s="12"/>
      <c r="J17" s="17" t="s">
        <v>117</v>
      </c>
      <c r="K17" s="14">
        <f>IFERROR('R11'!$M$12+0,"")</f>
        <v>0</v>
      </c>
      <c r="L17" s="14">
        <f>IFERROR('R11'!$M$13+0,"")</f>
        <v>0</v>
      </c>
      <c r="M17" s="15">
        <f>'R11'!$M$20</f>
        <v>0</v>
      </c>
      <c r="N17" s="6">
        <f>IF(AND(ISNUMBER(L17),I17&lt;&gt;"No"),L17,"")</f>
        <v>0</v>
      </c>
    </row>
    <row r="18" spans="1:14">
      <c r="A18" s="10">
        <v>12</v>
      </c>
      <c r="B18" s="15" t="s">
        <v>119</v>
      </c>
      <c r="C18" s="13"/>
      <c r="D18" s="13"/>
      <c r="E18" s="6">
        <f>IF(AND(ISNUMBER(C18),ISNUMBER(D18)),(D18-C18)*1440,"")</f>
        <v>0</v>
      </c>
      <c r="F18" s="6"/>
      <c r="G18" s="12"/>
      <c r="H18" s="16">
        <f>IFERROR('R12'!$M$19+0,"")</f>
        <v>0</v>
      </c>
      <c r="I18" s="12"/>
      <c r="J18" s="17" t="s">
        <v>117</v>
      </c>
      <c r="K18" s="14">
        <f>IFERROR('R12'!$M$12+0,"")</f>
        <v>0</v>
      </c>
      <c r="L18" s="14">
        <f>IFERROR('R12'!$M$13+0,"")</f>
        <v>0</v>
      </c>
      <c r="M18" s="15">
        <f>'R12'!$M$20</f>
        <v>0</v>
      </c>
      <c r="N18" s="6">
        <f>IF(AND(ISNUMBER(L18),I18&lt;&gt;"No"),L18,"")</f>
        <v>0</v>
      </c>
    </row>
    <row r="20" spans="1:14">
      <c r="D20" s="11" t="s">
        <v>120</v>
      </c>
      <c r="E20" s="6">
        <f>IF(COUNT(E7:E18)=0,"",AVERAGE(E7:E18))</f>
        <v>0</v>
      </c>
      <c r="F20" s="6">
        <f>IF(COUNT(F7:F18)=0,"",AVERAGE(F7:F18))</f>
        <v>0</v>
      </c>
    </row>
    <row r="21" spans="1:14">
      <c r="D21" s="11" t="s">
        <v>121</v>
      </c>
      <c r="E21" s="6">
        <f>IF(COUNT(C7:D18)&lt;2,"",(MAX(D7:D18)-MIN(C7:C18))*24)</f>
        <v>0</v>
      </c>
      <c r="F21" s="7" t="s">
        <v>122</v>
      </c>
    </row>
    <row r="23" spans="1:14" ht="40" customHeight="1">
      <c r="A23" s="7" t="s">
        <v>123</v>
      </c>
      <c r="B23" s="7"/>
      <c r="C23" s="7"/>
      <c r="D23" s="7"/>
      <c r="E23" s="7"/>
      <c r="F23" s="7"/>
      <c r="G23" s="7"/>
      <c r="H23" s="7"/>
      <c r="I23" s="7"/>
      <c r="J23" s="7"/>
      <c r="K23" s="7"/>
      <c r="L23" s="7"/>
      <c r="M23" s="7"/>
    </row>
  </sheetData>
  <mergeCells count="3">
    <mergeCell ref="B4:C4"/>
    <mergeCell ref="K4:M4"/>
    <mergeCell ref="A23:M23"/>
  </mergeCells>
  <conditionalFormatting sqref="A16:M18">
    <cfRule type="notContainsErrors" dxfId="4" priority="4">
      <formula>NOT(ISERROR(A16))</formula>
    </cfRule>
  </conditionalFormatting>
  <conditionalFormatting sqref="M7:M18">
    <cfRule type="cellIs" dxfId="0" priority="1" operator="equal">
      <formula>"OK"</formula>
    </cfRule>
    <cfRule type="beginsWith" dxfId="1" priority="2" operator="beginsWith" text="Aviso">
      <formula>LEFT(M7,5)="Aviso"</formula>
    </cfRule>
    <cfRule type="beginsWith" dxfId="2" priority="3" operator="beginsWith" text="Revisar">
      <formula>LEFT(M7,7)="Revisar"</formula>
    </cfRule>
  </conditionalFormatting>
  <dataValidations count="2">
    <dataValidation type="list" allowBlank="1" showInputMessage="1" showErrorMessage="1" sqref="I7:I18">
      <formula1>"Sí,No"</formula1>
    </dataValidation>
    <dataValidation type="time" allowBlank="1" showInputMessage="1" showErrorMessage="1" error="Escribir la hora como hh:mm, p. ej. 14:35" sqref="C7:D18">
      <formula1>0</formula1>
      <formula2>0.99999</formula2>
    </dataValidation>
  </dataValidations>
  <hyperlinks>
    <hyperlink ref="B7" location="'R01'!A1" display="R01"/>
    <hyperlink ref="B8" location="'R02'!A1" display="R02"/>
    <hyperlink ref="B9" location="'R03'!A1" display="R03"/>
    <hyperlink ref="B10" location="'R04'!A1" display="R04"/>
    <hyperlink ref="B11" location="'R05'!A1" display="R05"/>
    <hyperlink ref="B12" location="'R06'!A1" display="R06"/>
    <hyperlink ref="B13" location="'R07'!A1" display="R07"/>
    <hyperlink ref="B14" location="'R08'!A1" display="R08"/>
    <hyperlink ref="B15" location="'R09'!A1" display="R09"/>
    <hyperlink ref="B16" location="'R10'!A1" display="R10"/>
    <hyperlink ref="B17" location="'R11'!A1" display="R11"/>
    <hyperlink ref="B18" location="'R12'!A1" display="R1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52.7109375" customWidth="1"/>
    <col min="2" max="2" width="16.7109375" customWidth="1"/>
    <col min="3" max="3" width="60.7109375" customWidth="1"/>
  </cols>
  <sheetData>
    <row r="1" spans="1:3">
      <c r="A1" s="1" t="s">
        <v>124</v>
      </c>
    </row>
    <row r="2" spans="1:3">
      <c r="A2" s="2" t="s">
        <v>125</v>
      </c>
    </row>
    <row r="4" spans="1:3">
      <c r="A4" s="4" t="s">
        <v>126</v>
      </c>
      <c r="B4" s="4" t="s">
        <v>13</v>
      </c>
      <c r="C4" s="4" t="s">
        <v>14</v>
      </c>
    </row>
    <row r="5" spans="1:3">
      <c r="A5" s="5" t="s">
        <v>127</v>
      </c>
      <c r="B5" s="10">
        <f>COUNT('Registro'!$N$7:$N$18)</f>
        <v>0</v>
      </c>
      <c r="C5" s="7" t="s">
        <v>128</v>
      </c>
    </row>
    <row r="6" spans="1:3">
      <c r="A6" s="5" t="s">
        <v>129</v>
      </c>
      <c r="B6" s="18">
        <f>IF(B5=0,"",AVERAGE('Registro'!$N$7:$N$18))</f>
        <v>0</v>
      </c>
      <c r="C6" s="7" t="s">
        <v>130</v>
      </c>
    </row>
    <row r="7" spans="1:3">
      <c r="A7" s="5" t="s">
        <v>131</v>
      </c>
      <c r="B7" s="18">
        <f>IF(B5&lt;2,"",_xlfn.STDEV.S('Registro'!$N$7:$N$18))</f>
        <v>0</v>
      </c>
      <c r="C7" s="7"/>
    </row>
    <row r="8" spans="1:3">
      <c r="A8" s="5" t="s">
        <v>132</v>
      </c>
      <c r="B8" s="6">
        <f>IF(ISNUMBER(B7),100*B7/B6,"")</f>
        <v>0</v>
      </c>
      <c r="C8" s="7"/>
    </row>
    <row r="9" spans="1:3">
      <c r="A9" s="5" t="s">
        <v>133</v>
      </c>
      <c r="B9" s="14">
        <f>tau0</f>
        <v>0</v>
      </c>
      <c r="C9" s="7" t="s">
        <v>134</v>
      </c>
    </row>
    <row r="10" spans="1:3">
      <c r="A10" s="5" t="s">
        <v>135</v>
      </c>
      <c r="B10" s="6">
        <f>IF(ISNUMBER(B6),B6-B9,"")</f>
        <v>0</v>
      </c>
      <c r="C10" s="7"/>
    </row>
    <row r="11" spans="1:3">
      <c r="A11" s="5" t="s">
        <v>136</v>
      </c>
      <c r="B11" s="19">
        <f>IF(ISNUMBER(B7),B10/(B7/SQRT(B5)),"")</f>
        <v>0</v>
      </c>
      <c r="C11" s="7" t="s">
        <v>137</v>
      </c>
    </row>
    <row r="12" spans="1:3">
      <c r="A12" s="5" t="s">
        <v>138</v>
      </c>
      <c r="B12" s="10">
        <f>IF(B5&gt;1,B5-1,"")</f>
        <v>0</v>
      </c>
      <c r="C12" s="7"/>
    </row>
    <row r="13" spans="1:3">
      <c r="A13" s="5" t="s">
        <v>139</v>
      </c>
      <c r="B13" s="19">
        <f>IF(ISNUMBER(B12),_xlfn.T.INV.2T(alfa,B12),"")</f>
        <v>0</v>
      </c>
      <c r="C13" s="7"/>
    </row>
    <row r="14" spans="1:3">
      <c r="A14" s="5" t="s">
        <v>140</v>
      </c>
      <c r="B14" s="9">
        <f>IF(ISNUMBER(B11),_xlfn.T.DIST.2T(ABS(B11),B12),"")</f>
        <v>0</v>
      </c>
      <c r="C14" s="7"/>
    </row>
    <row r="15" spans="1:3">
      <c r="A15" s="5" t="s">
        <v>141</v>
      </c>
      <c r="B15" s="6">
        <f>IF(ISNUMBER(B13),B6-B13*B7/SQRT(B5),"")</f>
        <v>0</v>
      </c>
      <c r="C15" s="7"/>
    </row>
    <row r="16" spans="1:3">
      <c r="A16" s="5" t="s">
        <v>142</v>
      </c>
      <c r="B16" s="6">
        <f>IF(ISNUMBER(B13),B6+B13*B7/SQRT(B5),"")</f>
        <v>0</v>
      </c>
      <c r="C16" s="7"/>
    </row>
    <row r="17" spans="1:3" ht="30" customHeight="1">
      <c r="A17" s="5" t="s">
        <v>143</v>
      </c>
      <c r="B17" s="20">
        <f>IF(ISNUMBER(B14),IF(B14&lt;alfa,"Se rechaza H0: el ancho medido difiere de τ0","No se rechaza H0: no hay evidencia de diferencia con τ0"),"")</f>
        <v>0</v>
      </c>
      <c r="C17" s="7"/>
    </row>
    <row r="18" spans="1:3">
      <c r="A18" s="5" t="s">
        <v>144</v>
      </c>
      <c r="B18" s="14">
        <f>'Registro'!E20</f>
        <v>0</v>
      </c>
      <c r="C18" s="7" t="s">
        <v>145</v>
      </c>
    </row>
    <row r="20" spans="1:3">
      <c r="A20" s="7" t="s">
        <v>146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71</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75</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76</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77</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78</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79</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80</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81</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82</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sheetPr>
    <tabColor rgb="FFA6A6A6"/>
  </sheetPr>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83</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sheetPr>
    <tabColor rgb="FFA6A6A6"/>
  </sheetPr>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84</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sheetPr>
    <tabColor rgb="FFA6A6A6"/>
  </sheetPr>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85</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vt:i4>
      </vt:variant>
    </vt:vector>
  </HeadingPairs>
  <TitlesOfParts>
    <vt:vector size="29" baseType="lpstr">
      <vt:lpstr>Instrucciones</vt:lpstr>
      <vt:lpstr>Configuración</vt:lpstr>
      <vt:lpstr>Registro</vt:lpstr>
      <vt:lpstr>Resumen</vt:lpstr>
      <vt:lpstr>R01</vt:lpstr>
      <vt:lpstr>R02</vt:lpstr>
      <vt:lpstr>R03</vt:lpstr>
      <vt:lpstr>R04</vt:lpstr>
      <vt:lpstr>R05</vt:lpstr>
      <vt:lpstr>R06</vt:lpstr>
      <vt:lpstr>R07</vt:lpstr>
      <vt:lpstr>R08</vt:lpstr>
      <vt:lpstr>R09</vt:lpstr>
      <vt:lpstr>R10</vt:lpstr>
      <vt:lpstr>R11</vt:lpstr>
      <vt:lpstr>R12</vt:lpstr>
      <vt:lpstr>alfa</vt:lpstr>
      <vt:lpstr>c_luz</vt:lpstr>
      <vt:lpstr>conv</vt:lpstr>
      <vt:lpstr>corriente</vt:lpstr>
      <vt:lpstr>factor_forma</vt:lpstr>
      <vt:lpstr>n_fondo</vt:lpstr>
      <vt:lpstr>paso</vt:lpstr>
      <vt:lpstr>pasos</vt:lpstr>
      <vt:lpstr>pfab</vt:lpstr>
      <vt:lpstr>pts_min</vt:lpstr>
      <vt:lpstr>rec_min</vt:lpstr>
      <vt:lpstr>semi</vt:lpstr>
      <vt:lpstr>tau0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Medición del autocorrelador · 7 A</dc:title>
  <dc:creator>Juan Esteban Rodríguez Ochoa · Sebastián Zapata Henao</dc:creator>
  <cp:lastModifiedBy>Juan Esteban Rodríguez Ochoa · Sebastián Zapata Henao</cp:lastModifiedBy>
  <dcterms:created xsi:type="dcterms:W3CDTF">2026-10-27T23:21:28Z</dcterms:created>
  <dcterms:modified xsi:type="dcterms:W3CDTF">2026-10-27T23:21:28Z</dcterms:modified>
</cp:coreProperties>
</file>