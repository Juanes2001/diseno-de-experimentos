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6.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drawings/drawing7.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8.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drawings/drawing9.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10.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1.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2.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drawings/drawing13.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wsl.localhost\kali-linux\home\juanes\proyectos\diseno-de-experimentos\trabajo-practico\medicion\"/>
    </mc:Choice>
  </mc:AlternateContent>
  <xr:revisionPtr revIDLastSave="0" documentId="13_ncr:1_{0C5FEB9D-EA31-4D65-8153-3DA381F652EE}" xr6:coauthVersionLast="47" xr6:coauthVersionMax="47" xr10:uidLastSave="{00000000-0000-0000-0000-000000000000}"/>
  <bookViews>
    <workbookView xWindow="-108" yWindow="-108" windowWidth="23256" windowHeight="12456" firstSheet="1" activeTab="3" xr2:uid="{00000000-000D-0000-FFFF-FFFF00000000}"/>
  </bookViews>
  <sheets>
    <sheet name="Instrucciones" sheetId="1" r:id="rId1"/>
    <sheet name="Configuración" sheetId="2" r:id="rId2"/>
    <sheet name="Registro" sheetId="3" r:id="rId3"/>
    <sheet name="Resumen" sheetId="4" r:id="rId4"/>
    <sheet name="R01" sheetId="5" r:id="rId5"/>
    <sheet name="R02" sheetId="6" r:id="rId6"/>
    <sheet name="R03" sheetId="7" r:id="rId7"/>
    <sheet name="R04" sheetId="8" r:id="rId8"/>
    <sheet name="R05" sheetId="9" r:id="rId9"/>
    <sheet name="R06" sheetId="10" r:id="rId10"/>
    <sheet name="R07" sheetId="11" r:id="rId11"/>
    <sheet name="R08" sheetId="12" r:id="rId12"/>
    <sheet name="R09" sheetId="13" r:id="rId13"/>
    <sheet name="R10" sheetId="14" r:id="rId14"/>
    <sheet name="R11" sheetId="15" r:id="rId15"/>
    <sheet name="R12" sheetId="16" r:id="rId16"/>
  </sheets>
  <definedNames>
    <definedName name="alfa">Configuración!$B$17</definedName>
    <definedName name="c_luz">Configuración!$B$10</definedName>
    <definedName name="conv">Configuración!$B$11</definedName>
    <definedName name="corriente">Configuración!$B$5</definedName>
    <definedName name="factor_forma">Configuración!$B$12</definedName>
    <definedName name="n_fondo">Configuración!$B$13</definedName>
    <definedName name="paso">Configuración!$B$8</definedName>
    <definedName name="pasos">Configuración!$B$9</definedName>
    <definedName name="pfab">Configuración!$B$7</definedName>
    <definedName name="pts_min">Configuración!$B$15</definedName>
    <definedName name="rec_min">Configuración!$B$16</definedName>
    <definedName name="semi">Configuración!$B$14</definedName>
    <definedName name="tau0">Configuración!$B$6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3" i="16" l="1"/>
  <c r="D22" i="16"/>
  <c r="D21" i="16"/>
  <c r="D20" i="16"/>
  <c r="D19" i="16"/>
  <c r="D18" i="16"/>
  <c r="D17" i="16"/>
  <c r="D16" i="16"/>
  <c r="D15" i="16"/>
  <c r="D14" i="16"/>
  <c r="D13" i="16"/>
  <c r="D12" i="16"/>
  <c r="D11" i="16"/>
  <c r="D10" i="16"/>
  <c r="D9" i="16"/>
  <c r="D8" i="16"/>
  <c r="D7" i="16"/>
  <c r="D6" i="16"/>
  <c r="D5" i="16"/>
  <c r="D4" i="16"/>
  <c r="M3" i="16"/>
  <c r="D3" i="16"/>
  <c r="M2" i="16"/>
  <c r="D2" i="16"/>
  <c r="D23" i="15"/>
  <c r="D22" i="15"/>
  <c r="D21" i="15"/>
  <c r="D20" i="15"/>
  <c r="D19" i="15"/>
  <c r="D18" i="15"/>
  <c r="E18" i="15" s="1"/>
  <c r="D17" i="15"/>
  <c r="D16" i="15"/>
  <c r="D15" i="15"/>
  <c r="D14" i="15"/>
  <c r="D13" i="15"/>
  <c r="D12" i="15"/>
  <c r="E12" i="15" s="1"/>
  <c r="D11" i="15"/>
  <c r="D10" i="15"/>
  <c r="E9" i="15"/>
  <c r="D9" i="15"/>
  <c r="D8" i="15"/>
  <c r="D7" i="15"/>
  <c r="E7" i="15" s="1"/>
  <c r="D6" i="15"/>
  <c r="D5" i="15"/>
  <c r="M4" i="15"/>
  <c r="D4" i="15"/>
  <c r="E4" i="15" s="1"/>
  <c r="M3" i="15"/>
  <c r="D3" i="15"/>
  <c r="M2" i="15"/>
  <c r="D2" i="15"/>
  <c r="D23" i="14"/>
  <c r="D22" i="14"/>
  <c r="D21" i="14"/>
  <c r="D20" i="14"/>
  <c r="D19" i="14"/>
  <c r="D18" i="14"/>
  <c r="D17" i="14"/>
  <c r="D16" i="14"/>
  <c r="D15" i="14"/>
  <c r="D14" i="14"/>
  <c r="D13" i="14"/>
  <c r="D12" i="14"/>
  <c r="D11" i="14"/>
  <c r="D10" i="14"/>
  <c r="D9" i="14"/>
  <c r="D8" i="14"/>
  <c r="D7" i="14"/>
  <c r="D6" i="14"/>
  <c r="D5" i="14"/>
  <c r="D4" i="14"/>
  <c r="M3" i="14"/>
  <c r="D3" i="14"/>
  <c r="M2" i="14"/>
  <c r="D2" i="14"/>
  <c r="D23" i="13"/>
  <c r="D22" i="13"/>
  <c r="D21" i="13"/>
  <c r="M3" i="13"/>
  <c r="M2" i="13"/>
  <c r="M3" i="12"/>
  <c r="D2" i="12" s="1"/>
  <c r="M2" i="12"/>
  <c r="D23" i="11"/>
  <c r="D22" i="11"/>
  <c r="D17" i="11"/>
  <c r="D5" i="11"/>
  <c r="M3" i="11"/>
  <c r="M2" i="11"/>
  <c r="D23" i="10"/>
  <c r="D22" i="10"/>
  <c r="D21" i="10"/>
  <c r="D20" i="10"/>
  <c r="D19" i="10"/>
  <c r="D18" i="10"/>
  <c r="D17" i="10"/>
  <c r="D15" i="10"/>
  <c r="D14" i="10"/>
  <c r="M3" i="10"/>
  <c r="M2" i="10"/>
  <c r="D23" i="9"/>
  <c r="D22" i="9"/>
  <c r="D21" i="9"/>
  <c r="D20" i="9"/>
  <c r="D19" i="9"/>
  <c r="D18" i="9"/>
  <c r="M3" i="9"/>
  <c r="D10" i="9" s="1"/>
  <c r="M2" i="9"/>
  <c r="D23" i="8"/>
  <c r="D22" i="8"/>
  <c r="D21" i="8"/>
  <c r="D20" i="8"/>
  <c r="D19" i="8"/>
  <c r="D18" i="8"/>
  <c r="D17" i="8"/>
  <c r="D16" i="8"/>
  <c r="M3" i="8"/>
  <c r="M2" i="8"/>
  <c r="D23" i="7"/>
  <c r="D22" i="7"/>
  <c r="D21" i="7"/>
  <c r="D20" i="7"/>
  <c r="D19" i="7"/>
  <c r="D18" i="7"/>
  <c r="D17" i="7"/>
  <c r="D16" i="7"/>
  <c r="D15" i="7"/>
  <c r="D11" i="7"/>
  <c r="M3" i="7"/>
  <c r="M4" i="7" s="1"/>
  <c r="M2" i="7"/>
  <c r="D23" i="6"/>
  <c r="D22" i="6"/>
  <c r="D21" i="6"/>
  <c r="D20" i="6"/>
  <c r="D19" i="6"/>
  <c r="D18" i="6"/>
  <c r="D17" i="6"/>
  <c r="D16" i="6"/>
  <c r="D8" i="6"/>
  <c r="M3" i="6"/>
  <c r="D7" i="6" s="1"/>
  <c r="D3" i="6"/>
  <c r="M2" i="6"/>
  <c r="D2" i="6"/>
  <c r="D23" i="5"/>
  <c r="D22" i="5"/>
  <c r="D21" i="5"/>
  <c r="D20" i="5"/>
  <c r="D19" i="5"/>
  <c r="M3" i="5"/>
  <c r="M4" i="5" s="1"/>
  <c r="M2" i="5"/>
  <c r="B9" i="4"/>
  <c r="E21" i="3"/>
  <c r="E18" i="3"/>
  <c r="F17" i="3"/>
  <c r="E17" i="3"/>
  <c r="F16" i="3"/>
  <c r="E16" i="3"/>
  <c r="F15" i="3"/>
  <c r="E15" i="3"/>
  <c r="F14" i="3"/>
  <c r="E14" i="3"/>
  <c r="F13" i="3"/>
  <c r="E13" i="3"/>
  <c r="F12" i="3"/>
  <c r="E12" i="3"/>
  <c r="F11" i="3"/>
  <c r="E11" i="3"/>
  <c r="F10" i="3"/>
  <c r="E10" i="3"/>
  <c r="F9" i="3"/>
  <c r="E9" i="3"/>
  <c r="F8" i="3"/>
  <c r="E8" i="3"/>
  <c r="F7" i="3"/>
  <c r="E7" i="3"/>
  <c r="G4" i="3"/>
  <c r="B11" i="2"/>
  <c r="D14" i="13" l="1"/>
  <c r="D15" i="13"/>
  <c r="D16" i="13"/>
  <c r="D17" i="13"/>
  <c r="D18" i="13"/>
  <c r="D3" i="13"/>
  <c r="D19" i="13"/>
  <c r="D20" i="13"/>
  <c r="D9" i="13"/>
  <c r="D10" i="13"/>
  <c r="D11" i="13"/>
  <c r="D12" i="13"/>
  <c r="D13" i="13"/>
  <c r="D4" i="13"/>
  <c r="D6" i="13"/>
  <c r="D5" i="13"/>
  <c r="D7" i="13"/>
  <c r="D8" i="13"/>
  <c r="D2" i="13"/>
  <c r="D14" i="12"/>
  <c r="D15" i="12"/>
  <c r="D19" i="12"/>
  <c r="D21" i="12"/>
  <c r="D23" i="12"/>
  <c r="D16" i="12"/>
  <c r="D17" i="12"/>
  <c r="D18" i="12"/>
  <c r="D20" i="12"/>
  <c r="D22" i="12"/>
  <c r="D11" i="12"/>
  <c r="D12" i="12"/>
  <c r="D13" i="12"/>
  <c r="D3" i="12"/>
  <c r="D7" i="12"/>
  <c r="D8" i="12"/>
  <c r="D9" i="12"/>
  <c r="D10" i="12"/>
  <c r="D5" i="12"/>
  <c r="D6" i="12"/>
  <c r="M5" i="12" s="1"/>
  <c r="D4" i="12"/>
  <c r="D14" i="11"/>
  <c r="D18" i="11"/>
  <c r="D19" i="11"/>
  <c r="D20" i="11"/>
  <c r="D21" i="11"/>
  <c r="D15" i="11"/>
  <c r="D16" i="11"/>
  <c r="E16" i="11" s="1"/>
  <c r="D11" i="11"/>
  <c r="D12" i="11"/>
  <c r="D8" i="11"/>
  <c r="D9" i="11"/>
  <c r="D10" i="11"/>
  <c r="D13" i="11"/>
  <c r="D6" i="11"/>
  <c r="D7" i="11"/>
  <c r="D4" i="11"/>
  <c r="D3" i="11"/>
  <c r="D2" i="11"/>
  <c r="M5" i="11" s="1"/>
  <c r="M4" i="11"/>
  <c r="E10" i="11" s="1"/>
  <c r="D6" i="10"/>
  <c r="D16" i="10"/>
  <c r="D3" i="10"/>
  <c r="D5" i="10"/>
  <c r="M5" i="10" s="1"/>
  <c r="D8" i="10"/>
  <c r="D9" i="10"/>
  <c r="E9" i="10" s="1"/>
  <c r="D10" i="10"/>
  <c r="D12" i="10"/>
  <c r="D13" i="10"/>
  <c r="D2" i="10"/>
  <c r="D7" i="10"/>
  <c r="D11" i="10"/>
  <c r="D4" i="10"/>
  <c r="M4" i="10"/>
  <c r="E15" i="10" s="1"/>
  <c r="D16" i="9"/>
  <c r="D17" i="9"/>
  <c r="D11" i="9"/>
  <c r="D2" i="9"/>
  <c r="D12" i="9"/>
  <c r="D13" i="9"/>
  <c r="D3" i="9"/>
  <c r="M5" i="9" s="1"/>
  <c r="D14" i="9"/>
  <c r="D15" i="9"/>
  <c r="D4" i="9"/>
  <c r="D5" i="9"/>
  <c r="D6" i="9"/>
  <c r="D7" i="9"/>
  <c r="D8" i="9"/>
  <c r="D9" i="9"/>
  <c r="D11" i="8"/>
  <c r="D15" i="8"/>
  <c r="D12" i="8"/>
  <c r="D14" i="8"/>
  <c r="D13" i="8"/>
  <c r="D4" i="8"/>
  <c r="D5" i="8"/>
  <c r="D6" i="8"/>
  <c r="D7" i="8"/>
  <c r="D8" i="8"/>
  <c r="D9" i="8"/>
  <c r="D10" i="8"/>
  <c r="M4" i="8"/>
  <c r="D2" i="8"/>
  <c r="M5" i="8" s="1"/>
  <c r="D3" i="8"/>
  <c r="D12" i="7"/>
  <c r="D13" i="7"/>
  <c r="D14" i="7"/>
  <c r="D7" i="7"/>
  <c r="D8" i="7"/>
  <c r="D9" i="7"/>
  <c r="D10" i="7"/>
  <c r="D4" i="7"/>
  <c r="D5" i="7"/>
  <c r="D6" i="7"/>
  <c r="D2" i="7"/>
  <c r="D3" i="7"/>
  <c r="D9" i="6"/>
  <c r="D10" i="6"/>
  <c r="D11" i="6"/>
  <c r="D12" i="6"/>
  <c r="D13" i="6"/>
  <c r="D14" i="6"/>
  <c r="D15" i="6"/>
  <c r="D4" i="6"/>
  <c r="D5" i="6"/>
  <c r="D6" i="6"/>
  <c r="M4" i="6"/>
  <c r="E2" i="6" s="1"/>
  <c r="E20" i="3"/>
  <c r="B18" i="4" s="1"/>
  <c r="F20" i="3"/>
  <c r="D10" i="5"/>
  <c r="D11" i="5"/>
  <c r="D12" i="5"/>
  <c r="D13" i="5"/>
  <c r="D14" i="5"/>
  <c r="D15" i="5"/>
  <c r="D16" i="5"/>
  <c r="D17" i="5"/>
  <c r="D18" i="5"/>
  <c r="D9" i="5"/>
  <c r="D2" i="5"/>
  <c r="D3" i="5"/>
  <c r="D4" i="5"/>
  <c r="D5" i="5"/>
  <c r="D6" i="5"/>
  <c r="D7" i="5"/>
  <c r="D8" i="5"/>
  <c r="C23" i="16"/>
  <c r="K23" i="16" s="1"/>
  <c r="C18" i="16"/>
  <c r="K18" i="16" s="1"/>
  <c r="C12" i="16"/>
  <c r="C6" i="16"/>
  <c r="C16" i="15"/>
  <c r="C10" i="15"/>
  <c r="C4" i="15"/>
  <c r="K4" i="15" s="1"/>
  <c r="C17" i="13"/>
  <c r="C19" i="16"/>
  <c r="C13" i="16"/>
  <c r="K13" i="16" s="1"/>
  <c r="C7" i="16"/>
  <c r="K7" i="16" s="1"/>
  <c r="C22" i="15"/>
  <c r="C17" i="15"/>
  <c r="C11" i="15"/>
  <c r="C5" i="15"/>
  <c r="C23" i="13"/>
  <c r="K23" i="13" s="1"/>
  <c r="C18" i="13"/>
  <c r="C12" i="13"/>
  <c r="C6" i="13"/>
  <c r="K6" i="13" s="1"/>
  <c r="C20" i="16"/>
  <c r="C14" i="16"/>
  <c r="C8" i="16"/>
  <c r="K8" i="16" s="1"/>
  <c r="C2" i="16"/>
  <c r="K2" i="16" s="1"/>
  <c r="C23" i="15"/>
  <c r="K23" i="15" s="1"/>
  <c r="C18" i="15"/>
  <c r="K18" i="15" s="1"/>
  <c r="C12" i="15"/>
  <c r="K12" i="15" s="1"/>
  <c r="C6" i="15"/>
  <c r="C21" i="16"/>
  <c r="C15" i="16"/>
  <c r="C9" i="16"/>
  <c r="C3" i="16"/>
  <c r="C16" i="14"/>
  <c r="C10" i="14"/>
  <c r="K10" i="14" s="1"/>
  <c r="C4" i="14"/>
  <c r="K4" i="14" s="1"/>
  <c r="C16" i="16"/>
  <c r="K16" i="16" s="1"/>
  <c r="C10" i="16"/>
  <c r="K10" i="16" s="1"/>
  <c r="C4" i="16"/>
  <c r="K4" i="16" s="1"/>
  <c r="C17" i="14"/>
  <c r="C11" i="14"/>
  <c r="C5" i="14"/>
  <c r="C23" i="12"/>
  <c r="K23" i="12" s="1"/>
  <c r="C18" i="12"/>
  <c r="C12" i="12"/>
  <c r="C6" i="12"/>
  <c r="C22" i="16"/>
  <c r="C17" i="16"/>
  <c r="K17" i="16" s="1"/>
  <c r="C11" i="16"/>
  <c r="K11" i="16" s="1"/>
  <c r="C5" i="16"/>
  <c r="K5" i="16" s="1"/>
  <c r="C23" i="14"/>
  <c r="K23" i="14" s="1"/>
  <c r="C18" i="14"/>
  <c r="C15" i="15"/>
  <c r="C7" i="15"/>
  <c r="C22" i="12"/>
  <c r="K22" i="12" s="1"/>
  <c r="C19" i="12"/>
  <c r="C9" i="15"/>
  <c r="K9" i="15" s="1"/>
  <c r="C12" i="14"/>
  <c r="C22" i="13"/>
  <c r="K22" i="13" s="1"/>
  <c r="C15" i="13"/>
  <c r="K15" i="13" s="1"/>
  <c r="C22" i="11"/>
  <c r="K22" i="11" s="1"/>
  <c r="C21" i="15"/>
  <c r="K21" i="15" s="1"/>
  <c r="C14" i="14"/>
  <c r="K14" i="14" s="1"/>
  <c r="C3" i="14"/>
  <c r="C4" i="13"/>
  <c r="C16" i="12"/>
  <c r="C9" i="12"/>
  <c r="C5" i="12"/>
  <c r="K5" i="12" s="1"/>
  <c r="C17" i="11"/>
  <c r="C11" i="11"/>
  <c r="C5" i="11"/>
  <c r="C23" i="9"/>
  <c r="K23" i="9" s="1"/>
  <c r="C2" i="15"/>
  <c r="K2" i="15" s="1"/>
  <c r="C22" i="14"/>
  <c r="C20" i="14"/>
  <c r="K20" i="14" s="1"/>
  <c r="C14" i="15"/>
  <c r="K14" i="15" s="1"/>
  <c r="C20" i="15"/>
  <c r="C6" i="14"/>
  <c r="C13" i="13"/>
  <c r="C17" i="12"/>
  <c r="K17" i="12" s="1"/>
  <c r="C10" i="12"/>
  <c r="K10" i="12" s="1"/>
  <c r="C2" i="12"/>
  <c r="C23" i="11"/>
  <c r="K23" i="11" s="1"/>
  <c r="C16" i="10"/>
  <c r="C10" i="10"/>
  <c r="C4" i="10"/>
  <c r="K4" i="10" s="1"/>
  <c r="C8" i="15"/>
  <c r="K8" i="15" s="1"/>
  <c r="C16" i="13"/>
  <c r="K16" i="13" s="1"/>
  <c r="C15" i="14"/>
  <c r="C3" i="15"/>
  <c r="C21" i="14"/>
  <c r="C9" i="14"/>
  <c r="K9" i="14" s="1"/>
  <c r="C14" i="13"/>
  <c r="C11" i="12"/>
  <c r="C3" i="12"/>
  <c r="C18" i="9"/>
  <c r="K18" i="9" s="1"/>
  <c r="C12" i="9"/>
  <c r="K12" i="9" s="1"/>
  <c r="C6" i="9"/>
  <c r="K6" i="9" s="1"/>
  <c r="C19" i="7"/>
  <c r="K19" i="7" s="1"/>
  <c r="C6" i="11"/>
  <c r="C7" i="10"/>
  <c r="C19" i="13"/>
  <c r="C10" i="13"/>
  <c r="C2" i="13"/>
  <c r="C12" i="11"/>
  <c r="C9" i="11"/>
  <c r="C3" i="11"/>
  <c r="C21" i="10"/>
  <c r="K21" i="10" s="1"/>
  <c r="C14" i="10"/>
  <c r="K14" i="10" s="1"/>
  <c r="C11" i="10"/>
  <c r="K11" i="10" s="1"/>
  <c r="C22" i="9"/>
  <c r="K22" i="9" s="1"/>
  <c r="C13" i="9"/>
  <c r="C7" i="9"/>
  <c r="C22" i="8"/>
  <c r="C20" i="7"/>
  <c r="C13" i="15"/>
  <c r="C2" i="14"/>
  <c r="K2" i="14" s="1"/>
  <c r="C7" i="13"/>
  <c r="C21" i="12"/>
  <c r="K21" i="12" s="1"/>
  <c r="C13" i="12"/>
  <c r="C18" i="11"/>
  <c r="K18" i="11" s="1"/>
  <c r="C15" i="11"/>
  <c r="C18" i="10"/>
  <c r="K18" i="10" s="1"/>
  <c r="C19" i="9"/>
  <c r="C13" i="14"/>
  <c r="C21" i="13"/>
  <c r="K21" i="13" s="1"/>
  <c r="C8" i="12"/>
  <c r="K8" i="12" s="1"/>
  <c r="C21" i="11"/>
  <c r="C7" i="11"/>
  <c r="K7" i="11" s="1"/>
  <c r="C22" i="10"/>
  <c r="C15" i="10"/>
  <c r="C8" i="10"/>
  <c r="K8" i="10" s="1"/>
  <c r="C5" i="10"/>
  <c r="K5" i="10" s="1"/>
  <c r="C15" i="12"/>
  <c r="K15" i="12" s="1"/>
  <c r="C13" i="11"/>
  <c r="K13" i="11" s="1"/>
  <c r="C4" i="11"/>
  <c r="K4" i="11" s="1"/>
  <c r="C12" i="10"/>
  <c r="C20" i="13"/>
  <c r="K20" i="13" s="1"/>
  <c r="C3" i="13"/>
  <c r="K3" i="13" s="1"/>
  <c r="C8" i="11"/>
  <c r="K8" i="11" s="1"/>
  <c r="C23" i="10"/>
  <c r="K23" i="10" s="1"/>
  <c r="C6" i="10"/>
  <c r="K6" i="10" s="1"/>
  <c r="C21" i="9"/>
  <c r="C14" i="11"/>
  <c r="C20" i="10"/>
  <c r="K20" i="10" s="1"/>
  <c r="C17" i="10"/>
  <c r="C2" i="8"/>
  <c r="C11" i="7"/>
  <c r="K11" i="7" s="1"/>
  <c r="C5" i="7"/>
  <c r="C23" i="5"/>
  <c r="K23" i="5" s="1"/>
  <c r="C18" i="5"/>
  <c r="C12" i="5"/>
  <c r="C10" i="11"/>
  <c r="K10" i="11" s="1"/>
  <c r="C3" i="10"/>
  <c r="C9" i="9"/>
  <c r="C19" i="14"/>
  <c r="C17" i="9"/>
  <c r="K17" i="9" s="1"/>
  <c r="C21" i="8"/>
  <c r="K21" i="8" s="1"/>
  <c r="C18" i="8"/>
  <c r="K18" i="8" s="1"/>
  <c r="C14" i="8"/>
  <c r="K14" i="8" s="1"/>
  <c r="C7" i="8"/>
  <c r="C12" i="7"/>
  <c r="C6" i="7"/>
  <c r="C11" i="13"/>
  <c r="K11" i="13" s="1"/>
  <c r="C5" i="13"/>
  <c r="K5" i="13" s="1"/>
  <c r="C19" i="10"/>
  <c r="C15" i="9"/>
  <c r="C3" i="9"/>
  <c r="K3" i="9" s="1"/>
  <c r="C11" i="8"/>
  <c r="K11" i="8" s="1"/>
  <c r="C3" i="8"/>
  <c r="K3" i="8" s="1"/>
  <c r="C16" i="6"/>
  <c r="K16" i="6" s="1"/>
  <c r="C10" i="6"/>
  <c r="C4" i="6"/>
  <c r="C13" i="10"/>
  <c r="C18" i="7"/>
  <c r="C13" i="7"/>
  <c r="C7" i="7"/>
  <c r="K7" i="7" s="1"/>
  <c r="C22" i="6"/>
  <c r="C19" i="15"/>
  <c r="K19" i="15" s="1"/>
  <c r="C20" i="12"/>
  <c r="K20" i="12" s="1"/>
  <c r="C20" i="11"/>
  <c r="K20" i="11" s="1"/>
  <c r="C16" i="11"/>
  <c r="K16" i="11" s="1"/>
  <c r="C20" i="9"/>
  <c r="K20" i="9" s="1"/>
  <c r="C10" i="9"/>
  <c r="C19" i="8"/>
  <c r="C15" i="8"/>
  <c r="C12" i="8"/>
  <c r="C8" i="8"/>
  <c r="C22" i="7"/>
  <c r="K22" i="7" s="1"/>
  <c r="C14" i="7"/>
  <c r="C8" i="7"/>
  <c r="K8" i="7" s="1"/>
  <c r="C2" i="7"/>
  <c r="C16" i="9"/>
  <c r="K16" i="9" s="1"/>
  <c r="C11" i="9"/>
  <c r="K11" i="9" s="1"/>
  <c r="C8" i="9"/>
  <c r="K8" i="9" s="1"/>
  <c r="C16" i="8"/>
  <c r="C19" i="6"/>
  <c r="C7" i="14"/>
  <c r="C19" i="11"/>
  <c r="C9" i="10"/>
  <c r="C5" i="8"/>
  <c r="K5" i="8" s="1"/>
  <c r="C16" i="7"/>
  <c r="C17" i="6"/>
  <c r="C11" i="6"/>
  <c r="K11" i="6" s="1"/>
  <c r="C22" i="5"/>
  <c r="K22" i="5" s="1"/>
  <c r="C6" i="5"/>
  <c r="K6" i="5" s="1"/>
  <c r="C14" i="9"/>
  <c r="K14" i="9" s="1"/>
  <c r="C10" i="8"/>
  <c r="C23" i="7"/>
  <c r="K23" i="7" s="1"/>
  <c r="C9" i="7"/>
  <c r="C19" i="5"/>
  <c r="K19" i="5" s="1"/>
  <c r="C8" i="6"/>
  <c r="C5" i="6"/>
  <c r="K5" i="6" s="1"/>
  <c r="C6" i="8"/>
  <c r="K6" i="8" s="1"/>
  <c r="C6" i="6"/>
  <c r="K6" i="6" s="1"/>
  <c r="C21" i="5"/>
  <c r="C7" i="12"/>
  <c r="K7" i="12" s="1"/>
  <c r="C4" i="7"/>
  <c r="K4" i="7" s="1"/>
  <c r="C20" i="6"/>
  <c r="K20" i="6" s="1"/>
  <c r="C12" i="6"/>
  <c r="C20" i="5"/>
  <c r="C13" i="5"/>
  <c r="C8" i="5"/>
  <c r="C2" i="5"/>
  <c r="C9" i="5"/>
  <c r="K9" i="5" s="1"/>
  <c r="C17" i="7"/>
  <c r="K17" i="7" s="1"/>
  <c r="C14" i="5"/>
  <c r="C9" i="13"/>
  <c r="K9" i="13" s="1"/>
  <c r="C14" i="12"/>
  <c r="C15" i="7"/>
  <c r="K15" i="7" s="1"/>
  <c r="C18" i="6"/>
  <c r="K18" i="6" s="1"/>
  <c r="C2" i="6"/>
  <c r="K2" i="6" s="1"/>
  <c r="C17" i="5"/>
  <c r="K17" i="5" s="1"/>
  <c r="C9" i="8"/>
  <c r="C4" i="8"/>
  <c r="C15" i="6"/>
  <c r="C9" i="6"/>
  <c r="K9" i="6" s="1"/>
  <c r="C3" i="5"/>
  <c r="C2" i="11"/>
  <c r="K2" i="11" s="1"/>
  <c r="C2" i="9"/>
  <c r="K2" i="9" s="1"/>
  <c r="C17" i="8"/>
  <c r="C23" i="8"/>
  <c r="K23" i="8" s="1"/>
  <c r="C13" i="8"/>
  <c r="K13" i="8" s="1"/>
  <c r="C21" i="6"/>
  <c r="K21" i="6" s="1"/>
  <c r="C16" i="5"/>
  <c r="K16" i="5" s="1"/>
  <c r="C8" i="14"/>
  <c r="K8" i="14" s="1"/>
  <c r="C5" i="9"/>
  <c r="C7" i="6"/>
  <c r="K7" i="6" s="1"/>
  <c r="C4" i="9"/>
  <c r="K4" i="9" s="1"/>
  <c r="C13" i="6"/>
  <c r="K13" i="6" s="1"/>
  <c r="C5" i="5"/>
  <c r="C15" i="5"/>
  <c r="K15" i="5" s="1"/>
  <c r="C8" i="13"/>
  <c r="C23" i="6"/>
  <c r="K23" i="6" s="1"/>
  <c r="C10" i="7"/>
  <c r="K10" i="7" s="1"/>
  <c r="C4" i="5"/>
  <c r="C3" i="6"/>
  <c r="K3" i="6" s="1"/>
  <c r="M5" i="6"/>
  <c r="C4" i="12"/>
  <c r="K4" i="12" s="1"/>
  <c r="C14" i="6"/>
  <c r="K14" i="6" s="1"/>
  <c r="C10" i="5"/>
  <c r="C11" i="5"/>
  <c r="K11" i="5" s="1"/>
  <c r="C7" i="5"/>
  <c r="K7" i="5" s="1"/>
  <c r="C2" i="10"/>
  <c r="K2" i="10" s="1"/>
  <c r="C3" i="7"/>
  <c r="K3" i="7" s="1"/>
  <c r="C20" i="8"/>
  <c r="K20" i="8" s="1"/>
  <c r="C21" i="7"/>
  <c r="K21" i="7" s="1"/>
  <c r="M4" i="9"/>
  <c r="G7" i="15"/>
  <c r="J7" i="15"/>
  <c r="M4" i="12"/>
  <c r="J18" i="15"/>
  <c r="J9" i="15"/>
  <c r="E7" i="14"/>
  <c r="M5" i="13"/>
  <c r="M6" i="13" s="1"/>
  <c r="M7" i="13" s="1"/>
  <c r="J4" i="15"/>
  <c r="G12" i="15"/>
  <c r="F12" i="15"/>
  <c r="H12" i="15" s="1"/>
  <c r="J12" i="15"/>
  <c r="E22" i="15"/>
  <c r="E15" i="15"/>
  <c r="E21" i="15"/>
  <c r="E2" i="15"/>
  <c r="E14" i="15"/>
  <c r="E20" i="15"/>
  <c r="E8" i="15"/>
  <c r="E16" i="15"/>
  <c r="E10" i="15"/>
  <c r="F9" i="15" s="1"/>
  <c r="E3" i="15"/>
  <c r="M4" i="13"/>
  <c r="E23" i="14"/>
  <c r="M5" i="16"/>
  <c r="M6" i="16" s="1"/>
  <c r="M7" i="16" s="1"/>
  <c r="M19" i="16"/>
  <c r="H18" i="3" s="1"/>
  <c r="M20" i="16"/>
  <c r="M18" i="3" s="1"/>
  <c r="M19" i="14"/>
  <c r="H16" i="3" s="1"/>
  <c r="M20" i="14"/>
  <c r="M16" i="3" s="1"/>
  <c r="E13" i="15"/>
  <c r="E19" i="15"/>
  <c r="E4" i="16"/>
  <c r="M5" i="14"/>
  <c r="M6" i="14" s="1"/>
  <c r="M7" i="14" s="1"/>
  <c r="E11" i="14"/>
  <c r="E23" i="15"/>
  <c r="M4" i="16"/>
  <c r="E6" i="15"/>
  <c r="E5" i="16"/>
  <c r="M20" i="15"/>
  <c r="M17" i="3" s="1"/>
  <c r="M5" i="15"/>
  <c r="M6" i="15" s="1"/>
  <c r="M19" i="15"/>
  <c r="H17" i="3" s="1"/>
  <c r="E17" i="16"/>
  <c r="E11" i="15"/>
  <c r="E17" i="15"/>
  <c r="E6" i="16"/>
  <c r="E20" i="16"/>
  <c r="M4" i="14"/>
  <c r="E22" i="14" s="1"/>
  <c r="E12" i="16"/>
  <c r="E21" i="16"/>
  <c r="E22" i="16"/>
  <c r="E5" i="15"/>
  <c r="E23" i="16"/>
  <c r="M19" i="13" l="1"/>
  <c r="H15" i="3" s="1"/>
  <c r="E5" i="13"/>
  <c r="J5" i="13" s="1"/>
  <c r="E19" i="13"/>
  <c r="E23" i="13"/>
  <c r="G23" i="13" s="1"/>
  <c r="E23" i="12"/>
  <c r="M6" i="12"/>
  <c r="E20" i="12"/>
  <c r="E18" i="12"/>
  <c r="E2" i="12"/>
  <c r="E14" i="11"/>
  <c r="J14" i="11" s="1"/>
  <c r="E20" i="11"/>
  <c r="E17" i="11"/>
  <c r="E12" i="11"/>
  <c r="E19" i="11"/>
  <c r="E5" i="11"/>
  <c r="E18" i="11"/>
  <c r="J18" i="11" s="1"/>
  <c r="E15" i="11"/>
  <c r="E23" i="11"/>
  <c r="J23" i="11" s="1"/>
  <c r="E11" i="11"/>
  <c r="J11" i="11" s="1"/>
  <c r="E21" i="11"/>
  <c r="E22" i="11"/>
  <c r="J22" i="11" s="1"/>
  <c r="E8" i="11"/>
  <c r="E13" i="11"/>
  <c r="E4" i="11"/>
  <c r="E7" i="11"/>
  <c r="J7" i="11" s="1"/>
  <c r="E6" i="11"/>
  <c r="E9" i="11"/>
  <c r="J9" i="11" s="1"/>
  <c r="E2" i="11"/>
  <c r="J2" i="11" s="1"/>
  <c r="M6" i="11"/>
  <c r="E3" i="11"/>
  <c r="J3" i="11" s="1"/>
  <c r="E4" i="10"/>
  <c r="M6" i="10"/>
  <c r="E13" i="10"/>
  <c r="E18" i="10"/>
  <c r="E19" i="10"/>
  <c r="E12" i="10"/>
  <c r="E5" i="10"/>
  <c r="E10" i="10"/>
  <c r="J10" i="10" s="1"/>
  <c r="E11" i="10"/>
  <c r="J11" i="10" s="1"/>
  <c r="E7" i="10"/>
  <c r="J7" i="10" s="1"/>
  <c r="E3" i="10"/>
  <c r="E17" i="10"/>
  <c r="J17" i="10" s="1"/>
  <c r="E16" i="10"/>
  <c r="J16" i="10" s="1"/>
  <c r="E14" i="10"/>
  <c r="J14" i="10" s="1"/>
  <c r="J13" i="10"/>
  <c r="E23" i="10"/>
  <c r="E22" i="10"/>
  <c r="J22" i="10" s="1"/>
  <c r="E20" i="10"/>
  <c r="E8" i="10"/>
  <c r="J8" i="10" s="1"/>
  <c r="E21" i="10"/>
  <c r="J21" i="10" s="1"/>
  <c r="E2" i="10"/>
  <c r="E6" i="10"/>
  <c r="E23" i="9"/>
  <c r="M6" i="9"/>
  <c r="M19" i="9" s="1"/>
  <c r="H11" i="3" s="1"/>
  <c r="E19" i="9"/>
  <c r="J19" i="9" s="1"/>
  <c r="E13" i="9"/>
  <c r="E7" i="9"/>
  <c r="E22" i="8"/>
  <c r="E11" i="8"/>
  <c r="E4" i="8"/>
  <c r="E17" i="8"/>
  <c r="E3" i="8"/>
  <c r="J3" i="8" s="1"/>
  <c r="E12" i="8"/>
  <c r="J12" i="8" s="1"/>
  <c r="E13" i="8"/>
  <c r="J13" i="8" s="1"/>
  <c r="E7" i="8"/>
  <c r="J7" i="8" s="1"/>
  <c r="E14" i="8"/>
  <c r="J14" i="8" s="1"/>
  <c r="E2" i="8"/>
  <c r="J2" i="8" s="1"/>
  <c r="E21" i="8"/>
  <c r="J21" i="8" s="1"/>
  <c r="E18" i="8"/>
  <c r="J18" i="8" s="1"/>
  <c r="E20" i="8"/>
  <c r="J20" i="8" s="1"/>
  <c r="E19" i="8"/>
  <c r="J19" i="8" s="1"/>
  <c r="E8" i="8"/>
  <c r="J8" i="8" s="1"/>
  <c r="E9" i="8"/>
  <c r="J9" i="8" s="1"/>
  <c r="E15" i="8"/>
  <c r="J15" i="8" s="1"/>
  <c r="E5" i="8"/>
  <c r="J5" i="8" s="1"/>
  <c r="E6" i="8"/>
  <c r="E16" i="8"/>
  <c r="E23" i="8"/>
  <c r="J23" i="8" s="1"/>
  <c r="M6" i="8"/>
  <c r="M19" i="8" s="1"/>
  <c r="H10" i="3" s="1"/>
  <c r="E10" i="8"/>
  <c r="M5" i="7"/>
  <c r="E10" i="7" s="1"/>
  <c r="E9" i="7"/>
  <c r="J9" i="7" s="1"/>
  <c r="E8" i="7"/>
  <c r="J8" i="7" s="1"/>
  <c r="E14" i="7"/>
  <c r="J14" i="7" s="1"/>
  <c r="E13" i="7"/>
  <c r="J13" i="7" s="1"/>
  <c r="E3" i="7"/>
  <c r="J3" i="7" s="1"/>
  <c r="E12" i="7"/>
  <c r="J12" i="7" s="1"/>
  <c r="M6" i="6"/>
  <c r="E20" i="6"/>
  <c r="E22" i="6"/>
  <c r="E11" i="6"/>
  <c r="J11" i="6" s="1"/>
  <c r="E9" i="6"/>
  <c r="E6" i="6"/>
  <c r="J6" i="6" s="1"/>
  <c r="E23" i="6"/>
  <c r="E18" i="6"/>
  <c r="J18" i="6" s="1"/>
  <c r="E4" i="6"/>
  <c r="J4" i="6" s="1"/>
  <c r="E7" i="6"/>
  <c r="J7" i="6" s="1"/>
  <c r="E13" i="6"/>
  <c r="J13" i="6" s="1"/>
  <c r="E10" i="6"/>
  <c r="J10" i="6" s="1"/>
  <c r="E5" i="6"/>
  <c r="J5" i="6" s="1"/>
  <c r="E21" i="6"/>
  <c r="J21" i="6" s="1"/>
  <c r="E12" i="6"/>
  <c r="J12" i="6" s="1"/>
  <c r="E15" i="6"/>
  <c r="E3" i="6"/>
  <c r="E8" i="6"/>
  <c r="J8" i="6" s="1"/>
  <c r="E16" i="6"/>
  <c r="E19" i="6"/>
  <c r="J19" i="6" s="1"/>
  <c r="E14" i="6"/>
  <c r="J14" i="6" s="1"/>
  <c r="E17" i="6"/>
  <c r="E2" i="5"/>
  <c r="M5" i="5"/>
  <c r="E9" i="5"/>
  <c r="E17" i="5"/>
  <c r="E16" i="5"/>
  <c r="E8" i="5"/>
  <c r="E14" i="5"/>
  <c r="J14" i="5" s="1"/>
  <c r="E7" i="5"/>
  <c r="J7" i="5" s="1"/>
  <c r="E6" i="5"/>
  <c r="J6" i="5" s="1"/>
  <c r="E12" i="5"/>
  <c r="E11" i="5"/>
  <c r="J11" i="5" s="1"/>
  <c r="E4" i="5"/>
  <c r="E10" i="5"/>
  <c r="M6" i="5"/>
  <c r="J23" i="9"/>
  <c r="F23" i="9"/>
  <c r="G22" i="14"/>
  <c r="F22" i="14"/>
  <c r="H22" i="14" s="1"/>
  <c r="J22" i="14"/>
  <c r="J19" i="13"/>
  <c r="E16" i="12"/>
  <c r="E8" i="12"/>
  <c r="E10" i="12"/>
  <c r="E6" i="12"/>
  <c r="E9" i="12"/>
  <c r="E5" i="12"/>
  <c r="E12" i="12"/>
  <c r="J23" i="16"/>
  <c r="G23" i="16"/>
  <c r="F23" i="16"/>
  <c r="H23" i="16" s="1"/>
  <c r="J6" i="16"/>
  <c r="J11" i="14"/>
  <c r="E15" i="12"/>
  <c r="E11" i="12"/>
  <c r="E22" i="9"/>
  <c r="E4" i="12"/>
  <c r="J4" i="11"/>
  <c r="J22" i="6"/>
  <c r="F22" i="6"/>
  <c r="K5" i="5"/>
  <c r="K12" i="6"/>
  <c r="K10" i="8"/>
  <c r="K16" i="8"/>
  <c r="K10" i="9"/>
  <c r="K10" i="6"/>
  <c r="K19" i="9"/>
  <c r="K13" i="9"/>
  <c r="K6" i="11"/>
  <c r="K3" i="14"/>
  <c r="K18" i="14"/>
  <c r="K17" i="14"/>
  <c r="K11" i="15"/>
  <c r="K19" i="14"/>
  <c r="K16" i="10"/>
  <c r="M7" i="15"/>
  <c r="J19" i="15"/>
  <c r="G19" i="15"/>
  <c r="F19" i="15"/>
  <c r="H19" i="15" s="1"/>
  <c r="E13" i="13"/>
  <c r="G8" i="15"/>
  <c r="F8" i="15"/>
  <c r="J8" i="15"/>
  <c r="J22" i="8"/>
  <c r="E16" i="9"/>
  <c r="K14" i="5"/>
  <c r="K17" i="6"/>
  <c r="K15" i="9"/>
  <c r="K9" i="9"/>
  <c r="K21" i="9"/>
  <c r="K15" i="10"/>
  <c r="K3" i="11"/>
  <c r="K3" i="12"/>
  <c r="K5" i="11"/>
  <c r="K22" i="16"/>
  <c r="K14" i="16"/>
  <c r="K19" i="16"/>
  <c r="J5" i="15"/>
  <c r="F5" i="15"/>
  <c r="G5" i="15"/>
  <c r="J17" i="8"/>
  <c r="J23" i="12"/>
  <c r="G23" i="12"/>
  <c r="F23" i="12"/>
  <c r="J13" i="11"/>
  <c r="J4" i="8"/>
  <c r="K17" i="10"/>
  <c r="E7" i="12"/>
  <c r="J9" i="10"/>
  <c r="K14" i="12"/>
  <c r="K10" i="10"/>
  <c r="J12" i="16"/>
  <c r="J16" i="15"/>
  <c r="F16" i="15"/>
  <c r="H16" i="15" s="1"/>
  <c r="G16" i="15"/>
  <c r="G4" i="15"/>
  <c r="K21" i="5"/>
  <c r="K2" i="7"/>
  <c r="K14" i="11"/>
  <c r="K13" i="12"/>
  <c r="E18" i="14"/>
  <c r="E12" i="14"/>
  <c r="J13" i="15"/>
  <c r="G13" i="15"/>
  <c r="F13" i="15"/>
  <c r="E10" i="13"/>
  <c r="J20" i="15"/>
  <c r="G20" i="15"/>
  <c r="F20" i="15"/>
  <c r="H20" i="15" s="1"/>
  <c r="F4" i="15"/>
  <c r="E6" i="14"/>
  <c r="J18" i="10"/>
  <c r="J20" i="11"/>
  <c r="E14" i="9"/>
  <c r="G13" i="9" s="1"/>
  <c r="F7" i="15"/>
  <c r="H7" i="15" s="1"/>
  <c r="E3" i="12"/>
  <c r="M7" i="9"/>
  <c r="E8" i="9"/>
  <c r="K3" i="5"/>
  <c r="K16" i="7"/>
  <c r="K14" i="7"/>
  <c r="K22" i="6"/>
  <c r="K19" i="10"/>
  <c r="K3" i="10"/>
  <c r="K22" i="10"/>
  <c r="K7" i="13"/>
  <c r="K9" i="11"/>
  <c r="K11" i="12"/>
  <c r="K2" i="12"/>
  <c r="K11" i="11"/>
  <c r="K12" i="14"/>
  <c r="K6" i="12"/>
  <c r="K16" i="14"/>
  <c r="K20" i="16"/>
  <c r="K17" i="13"/>
  <c r="F17" i="15"/>
  <c r="J17" i="15"/>
  <c r="G17" i="15"/>
  <c r="J2" i="12"/>
  <c r="F11" i="15"/>
  <c r="J11" i="15"/>
  <c r="G11" i="15"/>
  <c r="J7" i="14"/>
  <c r="K15" i="11"/>
  <c r="K22" i="14"/>
  <c r="K22" i="15"/>
  <c r="G21" i="16"/>
  <c r="F21" i="16"/>
  <c r="H21" i="16" s="1"/>
  <c r="J21" i="16"/>
  <c r="J10" i="15"/>
  <c r="F10" i="15"/>
  <c r="H10" i="15" s="1"/>
  <c r="G10" i="15"/>
  <c r="J13" i="9"/>
  <c r="J15" i="11"/>
  <c r="J4" i="16"/>
  <c r="G4" i="16"/>
  <c r="F4" i="16"/>
  <c r="H4" i="16" s="1"/>
  <c r="J15" i="10"/>
  <c r="J7" i="9"/>
  <c r="J10" i="5"/>
  <c r="J12" i="11"/>
  <c r="K12" i="12"/>
  <c r="M16" i="15"/>
  <c r="G2" i="15"/>
  <c r="F2" i="15"/>
  <c r="J2" i="15"/>
  <c r="E4" i="14"/>
  <c r="J21" i="11"/>
  <c r="F18" i="15"/>
  <c r="H18" i="15" s="1"/>
  <c r="E17" i="12"/>
  <c r="J5" i="11"/>
  <c r="J9" i="6"/>
  <c r="J16" i="5"/>
  <c r="F16" i="5"/>
  <c r="G16" i="5"/>
  <c r="E21" i="9"/>
  <c r="J2" i="6"/>
  <c r="K15" i="6"/>
  <c r="K2" i="5"/>
  <c r="K8" i="6"/>
  <c r="K9" i="10"/>
  <c r="K8" i="8"/>
  <c r="K13" i="7"/>
  <c r="K12" i="5"/>
  <c r="K21" i="11"/>
  <c r="K13" i="15"/>
  <c r="K2" i="13"/>
  <c r="K19" i="12"/>
  <c r="K18" i="12"/>
  <c r="K9" i="16"/>
  <c r="K12" i="13"/>
  <c r="K10" i="15"/>
  <c r="J23" i="14"/>
  <c r="G23" i="14"/>
  <c r="F23" i="14"/>
  <c r="H23" i="14" s="1"/>
  <c r="J20" i="12"/>
  <c r="K2" i="8"/>
  <c r="K17" i="15"/>
  <c r="J22" i="16"/>
  <c r="G22" i="16"/>
  <c r="F22" i="16"/>
  <c r="F3" i="15"/>
  <c r="H3" i="15" s="1"/>
  <c r="J3" i="15"/>
  <c r="G3" i="15"/>
  <c r="J17" i="16"/>
  <c r="F17" i="16"/>
  <c r="E4" i="13"/>
  <c r="E20" i="13"/>
  <c r="G19" i="13" s="1"/>
  <c r="E21" i="13"/>
  <c r="E2" i="13"/>
  <c r="E8" i="13"/>
  <c r="E9" i="13"/>
  <c r="E15" i="13"/>
  <c r="E12" i="13"/>
  <c r="E22" i="13"/>
  <c r="E16" i="13"/>
  <c r="E14" i="13"/>
  <c r="E3" i="13"/>
  <c r="E17" i="13"/>
  <c r="E11" i="13"/>
  <c r="G9" i="15"/>
  <c r="H9" i="15" s="1"/>
  <c r="J6" i="11"/>
  <c r="E14" i="12"/>
  <c r="J5" i="16"/>
  <c r="G5" i="16"/>
  <c r="F5" i="16"/>
  <c r="H5" i="16" s="1"/>
  <c r="E6" i="13"/>
  <c r="F5" i="13" s="1"/>
  <c r="K12" i="11"/>
  <c r="E5" i="14"/>
  <c r="J21" i="15"/>
  <c r="F21" i="15"/>
  <c r="G21" i="15"/>
  <c r="J10" i="11"/>
  <c r="E22" i="12"/>
  <c r="G18" i="15"/>
  <c r="E2" i="9"/>
  <c r="J17" i="11"/>
  <c r="J4" i="5"/>
  <c r="K10" i="5"/>
  <c r="K4" i="5"/>
  <c r="K8" i="13"/>
  <c r="K5" i="9"/>
  <c r="K4" i="8"/>
  <c r="K8" i="5"/>
  <c r="K19" i="11"/>
  <c r="K12" i="8"/>
  <c r="K18" i="7"/>
  <c r="K6" i="7"/>
  <c r="K18" i="5"/>
  <c r="K20" i="7"/>
  <c r="K10" i="13"/>
  <c r="K21" i="14"/>
  <c r="K13" i="13"/>
  <c r="K9" i="12"/>
  <c r="K15" i="16"/>
  <c r="K18" i="13"/>
  <c r="K16" i="15"/>
  <c r="J18" i="12"/>
  <c r="J14" i="15"/>
  <c r="G14" i="15"/>
  <c r="F14" i="15"/>
  <c r="J16" i="11"/>
  <c r="M16" i="11"/>
  <c r="K17" i="11"/>
  <c r="K3" i="16"/>
  <c r="G20" i="16"/>
  <c r="F20" i="16"/>
  <c r="H20" i="16" s="1"/>
  <c r="J20" i="16"/>
  <c r="E13" i="12"/>
  <c r="E19" i="16"/>
  <c r="E13" i="16"/>
  <c r="E7" i="16"/>
  <c r="G6" i="16" s="1"/>
  <c r="E14" i="16"/>
  <c r="E8" i="16"/>
  <c r="E2" i="16"/>
  <c r="E15" i="16"/>
  <c r="E9" i="16"/>
  <c r="E3" i="16"/>
  <c r="E16" i="16"/>
  <c r="E10" i="16"/>
  <c r="E11" i="16"/>
  <c r="E7" i="13"/>
  <c r="F15" i="15"/>
  <c r="G15" i="15"/>
  <c r="J15" i="15"/>
  <c r="J12" i="10"/>
  <c r="G12" i="10"/>
  <c r="F12" i="10"/>
  <c r="J20" i="6"/>
  <c r="J2" i="5"/>
  <c r="E19" i="12"/>
  <c r="G18" i="12" s="1"/>
  <c r="K9" i="8"/>
  <c r="K13" i="5"/>
  <c r="K9" i="7"/>
  <c r="K7" i="14"/>
  <c r="K15" i="8"/>
  <c r="K13" i="10"/>
  <c r="K12" i="7"/>
  <c r="K22" i="8"/>
  <c r="K19" i="13"/>
  <c r="K3" i="15"/>
  <c r="K6" i="14"/>
  <c r="K16" i="12"/>
  <c r="K7" i="15"/>
  <c r="K5" i="14"/>
  <c r="K21" i="16"/>
  <c r="K6" i="16"/>
  <c r="J8" i="11"/>
  <c r="J11" i="8"/>
  <c r="K17" i="8"/>
  <c r="J12" i="5"/>
  <c r="E14" i="14"/>
  <c r="E10" i="14"/>
  <c r="E3" i="14"/>
  <c r="E20" i="14"/>
  <c r="E8" i="14"/>
  <c r="E15" i="14"/>
  <c r="E13" i="14"/>
  <c r="E21" i="14"/>
  <c r="E9" i="14"/>
  <c r="E2" i="14"/>
  <c r="E16" i="14"/>
  <c r="E19" i="14"/>
  <c r="E17" i="9"/>
  <c r="E15" i="9"/>
  <c r="E6" i="9"/>
  <c r="E3" i="9"/>
  <c r="E20" i="9"/>
  <c r="E18" i="9"/>
  <c r="E4" i="9"/>
  <c r="E9" i="9"/>
  <c r="E12" i="9"/>
  <c r="E11" i="9"/>
  <c r="J9" i="5"/>
  <c r="K14" i="13"/>
  <c r="G6" i="15"/>
  <c r="J6" i="15"/>
  <c r="F6" i="15"/>
  <c r="E17" i="14"/>
  <c r="E18" i="16"/>
  <c r="G17" i="16" s="1"/>
  <c r="G23" i="15"/>
  <c r="F23" i="15"/>
  <c r="J23" i="15"/>
  <c r="E21" i="12"/>
  <c r="G20" i="12" s="1"/>
  <c r="G22" i="15"/>
  <c r="J22" i="15"/>
  <c r="F22" i="15"/>
  <c r="H22" i="15" s="1"/>
  <c r="E18" i="13"/>
  <c r="J19" i="10"/>
  <c r="J4" i="10"/>
  <c r="E10" i="9"/>
  <c r="E5" i="9"/>
  <c r="J19" i="11"/>
  <c r="J17" i="5"/>
  <c r="G8" i="5"/>
  <c r="F8" i="5"/>
  <c r="J8" i="5"/>
  <c r="K20" i="5"/>
  <c r="K19" i="6"/>
  <c r="K19" i="8"/>
  <c r="K4" i="6"/>
  <c r="K7" i="8"/>
  <c r="K5" i="7"/>
  <c r="K12" i="10"/>
  <c r="K13" i="14"/>
  <c r="K7" i="9"/>
  <c r="K7" i="10"/>
  <c r="K15" i="14"/>
  <c r="K20" i="15"/>
  <c r="K4" i="13"/>
  <c r="K15" i="15"/>
  <c r="K11" i="14"/>
  <c r="K6" i="15"/>
  <c r="K5" i="15"/>
  <c r="K12" i="16"/>
  <c r="F23" i="13" l="1"/>
  <c r="H23" i="13" s="1"/>
  <c r="J23" i="13"/>
  <c r="G5" i="13"/>
  <c r="H5" i="13" s="1"/>
  <c r="M7" i="12"/>
  <c r="M19" i="12"/>
  <c r="H14" i="3" s="1"/>
  <c r="G2" i="12"/>
  <c r="H23" i="12"/>
  <c r="F18" i="12"/>
  <c r="H18" i="12" s="1"/>
  <c r="F2" i="12"/>
  <c r="F20" i="12"/>
  <c r="H20" i="12" s="1"/>
  <c r="M7" i="11"/>
  <c r="M19" i="11"/>
  <c r="H13" i="3" s="1"/>
  <c r="G7" i="11"/>
  <c r="F11" i="11"/>
  <c r="F9" i="11"/>
  <c r="G16" i="11"/>
  <c r="G8" i="11"/>
  <c r="G9" i="11"/>
  <c r="G17" i="11"/>
  <c r="G15" i="11"/>
  <c r="G3" i="11"/>
  <c r="F5" i="11"/>
  <c r="F8" i="11"/>
  <c r="F15" i="11"/>
  <c r="H15" i="11" s="1"/>
  <c r="F17" i="11"/>
  <c r="G5" i="11"/>
  <c r="G2" i="11"/>
  <c r="G10" i="11"/>
  <c r="F21" i="11"/>
  <c r="F3" i="11"/>
  <c r="F19" i="11"/>
  <c r="F2" i="11"/>
  <c r="G19" i="11"/>
  <c r="F7" i="11"/>
  <c r="H7" i="11" s="1"/>
  <c r="G11" i="11"/>
  <c r="H11" i="11" s="1"/>
  <c r="F16" i="11"/>
  <c r="H16" i="11" s="1"/>
  <c r="F6" i="11"/>
  <c r="G21" i="11"/>
  <c r="F23" i="11"/>
  <c r="G23" i="11"/>
  <c r="F13" i="11"/>
  <c r="F22" i="11"/>
  <c r="G13" i="11"/>
  <c r="G22" i="11"/>
  <c r="G14" i="11"/>
  <c r="G18" i="11"/>
  <c r="F18" i="11"/>
  <c r="G20" i="11"/>
  <c r="H20" i="11" s="1"/>
  <c r="F20" i="11"/>
  <c r="F4" i="11"/>
  <c r="G4" i="11"/>
  <c r="G12" i="11"/>
  <c r="F10" i="11"/>
  <c r="H10" i="11" s="1"/>
  <c r="F12" i="11"/>
  <c r="F14" i="11"/>
  <c r="G6" i="11"/>
  <c r="G18" i="10"/>
  <c r="M19" i="10"/>
  <c r="H12" i="3" s="1"/>
  <c r="M7" i="10"/>
  <c r="F4" i="10"/>
  <c r="F3" i="10"/>
  <c r="G4" i="10"/>
  <c r="J5" i="10"/>
  <c r="F18" i="10"/>
  <c r="H18" i="10" s="1"/>
  <c r="G21" i="10"/>
  <c r="J3" i="10"/>
  <c r="F7" i="10"/>
  <c r="G11" i="10"/>
  <c r="G8" i="10"/>
  <c r="F11" i="10"/>
  <c r="G5" i="10"/>
  <c r="F10" i="10"/>
  <c r="F16" i="10"/>
  <c r="F19" i="10"/>
  <c r="F2" i="10"/>
  <c r="H12" i="10"/>
  <c r="F9" i="10"/>
  <c r="G17" i="10"/>
  <c r="G3" i="10"/>
  <c r="H3" i="10" s="1"/>
  <c r="G16" i="10"/>
  <c r="G9" i="10"/>
  <c r="F22" i="10"/>
  <c r="G19" i="10"/>
  <c r="G10" i="10"/>
  <c r="H10" i="10" s="1"/>
  <c r="F15" i="10"/>
  <c r="F17" i="10"/>
  <c r="F21" i="10"/>
  <c r="G15" i="10"/>
  <c r="G22" i="10"/>
  <c r="G13" i="10"/>
  <c r="G20" i="10"/>
  <c r="H4" i="10"/>
  <c r="F14" i="10"/>
  <c r="G14" i="10"/>
  <c r="F13" i="10"/>
  <c r="F6" i="10"/>
  <c r="J6" i="10"/>
  <c r="G6" i="10"/>
  <c r="M16" i="10"/>
  <c r="J2" i="10"/>
  <c r="G2" i="10"/>
  <c r="G7" i="10"/>
  <c r="J20" i="10"/>
  <c r="F20" i="10"/>
  <c r="F8" i="10"/>
  <c r="F5" i="10"/>
  <c r="H5" i="10" s="1"/>
  <c r="F23" i="10"/>
  <c r="G23" i="10"/>
  <c r="J23" i="10"/>
  <c r="F19" i="9"/>
  <c r="G23" i="9"/>
  <c r="H23" i="9" s="1"/>
  <c r="G7" i="9"/>
  <c r="F7" i="9"/>
  <c r="F10" i="8"/>
  <c r="G11" i="8"/>
  <c r="G13" i="8"/>
  <c r="F23" i="8"/>
  <c r="J10" i="8"/>
  <c r="G9" i="8"/>
  <c r="G23" i="8"/>
  <c r="H23" i="8" s="1"/>
  <c r="G21" i="8"/>
  <c r="G14" i="8"/>
  <c r="G8" i="8"/>
  <c r="F14" i="8"/>
  <c r="F18" i="8"/>
  <c r="G19" i="8"/>
  <c r="F8" i="8"/>
  <c r="F21" i="8"/>
  <c r="F9" i="8"/>
  <c r="G16" i="8"/>
  <c r="J16" i="8"/>
  <c r="F15" i="8"/>
  <c r="G22" i="8"/>
  <c r="F13" i="8"/>
  <c r="H13" i="8" s="1"/>
  <c r="G6" i="8"/>
  <c r="M16" i="8"/>
  <c r="F6" i="8"/>
  <c r="F5" i="8"/>
  <c r="G5" i="8"/>
  <c r="J6" i="8"/>
  <c r="F3" i="8"/>
  <c r="F20" i="8"/>
  <c r="F22" i="8"/>
  <c r="G20" i="8"/>
  <c r="G4" i="8"/>
  <c r="F4" i="8"/>
  <c r="G18" i="8"/>
  <c r="G15" i="8"/>
  <c r="H15" i="8" s="1"/>
  <c r="F11" i="8"/>
  <c r="H11" i="8" s="1"/>
  <c r="G10" i="8"/>
  <c r="H10" i="8" s="1"/>
  <c r="M7" i="8"/>
  <c r="G7" i="8"/>
  <c r="G3" i="8"/>
  <c r="H3" i="8" s="1"/>
  <c r="G17" i="8"/>
  <c r="G12" i="8"/>
  <c r="F7" i="8"/>
  <c r="F17" i="8"/>
  <c r="F12" i="8"/>
  <c r="F19" i="8"/>
  <c r="F16" i="8"/>
  <c r="H16" i="8" s="1"/>
  <c r="F2" i="8"/>
  <c r="G2" i="8"/>
  <c r="J10" i="7"/>
  <c r="E7" i="7"/>
  <c r="E11" i="7"/>
  <c r="G10" i="7" s="1"/>
  <c r="E22" i="7"/>
  <c r="E20" i="7"/>
  <c r="J20" i="7" s="1"/>
  <c r="E15" i="7"/>
  <c r="E19" i="7"/>
  <c r="E17" i="7"/>
  <c r="E16" i="7"/>
  <c r="J16" i="7" s="1"/>
  <c r="E23" i="7"/>
  <c r="E21" i="7"/>
  <c r="E18" i="7"/>
  <c r="E4" i="7"/>
  <c r="J4" i="7" s="1"/>
  <c r="E5" i="7"/>
  <c r="E6" i="7"/>
  <c r="J6" i="7" s="1"/>
  <c r="M6" i="7"/>
  <c r="E2" i="7"/>
  <c r="F3" i="7"/>
  <c r="F13" i="7"/>
  <c r="G20" i="7"/>
  <c r="F6" i="7"/>
  <c r="F5" i="7"/>
  <c r="G3" i="7"/>
  <c r="G4" i="7"/>
  <c r="G2" i="7"/>
  <c r="G14" i="7"/>
  <c r="M7" i="6"/>
  <c r="M19" i="6"/>
  <c r="H8" i="3" s="1"/>
  <c r="F23" i="6"/>
  <c r="G23" i="6"/>
  <c r="J23" i="6"/>
  <c r="F2" i="6"/>
  <c r="G10" i="6"/>
  <c r="G9" i="6"/>
  <c r="F9" i="6"/>
  <c r="G22" i="6"/>
  <c r="H22" i="6" s="1"/>
  <c r="G11" i="6"/>
  <c r="F6" i="6"/>
  <c r="G6" i="6"/>
  <c r="G5" i="6"/>
  <c r="G21" i="6"/>
  <c r="F10" i="6"/>
  <c r="F4" i="6"/>
  <c r="F17" i="6"/>
  <c r="F5" i="6"/>
  <c r="F15" i="6"/>
  <c r="F11" i="6"/>
  <c r="G4" i="6"/>
  <c r="F3" i="6"/>
  <c r="G15" i="6"/>
  <c r="G19" i="6"/>
  <c r="F18" i="6"/>
  <c r="F21" i="6"/>
  <c r="H21" i="6" s="1"/>
  <c r="G12" i="6"/>
  <c r="F12" i="6"/>
  <c r="F16" i="6"/>
  <c r="J3" i="6"/>
  <c r="F20" i="6"/>
  <c r="J15" i="6"/>
  <c r="G3" i="6"/>
  <c r="G20" i="6"/>
  <c r="G2" i="6"/>
  <c r="H2" i="6" s="1"/>
  <c r="F14" i="6"/>
  <c r="F13" i="6"/>
  <c r="G18" i="6"/>
  <c r="F7" i="6"/>
  <c r="G8" i="6"/>
  <c r="G7" i="6"/>
  <c r="G16" i="6"/>
  <c r="F19" i="6"/>
  <c r="M16" i="6"/>
  <c r="J16" i="6"/>
  <c r="G13" i="6"/>
  <c r="G17" i="6"/>
  <c r="G14" i="6"/>
  <c r="J17" i="6"/>
  <c r="F8" i="6"/>
  <c r="H23" i="6"/>
  <c r="M7" i="5"/>
  <c r="M19" i="5"/>
  <c r="H7" i="3" s="1"/>
  <c r="G10" i="5"/>
  <c r="E19" i="5"/>
  <c r="E23" i="5"/>
  <c r="E13" i="5"/>
  <c r="E22" i="5"/>
  <c r="J22" i="5" s="1"/>
  <c r="E15" i="5"/>
  <c r="E21" i="5"/>
  <c r="E20" i="5"/>
  <c r="G9" i="5"/>
  <c r="H9" i="5" s="1"/>
  <c r="F9" i="5"/>
  <c r="E3" i="5"/>
  <c r="E5" i="5"/>
  <c r="E18" i="5"/>
  <c r="F10" i="5"/>
  <c r="F22" i="5"/>
  <c r="G11" i="5"/>
  <c r="G3" i="5"/>
  <c r="F3" i="5"/>
  <c r="F7" i="5"/>
  <c r="H7" i="5" s="1"/>
  <c r="G7" i="5"/>
  <c r="F5" i="5"/>
  <c r="F11" i="5"/>
  <c r="F6" i="5"/>
  <c r="H8" i="5"/>
  <c r="G6" i="5"/>
  <c r="G22" i="5"/>
  <c r="H22" i="5" s="1"/>
  <c r="G5" i="5"/>
  <c r="H10" i="5"/>
  <c r="H16" i="5"/>
  <c r="G2" i="16"/>
  <c r="F2" i="16"/>
  <c r="M16" i="16"/>
  <c r="J2" i="16"/>
  <c r="J11" i="13"/>
  <c r="F11" i="13"/>
  <c r="G11" i="13"/>
  <c r="G20" i="9"/>
  <c r="J20" i="9"/>
  <c r="F20" i="9"/>
  <c r="J17" i="13"/>
  <c r="F17" i="13"/>
  <c r="G17" i="13"/>
  <c r="H9" i="11"/>
  <c r="J18" i="13"/>
  <c r="G18" i="13"/>
  <c r="F18" i="13"/>
  <c r="H6" i="15"/>
  <c r="G9" i="9"/>
  <c r="J9" i="9"/>
  <c r="F9" i="9"/>
  <c r="F21" i="14"/>
  <c r="G21" i="14"/>
  <c r="J21" i="14"/>
  <c r="G15" i="16"/>
  <c r="F15" i="16"/>
  <c r="H15" i="16" s="1"/>
  <c r="J15" i="16"/>
  <c r="H14" i="15"/>
  <c r="G2" i="13"/>
  <c r="M16" i="13"/>
  <c r="J2" i="13"/>
  <c r="F2" i="13"/>
  <c r="H22" i="16"/>
  <c r="F17" i="12"/>
  <c r="G17" i="12"/>
  <c r="J17" i="12"/>
  <c r="M8" i="15"/>
  <c r="H2" i="15"/>
  <c r="H13" i="15"/>
  <c r="J15" i="12"/>
  <c r="G15" i="12"/>
  <c r="F15" i="12"/>
  <c r="G6" i="12"/>
  <c r="F6" i="12"/>
  <c r="J6" i="12"/>
  <c r="J5" i="9"/>
  <c r="G5" i="9"/>
  <c r="F5" i="9"/>
  <c r="G10" i="12"/>
  <c r="F10" i="12"/>
  <c r="J10" i="12"/>
  <c r="G8" i="16"/>
  <c r="F8" i="16"/>
  <c r="H8" i="16" s="1"/>
  <c r="J8" i="16"/>
  <c r="G13" i="13"/>
  <c r="F13" i="13"/>
  <c r="J13" i="13"/>
  <c r="G8" i="14"/>
  <c r="F8" i="14"/>
  <c r="H8" i="14" s="1"/>
  <c r="J8" i="14"/>
  <c r="G14" i="12"/>
  <c r="J14" i="12"/>
  <c r="F14" i="12"/>
  <c r="J12" i="14"/>
  <c r="G12" i="14"/>
  <c r="F12" i="14"/>
  <c r="H12" i="14" s="1"/>
  <c r="F19" i="13"/>
  <c r="H19" i="13" s="1"/>
  <c r="J21" i="12"/>
  <c r="F21" i="12"/>
  <c r="G21" i="12"/>
  <c r="F6" i="9"/>
  <c r="J6" i="9"/>
  <c r="G6" i="9"/>
  <c r="F3" i="14"/>
  <c r="H3" i="14" s="1"/>
  <c r="J3" i="14"/>
  <c r="G3" i="14"/>
  <c r="J13" i="16"/>
  <c r="G13" i="16"/>
  <c r="F13" i="16"/>
  <c r="G14" i="13"/>
  <c r="F14" i="13"/>
  <c r="J14" i="13"/>
  <c r="F13" i="9"/>
  <c r="H13" i="9" s="1"/>
  <c r="J6" i="14"/>
  <c r="G6" i="14"/>
  <c r="F6" i="14"/>
  <c r="H6" i="14" s="1"/>
  <c r="J18" i="14"/>
  <c r="G18" i="14"/>
  <c r="F18" i="14"/>
  <c r="H18" i="14" s="1"/>
  <c r="H5" i="15"/>
  <c r="J16" i="9"/>
  <c r="G16" i="9"/>
  <c r="F16" i="9"/>
  <c r="G10" i="9"/>
  <c r="F10" i="9"/>
  <c r="J10" i="9"/>
  <c r="G15" i="9"/>
  <c r="F15" i="9"/>
  <c r="J15" i="9"/>
  <c r="F10" i="14"/>
  <c r="J10" i="14"/>
  <c r="G10" i="14"/>
  <c r="G7" i="13"/>
  <c r="F7" i="13"/>
  <c r="J7" i="13"/>
  <c r="J19" i="16"/>
  <c r="G19" i="16"/>
  <c r="F19" i="16"/>
  <c r="H19" i="16" s="1"/>
  <c r="F16" i="13"/>
  <c r="J16" i="13"/>
  <c r="G16" i="13"/>
  <c r="H4" i="15"/>
  <c r="J22" i="9"/>
  <c r="G22" i="9"/>
  <c r="F22" i="9"/>
  <c r="G11" i="14"/>
  <c r="G3" i="9"/>
  <c r="F3" i="9"/>
  <c r="J3" i="9"/>
  <c r="F3" i="13"/>
  <c r="J3" i="13"/>
  <c r="G3" i="13"/>
  <c r="F14" i="14"/>
  <c r="G14" i="14"/>
  <c r="J14" i="14"/>
  <c r="J11" i="16"/>
  <c r="G11" i="16"/>
  <c r="F11" i="16"/>
  <c r="J5" i="14"/>
  <c r="G5" i="14"/>
  <c r="F5" i="14"/>
  <c r="H5" i="14" s="1"/>
  <c r="G22" i="13"/>
  <c r="J22" i="13"/>
  <c r="F22" i="13"/>
  <c r="H11" i="15"/>
  <c r="G14" i="9"/>
  <c r="J14" i="9"/>
  <c r="F14" i="9"/>
  <c r="F11" i="14"/>
  <c r="H11" i="14" s="1"/>
  <c r="G8" i="12"/>
  <c r="J8" i="12"/>
  <c r="F8" i="12"/>
  <c r="G20" i="14"/>
  <c r="F20" i="14"/>
  <c r="H20" i="14" s="1"/>
  <c r="J20" i="14"/>
  <c r="H15" i="15"/>
  <c r="H21" i="15"/>
  <c r="J17" i="9"/>
  <c r="F17" i="9"/>
  <c r="G17" i="9"/>
  <c r="J13" i="12"/>
  <c r="G13" i="12"/>
  <c r="F13" i="12"/>
  <c r="H23" i="15"/>
  <c r="J19" i="14"/>
  <c r="G19" i="14"/>
  <c r="F19" i="14"/>
  <c r="H19" i="14" s="1"/>
  <c r="J10" i="16"/>
  <c r="G10" i="16"/>
  <c r="F10" i="16"/>
  <c r="G2" i="9"/>
  <c r="M16" i="9"/>
  <c r="J2" i="9"/>
  <c r="F2" i="9"/>
  <c r="J12" i="13"/>
  <c r="G12" i="13"/>
  <c r="F12" i="13"/>
  <c r="H21" i="11"/>
  <c r="F7" i="14"/>
  <c r="J13" i="14"/>
  <c r="G13" i="14"/>
  <c r="F13" i="14"/>
  <c r="H13" i="14" s="1"/>
  <c r="F21" i="13"/>
  <c r="J21" i="13"/>
  <c r="G21" i="13"/>
  <c r="F18" i="9"/>
  <c r="J18" i="9"/>
  <c r="G18" i="9"/>
  <c r="G14" i="16"/>
  <c r="F14" i="16"/>
  <c r="H14" i="16" s="1"/>
  <c r="J14" i="16"/>
  <c r="F4" i="13"/>
  <c r="J4" i="13"/>
  <c r="G4" i="13"/>
  <c r="G16" i="12"/>
  <c r="F16" i="12"/>
  <c r="J16" i="12"/>
  <c r="F21" i="9"/>
  <c r="G21" i="9"/>
  <c r="J21" i="9"/>
  <c r="H17" i="15"/>
  <c r="F16" i="14"/>
  <c r="H16" i="14" s="1"/>
  <c r="J16" i="14"/>
  <c r="G16" i="14"/>
  <c r="J19" i="12"/>
  <c r="G19" i="12"/>
  <c r="F19" i="12"/>
  <c r="J16" i="16"/>
  <c r="G16" i="16"/>
  <c r="F16" i="16"/>
  <c r="H16" i="16" s="1"/>
  <c r="J6" i="13"/>
  <c r="F6" i="13"/>
  <c r="G6" i="13"/>
  <c r="F15" i="13"/>
  <c r="J15" i="13"/>
  <c r="G15" i="13"/>
  <c r="G8" i="9"/>
  <c r="J8" i="9"/>
  <c r="F8" i="9"/>
  <c r="F12" i="16"/>
  <c r="J7" i="12"/>
  <c r="F7" i="12"/>
  <c r="G7" i="12"/>
  <c r="J4" i="12"/>
  <c r="G4" i="12"/>
  <c r="F4" i="12"/>
  <c r="F6" i="16"/>
  <c r="H6" i="16" s="1"/>
  <c r="J12" i="12"/>
  <c r="F12" i="12"/>
  <c r="G12" i="12"/>
  <c r="J4" i="9"/>
  <c r="G4" i="9"/>
  <c r="F4" i="9"/>
  <c r="M9" i="15"/>
  <c r="M11" i="15" s="1"/>
  <c r="F15" i="14"/>
  <c r="J15" i="14"/>
  <c r="G15" i="14"/>
  <c r="J22" i="12"/>
  <c r="G22" i="12"/>
  <c r="F22" i="12"/>
  <c r="F9" i="13"/>
  <c r="J9" i="13"/>
  <c r="G9" i="13"/>
  <c r="F4" i="14"/>
  <c r="J4" i="14"/>
  <c r="G4" i="14"/>
  <c r="G7" i="14"/>
  <c r="M16" i="12"/>
  <c r="G12" i="16"/>
  <c r="J5" i="12"/>
  <c r="G5" i="12"/>
  <c r="F5" i="12"/>
  <c r="G20" i="13"/>
  <c r="F20" i="13"/>
  <c r="J20" i="13"/>
  <c r="G19" i="9"/>
  <c r="H19" i="9" s="1"/>
  <c r="G7" i="16"/>
  <c r="F7" i="16"/>
  <c r="H7" i="16" s="1"/>
  <c r="J7" i="16"/>
  <c r="H17" i="16"/>
  <c r="J18" i="16"/>
  <c r="G18" i="16"/>
  <c r="F18" i="16"/>
  <c r="J11" i="9"/>
  <c r="G11" i="9"/>
  <c r="F11" i="9"/>
  <c r="M16" i="14"/>
  <c r="G2" i="14"/>
  <c r="F2" i="14"/>
  <c r="J2" i="14"/>
  <c r="G3" i="16"/>
  <c r="F3" i="16"/>
  <c r="J3" i="16"/>
  <c r="J17" i="14"/>
  <c r="F17" i="14"/>
  <c r="G17" i="14"/>
  <c r="F12" i="9"/>
  <c r="J12" i="9"/>
  <c r="G12" i="9"/>
  <c r="F9" i="14"/>
  <c r="J9" i="14"/>
  <c r="G9" i="14"/>
  <c r="G9" i="16"/>
  <c r="F9" i="16"/>
  <c r="H9" i="16" s="1"/>
  <c r="J9" i="16"/>
  <c r="G8" i="13"/>
  <c r="J8" i="13"/>
  <c r="F8" i="13"/>
  <c r="H2" i="12"/>
  <c r="J3" i="12"/>
  <c r="F3" i="12"/>
  <c r="G3" i="12"/>
  <c r="F10" i="13"/>
  <c r="G10" i="13"/>
  <c r="J10" i="13"/>
  <c r="H8" i="15"/>
  <c r="F11" i="12"/>
  <c r="J11" i="12"/>
  <c r="G11" i="12"/>
  <c r="J9" i="12"/>
  <c r="G9" i="12"/>
  <c r="F9" i="12"/>
  <c r="H10" i="13" l="1"/>
  <c r="H22" i="13"/>
  <c r="H12" i="13"/>
  <c r="H9" i="13"/>
  <c r="H15" i="13"/>
  <c r="H17" i="13"/>
  <c r="H6" i="13"/>
  <c r="H7" i="13"/>
  <c r="H13" i="13"/>
  <c r="H4" i="13"/>
  <c r="H8" i="12"/>
  <c r="H13" i="12"/>
  <c r="H5" i="12"/>
  <c r="H22" i="12"/>
  <c r="H9" i="12"/>
  <c r="H4" i="12"/>
  <c r="H6" i="12"/>
  <c r="M9" i="12"/>
  <c r="M11" i="12" s="1"/>
  <c r="H15" i="12"/>
  <c r="M8" i="12"/>
  <c r="H12" i="12"/>
  <c r="H14" i="12"/>
  <c r="H23" i="11"/>
  <c r="H8" i="11"/>
  <c r="H19" i="11"/>
  <c r="H3" i="11"/>
  <c r="H13" i="11"/>
  <c r="H5" i="11"/>
  <c r="H17" i="11"/>
  <c r="H6" i="11"/>
  <c r="H22" i="11"/>
  <c r="H2" i="11"/>
  <c r="H18" i="11"/>
  <c r="M8" i="11"/>
  <c r="M9" i="11"/>
  <c r="M11" i="11" s="1"/>
  <c r="H12" i="11"/>
  <c r="H4" i="11"/>
  <c r="H14" i="11"/>
  <c r="H11" i="10"/>
  <c r="H21" i="10"/>
  <c r="H8" i="10"/>
  <c r="H17" i="10"/>
  <c r="H19" i="10"/>
  <c r="H16" i="10"/>
  <c r="H2" i="10"/>
  <c r="H9" i="10"/>
  <c r="H22" i="10"/>
  <c r="H15" i="10"/>
  <c r="M9" i="10"/>
  <c r="M11" i="10" s="1"/>
  <c r="H13" i="10"/>
  <c r="H20" i="10"/>
  <c r="H14" i="10"/>
  <c r="H7" i="10"/>
  <c r="M8" i="10"/>
  <c r="H23" i="10"/>
  <c r="H6" i="10"/>
  <c r="H7" i="9"/>
  <c r="H16" i="9"/>
  <c r="H22" i="9"/>
  <c r="H9" i="9"/>
  <c r="H8" i="9"/>
  <c r="H3" i="9"/>
  <c r="H6" i="9"/>
  <c r="H5" i="9"/>
  <c r="H11" i="9"/>
  <c r="H12" i="8"/>
  <c r="H17" i="8"/>
  <c r="H4" i="8"/>
  <c r="H14" i="8"/>
  <c r="H6" i="8"/>
  <c r="H2" i="8"/>
  <c r="H18" i="8"/>
  <c r="H22" i="8"/>
  <c r="H20" i="8"/>
  <c r="H21" i="8"/>
  <c r="H8" i="8"/>
  <c r="M9" i="8"/>
  <c r="M11" i="8" s="1"/>
  <c r="H5" i="8"/>
  <c r="H19" i="8"/>
  <c r="H7" i="8"/>
  <c r="M8" i="8"/>
  <c r="H9" i="8"/>
  <c r="G16" i="7"/>
  <c r="F23" i="7"/>
  <c r="J23" i="7"/>
  <c r="G23" i="7"/>
  <c r="F17" i="7"/>
  <c r="J17" i="7"/>
  <c r="G17" i="7"/>
  <c r="J19" i="7"/>
  <c r="G19" i="7"/>
  <c r="J2" i="7"/>
  <c r="M16" i="7"/>
  <c r="F15" i="7"/>
  <c r="H15" i="7" s="1"/>
  <c r="J15" i="7"/>
  <c r="G15" i="7"/>
  <c r="M7" i="7"/>
  <c r="M19" i="7"/>
  <c r="H9" i="3" s="1"/>
  <c r="G8" i="7"/>
  <c r="F8" i="7"/>
  <c r="H8" i="7" s="1"/>
  <c r="G12" i="7"/>
  <c r="F9" i="7"/>
  <c r="F14" i="7"/>
  <c r="H14" i="7" s="1"/>
  <c r="F16" i="7"/>
  <c r="H16" i="7" s="1"/>
  <c r="J7" i="7"/>
  <c r="F7" i="7"/>
  <c r="H7" i="7" s="1"/>
  <c r="G7" i="7"/>
  <c r="H3" i="7"/>
  <c r="J5" i="7"/>
  <c r="G5" i="7"/>
  <c r="H5" i="7" s="1"/>
  <c r="F2" i="7"/>
  <c r="H2" i="7" s="1"/>
  <c r="G6" i="7"/>
  <c r="H6" i="7" s="1"/>
  <c r="F12" i="7"/>
  <c r="H12" i="7" s="1"/>
  <c r="G9" i="7"/>
  <c r="F19" i="7"/>
  <c r="H19" i="7" s="1"/>
  <c r="G13" i="7"/>
  <c r="H13" i="7" s="1"/>
  <c r="F20" i="7"/>
  <c r="H20" i="7" s="1"/>
  <c r="G18" i="7"/>
  <c r="J18" i="7"/>
  <c r="F18" i="7"/>
  <c r="J22" i="7"/>
  <c r="G22" i="7"/>
  <c r="F22" i="7"/>
  <c r="H22" i="7" s="1"/>
  <c r="J11" i="7"/>
  <c r="F11" i="7"/>
  <c r="G11" i="7"/>
  <c r="F4" i="7"/>
  <c r="H4" i="7" s="1"/>
  <c r="F10" i="7"/>
  <c r="H10" i="7" s="1"/>
  <c r="G21" i="7"/>
  <c r="F21" i="7"/>
  <c r="J21" i="7"/>
  <c r="H9" i="6"/>
  <c r="H6" i="6"/>
  <c r="H10" i="6"/>
  <c r="H18" i="6"/>
  <c r="H5" i="6"/>
  <c r="H11" i="6"/>
  <c r="H4" i="6"/>
  <c r="H17" i="6"/>
  <c r="H15" i="6"/>
  <c r="H14" i="6"/>
  <c r="H3" i="6"/>
  <c r="H20" i="6"/>
  <c r="H19" i="6"/>
  <c r="H12" i="6"/>
  <c r="H13" i="6"/>
  <c r="H7" i="6"/>
  <c r="H8" i="6"/>
  <c r="H16" i="6"/>
  <c r="M9" i="6"/>
  <c r="M11" i="6" s="1"/>
  <c r="M8" i="6"/>
  <c r="F21" i="5"/>
  <c r="G21" i="5"/>
  <c r="J21" i="5"/>
  <c r="J15" i="5"/>
  <c r="G14" i="5"/>
  <c r="G15" i="5"/>
  <c r="F15" i="5"/>
  <c r="H15" i="5" s="1"/>
  <c r="F14" i="5"/>
  <c r="H14" i="5" s="1"/>
  <c r="G13" i="5"/>
  <c r="J13" i="5"/>
  <c r="F13" i="5"/>
  <c r="H13" i="5" s="1"/>
  <c r="G23" i="5"/>
  <c r="F23" i="5"/>
  <c r="J23" i="5"/>
  <c r="J18" i="5"/>
  <c r="G17" i="5"/>
  <c r="F18" i="5"/>
  <c r="F17" i="5"/>
  <c r="H17" i="5" s="1"/>
  <c r="J19" i="5"/>
  <c r="F19" i="5"/>
  <c r="H19" i="5" s="1"/>
  <c r="G19" i="5"/>
  <c r="F4" i="5"/>
  <c r="J5" i="5"/>
  <c r="G4" i="5"/>
  <c r="J20" i="5"/>
  <c r="G20" i="5"/>
  <c r="F20" i="5"/>
  <c r="H20" i="5" s="1"/>
  <c r="J3" i="5"/>
  <c r="F2" i="5"/>
  <c r="M8" i="5" s="1"/>
  <c r="G2" i="5"/>
  <c r="M9" i="5" s="1"/>
  <c r="M11" i="5" s="1"/>
  <c r="M16" i="5"/>
  <c r="H11" i="5"/>
  <c r="G18" i="5"/>
  <c r="H18" i="5" s="1"/>
  <c r="G12" i="5"/>
  <c r="F12" i="5"/>
  <c r="H12" i="5" s="1"/>
  <c r="H6" i="5"/>
  <c r="H3" i="5"/>
  <c r="H5" i="5"/>
  <c r="H18" i="13"/>
  <c r="H19" i="12"/>
  <c r="M8" i="9"/>
  <c r="H2" i="9"/>
  <c r="H17" i="9"/>
  <c r="H14" i="14"/>
  <c r="H10" i="14"/>
  <c r="M8" i="13"/>
  <c r="H2" i="13"/>
  <c r="H11" i="12"/>
  <c r="H21" i="9"/>
  <c r="H17" i="14"/>
  <c r="H4" i="9"/>
  <c r="H10" i="12"/>
  <c r="H21" i="14"/>
  <c r="M8" i="14"/>
  <c r="H2" i="14"/>
  <c r="H21" i="13"/>
  <c r="H12" i="9"/>
  <c r="H11" i="13"/>
  <c r="H16" i="12"/>
  <c r="H15" i="9"/>
  <c r="H14" i="13"/>
  <c r="H17" i="12"/>
  <c r="H15" i="14"/>
  <c r="H3" i="12"/>
  <c r="H4" i="14"/>
  <c r="H7" i="12"/>
  <c r="H3" i="16"/>
  <c r="H18" i="16"/>
  <c r="H7" i="14"/>
  <c r="H14" i="9"/>
  <c r="M9" i="13"/>
  <c r="H18" i="9"/>
  <c r="H16" i="13"/>
  <c r="M8" i="16"/>
  <c r="H2" i="16"/>
  <c r="M9" i="14"/>
  <c r="M11" i="14" s="1"/>
  <c r="H21" i="12"/>
  <c r="M9" i="9"/>
  <c r="M11" i="9" s="1"/>
  <c r="H8" i="13"/>
  <c r="H9" i="14"/>
  <c r="H20" i="13"/>
  <c r="H12" i="16"/>
  <c r="H10" i="16"/>
  <c r="H11" i="16"/>
  <c r="H3" i="13"/>
  <c r="H10" i="9"/>
  <c r="H13" i="16"/>
  <c r="M12" i="15"/>
  <c r="M10" i="15"/>
  <c r="H20" i="9"/>
  <c r="M9" i="16"/>
  <c r="M11" i="16" s="1"/>
  <c r="M11" i="13" l="1"/>
  <c r="M10" i="12"/>
  <c r="M12" i="12" s="1"/>
  <c r="M10" i="11"/>
  <c r="M12" i="11"/>
  <c r="M14" i="11" s="1"/>
  <c r="M10" i="10"/>
  <c r="M12" i="10"/>
  <c r="M10" i="8"/>
  <c r="M12" i="8" s="1"/>
  <c r="M8" i="7"/>
  <c r="H9" i="7"/>
  <c r="H17" i="7"/>
  <c r="M9" i="7"/>
  <c r="M11" i="7" s="1"/>
  <c r="H11" i="7"/>
  <c r="H18" i="7"/>
  <c r="H23" i="7"/>
  <c r="H21" i="7"/>
  <c r="M10" i="6"/>
  <c r="M12" i="6"/>
  <c r="M23" i="6" s="1"/>
  <c r="M10" i="5"/>
  <c r="H4" i="5"/>
  <c r="H2" i="5"/>
  <c r="H23" i="5"/>
  <c r="H21" i="5"/>
  <c r="M12" i="5"/>
  <c r="K7" i="3" s="1"/>
  <c r="M15" i="11"/>
  <c r="L23" i="11" s="1"/>
  <c r="M24" i="11"/>
  <c r="M13" i="11"/>
  <c r="L13" i="3" s="1"/>
  <c r="N13" i="3" s="1"/>
  <c r="M23" i="11"/>
  <c r="K13" i="3"/>
  <c r="M12" i="9"/>
  <c r="M10" i="9"/>
  <c r="M12" i="14"/>
  <c r="M10" i="14"/>
  <c r="M14" i="15"/>
  <c r="M15" i="15"/>
  <c r="M24" i="15"/>
  <c r="L24" i="15"/>
  <c r="L23" i="15"/>
  <c r="M13" i="15"/>
  <c r="L17" i="3" s="1"/>
  <c r="N17" i="3" s="1"/>
  <c r="M23" i="15"/>
  <c r="K17" i="3"/>
  <c r="M10" i="13"/>
  <c r="M12" i="13" s="1"/>
  <c r="M12" i="16"/>
  <c r="M10" i="16"/>
  <c r="M15" i="12" l="1"/>
  <c r="L24" i="12"/>
  <c r="L23" i="12"/>
  <c r="K14" i="3"/>
  <c r="M13" i="12"/>
  <c r="L14" i="3" s="1"/>
  <c r="N14" i="3" s="1"/>
  <c r="M24" i="12"/>
  <c r="M23" i="12"/>
  <c r="M14" i="12"/>
  <c r="L24" i="11"/>
  <c r="M24" i="10"/>
  <c r="K12" i="3"/>
  <c r="M13" i="10"/>
  <c r="L12" i="3" s="1"/>
  <c r="N12" i="3" s="1"/>
  <c r="M15" i="10"/>
  <c r="I8" i="10" s="1"/>
  <c r="M14" i="10"/>
  <c r="L23" i="10"/>
  <c r="M23" i="10"/>
  <c r="M24" i="8"/>
  <c r="M15" i="8"/>
  <c r="I20" i="8" s="1"/>
  <c r="M14" i="8"/>
  <c r="K10" i="3"/>
  <c r="M23" i="8"/>
  <c r="M13" i="8"/>
  <c r="L10" i="3" s="1"/>
  <c r="N10" i="3" s="1"/>
  <c r="M10" i="7"/>
  <c r="M12" i="7" s="1"/>
  <c r="M15" i="7" s="1"/>
  <c r="M14" i="7"/>
  <c r="M24" i="7"/>
  <c r="M23" i="7"/>
  <c r="L23" i="7"/>
  <c r="L24" i="7"/>
  <c r="M13" i="7"/>
  <c r="L9" i="3" s="1"/>
  <c r="N9" i="3" s="1"/>
  <c r="K9" i="3"/>
  <c r="K8" i="3"/>
  <c r="M15" i="6"/>
  <c r="I7" i="6" s="1"/>
  <c r="M14" i="6"/>
  <c r="L24" i="6"/>
  <c r="M13" i="6"/>
  <c r="L8" i="3" s="1"/>
  <c r="N8" i="3" s="1"/>
  <c r="M24" i="6"/>
  <c r="M13" i="5"/>
  <c r="L7" i="3" s="1"/>
  <c r="N7" i="3" s="1"/>
  <c r="M24" i="5"/>
  <c r="M23" i="5"/>
  <c r="M14" i="5"/>
  <c r="M15" i="5"/>
  <c r="I18" i="5" s="1"/>
  <c r="M17" i="15"/>
  <c r="M18" i="15"/>
  <c r="I7" i="15"/>
  <c r="I18" i="15"/>
  <c r="I9" i="15"/>
  <c r="I4" i="15"/>
  <c r="I12" i="15"/>
  <c r="I3" i="15"/>
  <c r="I10" i="15"/>
  <c r="I20" i="15"/>
  <c r="I2" i="15"/>
  <c r="I14" i="15"/>
  <c r="I6" i="15"/>
  <c r="I13" i="15"/>
  <c r="I17" i="15"/>
  <c r="I8" i="15"/>
  <c r="I5" i="15"/>
  <c r="I16" i="15"/>
  <c r="I23" i="15"/>
  <c r="I19" i="15"/>
  <c r="I11" i="15"/>
  <c r="I21" i="15"/>
  <c r="I15" i="15"/>
  <c r="I22" i="15"/>
  <c r="M18" i="5"/>
  <c r="M17" i="5"/>
  <c r="M20" i="5" s="1"/>
  <c r="M7" i="3" s="1"/>
  <c r="I15" i="5"/>
  <c r="I22" i="5"/>
  <c r="I5" i="5"/>
  <c r="I19" i="5"/>
  <c r="I7" i="5"/>
  <c r="I23" i="5"/>
  <c r="I12" i="5"/>
  <c r="I21" i="5"/>
  <c r="I2" i="5"/>
  <c r="I4" i="5"/>
  <c r="M17" i="7"/>
  <c r="M20" i="7" s="1"/>
  <c r="M9" i="3" s="1"/>
  <c r="M18" i="7"/>
  <c r="I12" i="7"/>
  <c r="I3" i="7"/>
  <c r="I16" i="7"/>
  <c r="I4" i="7"/>
  <c r="I14" i="7"/>
  <c r="I5" i="7"/>
  <c r="I2" i="7"/>
  <c r="I11" i="7"/>
  <c r="I10" i="7"/>
  <c r="I20" i="7"/>
  <c r="I19" i="7"/>
  <c r="I21" i="7"/>
  <c r="I13" i="7"/>
  <c r="I22" i="7"/>
  <c r="I17" i="7"/>
  <c r="I8" i="7"/>
  <c r="I15" i="7"/>
  <c r="I23" i="7"/>
  <c r="I18" i="7"/>
  <c r="I6" i="7"/>
  <c r="I9" i="7"/>
  <c r="I7" i="7"/>
  <c r="M24" i="16"/>
  <c r="L24" i="16"/>
  <c r="M23" i="16"/>
  <c r="L23" i="16"/>
  <c r="M13" i="16"/>
  <c r="L18" i="3" s="1"/>
  <c r="N18" i="3" s="1"/>
  <c r="M14" i="16"/>
  <c r="M15" i="16"/>
  <c r="K18" i="3"/>
  <c r="M17" i="6"/>
  <c r="M20" i="6" s="1"/>
  <c r="M8" i="3" s="1"/>
  <c r="M18" i="6"/>
  <c r="I8" i="6"/>
  <c r="I11" i="6"/>
  <c r="I19" i="6"/>
  <c r="I10" i="6"/>
  <c r="I20" i="6"/>
  <c r="I12" i="6"/>
  <c r="I3" i="6"/>
  <c r="I5" i="6"/>
  <c r="I23" i="6"/>
  <c r="I6" i="6"/>
  <c r="I2" i="6"/>
  <c r="I16" i="6"/>
  <c r="M24" i="13"/>
  <c r="M13" i="13"/>
  <c r="L15" i="3" s="1"/>
  <c r="N15" i="3" s="1"/>
  <c r="M23" i="13"/>
  <c r="M14" i="13"/>
  <c r="M15" i="13"/>
  <c r="L23" i="13" s="1"/>
  <c r="K15" i="3"/>
  <c r="M17" i="11"/>
  <c r="M18" i="11"/>
  <c r="I14" i="11"/>
  <c r="I16" i="11"/>
  <c r="I7" i="11"/>
  <c r="I20" i="11"/>
  <c r="I15" i="11"/>
  <c r="I12" i="11"/>
  <c r="I9" i="11"/>
  <c r="I5" i="11"/>
  <c r="I3" i="11"/>
  <c r="I8" i="11"/>
  <c r="I18" i="11"/>
  <c r="I22" i="11"/>
  <c r="I10" i="11"/>
  <c r="I4" i="11"/>
  <c r="I2" i="11"/>
  <c r="I21" i="11"/>
  <c r="I6" i="11"/>
  <c r="I17" i="11"/>
  <c r="I19" i="11"/>
  <c r="I11" i="11"/>
  <c r="I13" i="11"/>
  <c r="I23" i="11"/>
  <c r="M17" i="8"/>
  <c r="M20" i="8" s="1"/>
  <c r="M10" i="3" s="1"/>
  <c r="M18" i="8"/>
  <c r="I10" i="8"/>
  <c r="I19" i="8"/>
  <c r="I9" i="8"/>
  <c r="I3" i="8"/>
  <c r="I23" i="8"/>
  <c r="I18" i="8"/>
  <c r="I16" i="8"/>
  <c r="I7" i="8"/>
  <c r="I14" i="8"/>
  <c r="I21" i="8"/>
  <c r="I17" i="8"/>
  <c r="I12" i="8"/>
  <c r="I4" i="8"/>
  <c r="I22" i="8"/>
  <c r="M18" i="10"/>
  <c r="M17" i="10"/>
  <c r="M20" i="10" s="1"/>
  <c r="M12" i="3" s="1"/>
  <c r="I23" i="10"/>
  <c r="I14" i="10"/>
  <c r="I6" i="10"/>
  <c r="I7" i="10"/>
  <c r="I12" i="10"/>
  <c r="I16" i="10"/>
  <c r="I21" i="10"/>
  <c r="I19" i="10"/>
  <c r="I9" i="10"/>
  <c r="I10" i="10"/>
  <c r="I18" i="10"/>
  <c r="M18" i="12"/>
  <c r="M17" i="12"/>
  <c r="M20" i="12" s="1"/>
  <c r="M14" i="3" s="1"/>
  <c r="I20" i="12"/>
  <c r="I2" i="12"/>
  <c r="I18" i="12"/>
  <c r="I23" i="12"/>
  <c r="I13" i="12"/>
  <c r="I12" i="12"/>
  <c r="I9" i="12"/>
  <c r="I22" i="12"/>
  <c r="I10" i="12"/>
  <c r="I21" i="12"/>
  <c r="I3" i="12"/>
  <c r="I16" i="12"/>
  <c r="I7" i="12"/>
  <c r="I14" i="12"/>
  <c r="I15" i="12"/>
  <c r="I5" i="12"/>
  <c r="I19" i="12"/>
  <c r="I4" i="12"/>
  <c r="I17" i="12"/>
  <c r="I8" i="12"/>
  <c r="I11" i="12"/>
  <c r="I6" i="12"/>
  <c r="L23" i="14"/>
  <c r="M13" i="14"/>
  <c r="L16" i="3" s="1"/>
  <c r="N16" i="3" s="1"/>
  <c r="M14" i="14"/>
  <c r="M24" i="14"/>
  <c r="M15" i="14"/>
  <c r="M23" i="14"/>
  <c r="L24" i="14"/>
  <c r="K16" i="3"/>
  <c r="M24" i="9"/>
  <c r="M15" i="9"/>
  <c r="L23" i="9" s="1"/>
  <c r="M14" i="9"/>
  <c r="K11" i="3"/>
  <c r="M23" i="9"/>
  <c r="M13" i="9"/>
  <c r="L11" i="3" s="1"/>
  <c r="N11" i="3" s="1"/>
  <c r="L24" i="13" l="1"/>
  <c r="M20" i="11"/>
  <c r="M13" i="3" s="1"/>
  <c r="I5" i="10"/>
  <c r="I3" i="10"/>
  <c r="I15" i="10"/>
  <c r="I4" i="10"/>
  <c r="I22" i="10"/>
  <c r="I2" i="10"/>
  <c r="I11" i="10"/>
  <c r="I20" i="10"/>
  <c r="L24" i="10"/>
  <c r="I17" i="10"/>
  <c r="I13" i="10"/>
  <c r="L24" i="9"/>
  <c r="I13" i="8"/>
  <c r="I5" i="8"/>
  <c r="L24" i="8"/>
  <c r="I2" i="8"/>
  <c r="I6" i="8"/>
  <c r="I15" i="8"/>
  <c r="I8" i="8"/>
  <c r="L23" i="8"/>
  <c r="I11" i="8"/>
  <c r="L23" i="6"/>
  <c r="I14" i="6"/>
  <c r="I18" i="6"/>
  <c r="I9" i="6"/>
  <c r="I4" i="6"/>
  <c r="I22" i="6"/>
  <c r="I13" i="6"/>
  <c r="I17" i="6"/>
  <c r="I21" i="6"/>
  <c r="I15" i="6"/>
  <c r="B5" i="4"/>
  <c r="B7" i="4" s="1"/>
  <c r="I6" i="5"/>
  <c r="L24" i="5"/>
  <c r="I20" i="5"/>
  <c r="I9" i="5"/>
  <c r="I3" i="5"/>
  <c r="I16" i="5"/>
  <c r="I17" i="5"/>
  <c r="I13" i="5"/>
  <c r="I11" i="5"/>
  <c r="I8" i="5"/>
  <c r="I14" i="5"/>
  <c r="L23" i="5"/>
  <c r="I10" i="5"/>
  <c r="M17" i="16"/>
  <c r="M18" i="16"/>
  <c r="I6" i="16"/>
  <c r="I12" i="16"/>
  <c r="I23" i="16"/>
  <c r="I20" i="16"/>
  <c r="I4" i="16"/>
  <c r="I17" i="16"/>
  <c r="I21" i="16"/>
  <c r="I22" i="16"/>
  <c r="I5" i="16"/>
  <c r="I18" i="16"/>
  <c r="I3" i="16"/>
  <c r="I10" i="16"/>
  <c r="I2" i="16"/>
  <c r="I7" i="16"/>
  <c r="I15" i="16"/>
  <c r="I8" i="16"/>
  <c r="I19" i="16"/>
  <c r="I13" i="16"/>
  <c r="I9" i="16"/>
  <c r="I16" i="16"/>
  <c r="I14" i="16"/>
  <c r="I11" i="16"/>
  <c r="M18" i="14"/>
  <c r="M17" i="14"/>
  <c r="I7" i="14"/>
  <c r="I23" i="14"/>
  <c r="I11" i="14"/>
  <c r="I22" i="14"/>
  <c r="I5" i="14"/>
  <c r="I9" i="14"/>
  <c r="I12" i="14"/>
  <c r="I18" i="14"/>
  <c r="I16" i="14"/>
  <c r="I4" i="14"/>
  <c r="I20" i="14"/>
  <c r="I8" i="14"/>
  <c r="I3" i="14"/>
  <c r="I14" i="14"/>
  <c r="I19" i="14"/>
  <c r="I13" i="14"/>
  <c r="I2" i="14"/>
  <c r="I10" i="14"/>
  <c r="I21" i="14"/>
  <c r="I17" i="14"/>
  <c r="I15" i="14"/>
  <c r="I6" i="14"/>
  <c r="M18" i="9"/>
  <c r="M17" i="9"/>
  <c r="M20" i="9" s="1"/>
  <c r="M11" i="3" s="1"/>
  <c r="I7" i="9"/>
  <c r="I23" i="9"/>
  <c r="I13" i="9"/>
  <c r="I19" i="9"/>
  <c r="I6" i="9"/>
  <c r="I22" i="9"/>
  <c r="I8" i="9"/>
  <c r="I20" i="9"/>
  <c r="I9" i="9"/>
  <c r="I5" i="9"/>
  <c r="I14" i="9"/>
  <c r="I18" i="9"/>
  <c r="I2" i="9"/>
  <c r="I12" i="9"/>
  <c r="I15" i="9"/>
  <c r="I4" i="9"/>
  <c r="I11" i="9"/>
  <c r="I16" i="9"/>
  <c r="I17" i="9"/>
  <c r="I10" i="9"/>
  <c r="I21" i="9"/>
  <c r="I3" i="9"/>
  <c r="M18" i="13"/>
  <c r="M17" i="13"/>
  <c r="M20" i="13" s="1"/>
  <c r="M15" i="3" s="1"/>
  <c r="I5" i="13"/>
  <c r="I19" i="13"/>
  <c r="I23" i="13"/>
  <c r="I13" i="13"/>
  <c r="I4" i="13"/>
  <c r="I6" i="13"/>
  <c r="I9" i="13"/>
  <c r="I18" i="13"/>
  <c r="I10" i="13"/>
  <c r="I11" i="13"/>
  <c r="I20" i="13"/>
  <c r="I14" i="13"/>
  <c r="I8" i="13"/>
  <c r="I15" i="13"/>
  <c r="I16" i="13"/>
  <c r="I21" i="13"/>
  <c r="I3" i="13"/>
  <c r="I17" i="13"/>
  <c r="I2" i="13"/>
  <c r="I7" i="13"/>
  <c r="I22" i="13"/>
  <c r="I12" i="13"/>
  <c r="B12" i="4" l="1"/>
  <c r="B13" i="4" s="1"/>
  <c r="B6" i="4"/>
  <c r="B10" i="4" s="1"/>
  <c r="B11" i="4" s="1"/>
  <c r="B14" i="4" l="1"/>
  <c r="B17" i="4" s="1"/>
  <c r="B15" i="4"/>
  <c r="B16" i="4"/>
  <c r="B8" i="4"/>
</calcChain>
</file>

<file path=xl/sharedStrings.xml><?xml version="1.0" encoding="utf-8"?>
<sst xmlns="http://schemas.openxmlformats.org/spreadsheetml/2006/main" count="524" uniqueCount="147">
  <si>
    <t>Medición definitiva del autocorrelador · corriente 5 A (I1)</t>
  </si>
  <si>
    <t>Fecha prevista: martes 27 oct 2026. Nueve réplicas de la misma corriente, una tras otra.</t>
  </si>
  <si>
    <t>1. Encender el láser y dejarlo calentar como en el piloto. Fijar la corriente de bombeo en 5 A y anotar en Registro la fecha, la hora de encendido y la potencia media del láser.</t>
  </si>
  <si>
    <t>2. Las posiciones del micrómetro están fijas en todas las hojas R01–R09 (columna A, gris): 22 lecturas, de 0 a 210 µm cada 10 µm, contadas desde el punto de partida del barrido. Escoger el punto de partida de modo que el pico caiga en la mitad del recorrido (≈ 100–110 µm). A 5 A la traza es ancha: si el pico queda en 120 µm o más, el barrido no alcanza el ala derecha (el Estado lo avisa).</t>
  </si>
  <si>
    <t>3. Girar el micrómetro siempre en el mismo sentido. En cada posición escribir la potencia óptica en W (columna B, amarilla), tal como la da el medidor: por ejemplo 2.35E-05.</t>
  </si>
  <si>
    <t>4. En Registro, escribir la hora de inicio y la hora de fin de cada corrida (hh:mm). La duración y el tiempo entre inicios se calculan solos.</t>
  </si>
  <si>
    <t>5. Revisar el «Estado de la traza» (columna L del Registro, o la celda M20 de la hoja). Si dice OK o Aviso, seguir. Si dice Revisar, comprobar los datos escritos antes de seguir.</t>
  </si>
  <si>
    <t>6. Una traza solo se marca «No» en ¿Válida? por una causa anotada en el momento (el láser perdió los pulsos, la potencia salió de rango, el barrido se interrumpió). Nunca por dar un valor inesperado. Toda traza descartada se repone en la siguiente hoja de reposición (R10, R11, R12).</t>
  </si>
  <si>
    <t>7. La hoja Resumen da n, la media, S, el intervalo de confianza del 95 % y la prueba t de una muestra contra τ0 del fabricante. El análisis definitivo (ajuste sech² de toda la traza) se hace después con scripts/trabajo-practico/analiza_piloto.py; aquí se usa el ancho a media altura × 0,65.</t>
  </si>
  <si>
    <t>Colores: amarillo con letra azul = se llena; gris = fijo; lo demás son fórmulas. Las hojas de traza están protegidas (sin contraseña) para no borrar las posiciones ni las fórmulas.</t>
  </si>
  <si>
    <t>Configuración</t>
  </si>
  <si>
    <t>Valores fijos del protocolo. No cambiarlos durante la medición.</t>
  </si>
  <si>
    <t>Parámetro</t>
  </si>
  <si>
    <t>Valor</t>
  </si>
  <si>
    <t>Nota</t>
  </si>
  <si>
    <t>Corriente de bombeo (A)</t>
  </si>
  <si>
    <t>I1 del protocolo; hoja de pruebas de fábrica, tabla 5.</t>
  </si>
  <si>
    <t>τ0: ancho de pulso del fabricante (fs)</t>
  </si>
  <si>
    <t>Tabla 5 de la hoja de pruebas de fábrica.</t>
  </si>
  <si>
    <t>Potencia media de fábrica (mW)</t>
  </si>
  <si>
    <t>Referencia para comparar con la potencia medida.</t>
  </si>
  <si>
    <t>Paso del micrómetro (µm)</t>
  </si>
  <si>
    <t>Fijo, como en el piloto.</t>
  </si>
  <si>
    <t>Veces que el haz recorre el desplazamiento</t>
  </si>
  <si>
    <t>Retrorreflector: τ = 2Δx/c.</t>
  </si>
  <si>
    <t>Velocidad de la luz c (m/s)</t>
  </si>
  <si>
    <t>Valor exacto (SI).</t>
  </si>
  <si>
    <t>Retardo por µm del micrómetro (fs)</t>
  </si>
  <si>
    <t>6,6713 fs por µm.</t>
  </si>
  <si>
    <t>Factor de forma sech²: τp = factor × Δτ_AC</t>
  </si>
  <si>
    <t>El que usa Calmar (teórico 0,648).</t>
  </si>
  <si>
    <t>Lecturas por ala para el fondo</t>
  </si>
  <si>
    <t>Promedio de las 2 primeras y las 2 últimas lecturas.</t>
  </si>
  <si>
    <t>Semiventana de suavizado</t>
  </si>
  <si>
    <t>0 = sin suavizar (programa de análisis fijo).</t>
  </si>
  <si>
    <t>Lecturas mínimas dentro del ancho a media altura</t>
  </si>
  <si>
    <t>Con paso de 10 µm el piloto tuvo 4–5 lecturas dentro del FWHM.</t>
  </si>
  <si>
    <t>Recorrido mínimo a cada lado del centro (múltiplos de Δτ_AC)</t>
  </si>
  <si>
    <t>Si no se alcanza, el fondo sale alto y el ancho corto.</t>
  </si>
  <si>
    <t>α de la prueba t (dos colas)</t>
  </si>
  <si>
    <t>Protocolo.</t>
  </si>
  <si>
    <t>Posición del micrómetro (µm) · fija</t>
  </si>
  <si>
    <t>Potencia óptica (W)</t>
  </si>
  <si>
    <t>Retardo τ (fs)</t>
  </si>
  <si>
    <t>Señal suavizada</t>
  </si>
  <si>
    <t>Señal normalizada</t>
  </si>
  <si>
    <t>Cruce izq. (fila)</t>
  </si>
  <si>
    <t>Cruce der. (fila)</t>
  </si>
  <si>
    <t>τ de cruce (fs)</t>
  </si>
  <si>
    <t>Retardo centrado (fs) · gráfica</t>
  </si>
  <si>
    <t>Normalizada · gráfica</t>
  </si>
  <si>
    <t>Sentido</t>
  </si>
  <si>
    <t>Posiciones de la traza</t>
  </si>
  <si>
    <t>Lecturas de potencia escritas</t>
  </si>
  <si>
    <t>Fondo (promedio de las alas, W)</t>
  </si>
  <si>
    <t>Máximo de la señal (W)</t>
  </si>
  <si>
    <t>Fila del máximo</t>
  </si>
  <si>
    <t>Retardo del máximo (fs)</t>
  </si>
  <si>
    <t>Fila del cruce izquierdo a media altura</t>
  </si>
  <si>
    <t>Fila del cruce derecho a media altura</t>
  </si>
  <si>
    <t>τ del cruce izquierdo (fs)</t>
  </si>
  <si>
    <t>τ del cruce derecho (fs)</t>
  </si>
  <si>
    <t>Ancho de la traza a media altura Δτ_AC (fs)</t>
  </si>
  <si>
    <t>Ancho de pulso τp = factor × Δτ_AC (fs)</t>
  </si>
  <si>
    <t>Referencia: τp si fuera gaussiano (fs)</t>
  </si>
  <si>
    <t>Centro de la traza (fs)</t>
  </si>
  <si>
    <t>Lecturas dentro del ancho a media altura</t>
  </si>
  <si>
    <t>Recorrido a la izquierda del centro (fs)</t>
  </si>
  <si>
    <t>Recorrido a la derecha del centro (fs)</t>
  </si>
  <si>
    <t>Posición del pico (µm)</t>
  </si>
  <si>
    <t>Estado de la traza</t>
  </si>
  <si>
    <t>Traza R01</t>
  </si>
  <si>
    <t>5 A</t>
  </si>
  <si>
    <t>Línea de media altura (gráfica)</t>
  </si>
  <si>
    <t>Solo se llena la columna B (potencia en W), en el orden de las posiciones.</t>
  </si>
  <si>
    <t>Traza R02</t>
  </si>
  <si>
    <t>Traza R03</t>
  </si>
  <si>
    <t>Traza R04</t>
  </si>
  <si>
    <t>Traza R05</t>
  </si>
  <si>
    <t>Traza R06</t>
  </si>
  <si>
    <t>Traza R07</t>
  </si>
  <si>
    <t>Traza R08</t>
  </si>
  <si>
    <t>Traza R09</t>
  </si>
  <si>
    <t>Traza R10 · reposición</t>
  </si>
  <si>
    <t>Traza R11 · reposición</t>
  </si>
  <si>
    <t>Traza R12 · reposición</t>
  </si>
  <si>
    <t>Registro de la medición · 5 A (I1)</t>
  </si>
  <si>
    <t>Amarillo = llenar. Nueve réplicas seguidas a la misma corriente; R10–R12 solo si hay que reponer una traza descartada.</t>
  </si>
  <si>
    <t>Fecha</t>
  </si>
  <si>
    <t>martes 27 oct 2026</t>
  </si>
  <si>
    <t>Encendido del láser</t>
  </si>
  <si>
    <t>Corriente (A)</t>
  </si>
  <si>
    <t>Temperatura del laboratorio (°C)</t>
  </si>
  <si>
    <t>Responsables:</t>
  </si>
  <si>
    <t>N°</t>
  </si>
  <si>
    <t>Hoja</t>
  </si>
  <si>
    <t>Hora inicio</t>
  </si>
  <si>
    <t>Hora fin</t>
  </si>
  <si>
    <t>Duración (min)</t>
  </si>
  <si>
    <t>Δ inicio a la siguiente (min)</t>
  </si>
  <si>
    <t>Potencia media del láser (mW)</t>
  </si>
  <si>
    <t>¿Válida?</t>
  </si>
  <si>
    <t>Observaciones (causa si no es válida)</t>
  </si>
  <si>
    <t>Δτ_AC (fs)</t>
  </si>
  <si>
    <t>τp (fs)</t>
  </si>
  <si>
    <t>τp usable (fs)</t>
  </si>
  <si>
    <t>R01</t>
  </si>
  <si>
    <t>Sí</t>
  </si>
  <si>
    <t>R02</t>
  </si>
  <si>
    <t>R03</t>
  </si>
  <si>
    <t>R04</t>
  </si>
  <si>
    <t>R05</t>
  </si>
  <si>
    <t>R06</t>
  </si>
  <si>
    <t>R07</t>
  </si>
  <si>
    <t>R08</t>
  </si>
  <si>
    <t>R09</t>
  </si>
  <si>
    <t>R10</t>
  </si>
  <si>
    <t>Reposición: anotar qué traza reemplaza</t>
  </si>
  <si>
    <t>R11</t>
  </si>
  <si>
    <t>R12</t>
  </si>
  <si>
    <t>Media</t>
  </si>
  <si>
    <t>Total (h)</t>
  </si>
  <si>
    <t>del primer inicio al último fin</t>
  </si>
  <si>
    <t>Reglas del protocolo (sección 5): una traza solo se marca «No» por una causa anotada en el momento (el láser perdió los pulsos, la potencia salió de rango, el barrido se interrumpió). Nunca por dar un valor inesperado. La traza que la reemplaza va en la siguiente hoja de reposición (R10, R11, R12), y se anota en Observaciones a cuál reemplaza.</t>
  </si>
  <si>
    <t>Resumen y prueba t de una muestra · 5 A</t>
  </si>
  <si>
    <t>Cuentan las trazas con τp calculado y no marcadas «No» en el Registro (incluidas las de reposición).</t>
  </si>
  <si>
    <t>Cálculo</t>
  </si>
  <si>
    <t>Réplicas válidas n</t>
  </si>
  <si>
    <t>Meta: 9.</t>
  </si>
  <si>
    <t>Media de τp, ȳ (fs)</t>
  </si>
  <si>
    <t>Estimador: ancho a media altura × factor sech².</t>
  </si>
  <si>
    <t>Desviación estándar S (fs)</t>
  </si>
  <si>
    <t>Coeficiente de variación (%)</t>
  </si>
  <si>
    <t>τ0 del fabricante (fs)</t>
  </si>
  <si>
    <t>Tabla 5 de la hoja de pruebas.</t>
  </si>
  <si>
    <t>ȳ − τ0 (fs)</t>
  </si>
  <si>
    <t>Estadístico t0 = (ȳ − τ0) / (S/√n)</t>
  </si>
  <si>
    <t>H0: μ = τ0   frente a   H1: μ ≠ τ0.</t>
  </si>
  <si>
    <t>Grados de libertad n − 1</t>
  </si>
  <si>
    <t>t crítico t(α/2, n − 1)</t>
  </si>
  <si>
    <t>Valor P (dos colas)</t>
  </si>
  <si>
    <t>Límite inferior del IC 95 % de μ (fs)</t>
  </si>
  <si>
    <t>Límite superior del IC 95 % de μ (fs)</t>
  </si>
  <si>
    <t>Decisión</t>
  </si>
  <si>
    <t>Duración media por corrida (min)</t>
  </si>
  <si>
    <t>Desde el Registro.</t>
  </si>
  <si>
    <t>Prueba preliminar con el estimador de la hoja (FWHM × 0,65). El informe usa el ajuste sech² de toda la traza (analiza_piloto.py) y valida los supuestos (normalidad, sin tendencia en el orden de medición).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</si>
</sst>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hh:mm"/>
    <numFmt numFmtId="166" formatCode="0.000"/>
    <numFmt numFmtId="167" formatCode="0.000E+00"/>
  </numFmts>
  <fonts count="10" x14ac:knownFonts="1">
    <font>
      <sz val="11"/>
      <color theme="1"/>
      <name val="Calibri"/>
      <family val="2"/>
      <scheme val="minor"/>
    </font>
    <font>
      <b/>
      <sz val="14"/>
      <color rgb="FF1F3864"/>
      <name val="Arial"/>
      <family val="2"/>
    </font>
    <font>
      <i/>
      <sz val="10"/>
      <color rgb="FF595959"/>
      <name val="Arial"/>
      <family val="2"/>
    </font>
    <font>
      <sz val="10"/>
      <color theme="1"/>
      <name val="Arial"/>
      <family val="2"/>
    </font>
    <font>
      <b/>
      <sz val="10"/>
      <color rgb="FFFFFFFF"/>
      <name val="Arial"/>
      <family val="2"/>
    </font>
    <font>
      <b/>
      <sz val="10"/>
      <color theme="1"/>
      <name val="Arial"/>
      <family val="2"/>
    </font>
    <font>
      <sz val="10"/>
      <color rgb="FF0000FF"/>
      <name val="Arial"/>
      <family val="2"/>
    </font>
    <font>
      <sz val="10"/>
      <color rgb="FF008000"/>
      <name val="Arial"/>
      <family val="2"/>
    </font>
    <font>
      <b/>
      <sz val="12"/>
      <color theme="1"/>
      <name val="Arial"/>
      <family val="2"/>
    </font>
    <font>
      <sz val="10"/>
      <color rgb="FF808080"/>
      <name val="Arial"/>
      <family val="2"/>
    </font>
  </fonts>
  <fills count="6">
    <fill>
      <patternFill patternType="none"/>
    </fill>
    <fill>
      <patternFill patternType="gray125"/>
    </fill>
    <fill>
      <patternFill patternType="solid">
        <fgColor rgb="FF1F3864"/>
        <bgColor indexed="64"/>
      </patternFill>
    </fill>
    <fill>
      <patternFill patternType="solid">
        <fgColor rgb="FFFFF2CC"/>
        <bgColor indexed="64"/>
      </patternFill>
    </fill>
    <fill>
      <patternFill patternType="solid">
        <fgColor rgb="FFE2EFDA"/>
        <bgColor indexed="64"/>
      </patternFill>
    </fill>
    <fill>
      <patternFill patternType="solid">
        <fgColor rgb="FFD9D9D9"/>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9">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3" fillId="0" borderId="1" xfId="0" applyFont="1" applyBorder="1" applyAlignment="1">
      <alignment vertical="center" wrapText="1"/>
    </xf>
    <xf numFmtId="2" fontId="3" fillId="0" borderId="1" xfId="0" applyNumberFormat="1" applyFont="1" applyBorder="1" applyAlignment="1">
      <alignment vertical="center"/>
    </xf>
    <xf numFmtId="0" fontId="2" fillId="0" borderId="0" xfId="0" applyFont="1" applyAlignment="1">
      <alignment vertical="top" wrapText="1"/>
    </xf>
    <xf numFmtId="1" fontId="3" fillId="0" borderId="1" xfId="0" applyNumberFormat="1" applyFont="1" applyBorder="1" applyAlignment="1">
      <alignment vertical="center"/>
    </xf>
    <xf numFmtId="164" fontId="3" fillId="0" borderId="1" xfId="0" applyNumberFormat="1" applyFont="1" applyBorder="1" applyAlignment="1">
      <alignment vertical="center"/>
    </xf>
    <xf numFmtId="1" fontId="3" fillId="0" borderId="1" xfId="0" applyNumberFormat="1" applyFont="1" applyBorder="1" applyAlignment="1">
      <alignment horizontal="center" vertical="center"/>
    </xf>
    <xf numFmtId="0" fontId="5" fillId="0" borderId="1" xfId="0" applyFont="1" applyBorder="1" applyAlignment="1">
      <alignment vertical="center" wrapText="1"/>
    </xf>
    <xf numFmtId="0" fontId="6" fillId="3" borderId="1" xfId="0" applyFont="1" applyFill="1" applyBorder="1" applyAlignment="1" applyProtection="1">
      <alignment vertical="center"/>
      <protection locked="0"/>
    </xf>
    <xf numFmtId="165" fontId="6" fillId="3" borderId="1" xfId="0" applyNumberFormat="1" applyFont="1" applyFill="1" applyBorder="1" applyAlignment="1" applyProtection="1">
      <alignment horizontal="center" vertical="center"/>
      <protection locked="0"/>
    </xf>
    <xf numFmtId="2" fontId="7" fillId="0" borderId="1" xfId="0" applyNumberFormat="1" applyFont="1" applyBorder="1" applyAlignment="1">
      <alignment vertical="center"/>
    </xf>
    <xf numFmtId="0" fontId="7" fillId="0" borderId="1" xfId="0" applyFont="1" applyBorder="1" applyAlignment="1">
      <alignment vertical="center"/>
    </xf>
    <xf numFmtId="1" fontId="7" fillId="0" borderId="1" xfId="0" applyNumberFormat="1" applyFont="1" applyBorder="1" applyAlignment="1">
      <alignment vertical="center"/>
    </xf>
    <xf numFmtId="0" fontId="6" fillId="3" borderId="1" xfId="0" applyFont="1" applyFill="1" applyBorder="1" applyAlignment="1" applyProtection="1">
      <alignment vertical="center" wrapText="1"/>
      <protection locked="0"/>
    </xf>
    <xf numFmtId="2" fontId="8" fillId="4" borderId="2" xfId="0" applyNumberFormat="1" applyFont="1" applyFill="1" applyBorder="1" applyAlignment="1">
      <alignment vertical="center"/>
    </xf>
    <xf numFmtId="166" fontId="3" fillId="0" borderId="1" xfId="0" applyNumberFormat="1" applyFont="1" applyBorder="1" applyAlignment="1">
      <alignment vertical="center"/>
    </xf>
    <xf numFmtId="0" fontId="5" fillId="4" borderId="2" xfId="0" applyFont="1" applyFill="1" applyBorder="1" applyAlignment="1">
      <alignment vertical="center" wrapText="1"/>
    </xf>
    <xf numFmtId="1" fontId="5" fillId="5" borderId="1" xfId="0" applyNumberFormat="1" applyFont="1" applyFill="1" applyBorder="1" applyAlignment="1">
      <alignment horizontal="center" vertical="center"/>
    </xf>
    <xf numFmtId="167" fontId="6" fillId="3" borderId="1" xfId="0" applyNumberFormat="1" applyFont="1" applyFill="1" applyBorder="1" applyAlignment="1" applyProtection="1">
      <alignment vertical="center"/>
      <protection locked="0"/>
    </xf>
    <xf numFmtId="2" fontId="9" fillId="0" borderId="0" xfId="0" applyNumberFormat="1" applyFont="1" applyAlignment="1">
      <alignment vertical="center"/>
    </xf>
    <xf numFmtId="167" fontId="9" fillId="0" borderId="0" xfId="0" applyNumberFormat="1" applyFont="1" applyAlignment="1">
      <alignment vertical="center"/>
    </xf>
    <xf numFmtId="164" fontId="9" fillId="0" borderId="0" xfId="0" applyNumberFormat="1" applyFont="1" applyAlignment="1">
      <alignment vertical="center"/>
    </xf>
    <xf numFmtId="11" fontId="3" fillId="0" borderId="1" xfId="0" applyNumberFormat="1" applyFont="1" applyBorder="1" applyAlignment="1">
      <alignment vertical="center"/>
    </xf>
    <xf numFmtId="0" fontId="6" fillId="3" borderId="1" xfId="0" applyFont="1" applyFill="1" applyBorder="1" applyAlignment="1" applyProtection="1">
      <alignment vertical="center"/>
      <protection locked="0"/>
    </xf>
    <xf numFmtId="0" fontId="2" fillId="0" borderId="0" xfId="0" applyFont="1" applyAlignment="1">
      <alignment vertical="top" wrapText="1"/>
    </xf>
  </cellXfs>
  <cellStyles count="1">
    <cellStyle name="Normal" xfId="0" builtinId="0"/>
  </cellStyles>
  <dxfs count="64">
    <dxf>
      <font>
        <color rgb="FF9C0006"/>
      </font>
      <fill>
        <patternFill>
          <bgColor rgb="FFFFC7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vertical/>
        <horizontal/>
      </border>
    </dxf>
    <dxf>
      <font>
        <color rgb="FFD9D9D9"/>
      </font>
    </dxf>
    <dxf>
      <font>
        <color rgb="FFD9D9D9"/>
      </font>
    </dxf>
    <dxf>
      <font>
        <color rgb="FF9C0006"/>
      </font>
      <fill>
        <patternFill>
          <bgColor rgb="FFFFC7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vertical/>
        <horizontal/>
      </border>
    </dxf>
    <dxf>
      <font>
        <color rgb="FFD9D9D9"/>
      </font>
    </dxf>
    <dxf>
      <font>
        <color rgb="FFD9D9D9"/>
      </font>
    </dxf>
    <dxf>
      <font>
        <color rgb="FF9C0006"/>
      </font>
      <fill>
        <patternFill>
          <bgColor rgb="FFFFC7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vertical/>
        <horizontal/>
      </border>
    </dxf>
    <dxf>
      <font>
        <color rgb="FFD9D9D9"/>
      </font>
    </dxf>
    <dxf>
      <font>
        <color rgb="FFD9D9D9"/>
      </font>
    </dxf>
    <dxf>
      <font>
        <color rgb="FF9C0006"/>
      </font>
      <fill>
        <patternFill>
          <bgColor rgb="FFFFC7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vertical/>
        <horizontal/>
      </border>
    </dxf>
    <dxf>
      <font>
        <color rgb="FFD9D9D9"/>
      </font>
    </dxf>
    <dxf>
      <font>
        <color rgb="FFD9D9D9"/>
      </font>
    </dxf>
    <dxf>
      <font>
        <color rgb="FF9C0006"/>
      </font>
      <fill>
        <patternFill>
          <bgColor rgb="FFFFC7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vertical/>
        <horizontal/>
      </border>
    </dxf>
    <dxf>
      <font>
        <color rgb="FFD9D9D9"/>
      </font>
    </dxf>
    <dxf>
      <font>
        <color rgb="FFD9D9D9"/>
      </font>
    </dxf>
    <dxf>
      <font>
        <color rgb="FF9C0006"/>
      </font>
      <fill>
        <patternFill>
          <bgColor rgb="FFFFC7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vertical/>
        <horizontal/>
      </border>
    </dxf>
    <dxf>
      <font>
        <color rgb="FFD9D9D9"/>
      </font>
    </dxf>
    <dxf>
      <font>
        <color rgb="FFD9D9D9"/>
      </font>
    </dxf>
    <dxf>
      <font>
        <color rgb="FF9C0006"/>
      </font>
      <fill>
        <patternFill>
          <bgColor rgb="FFFFC7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vertical/>
        <horizontal/>
      </border>
    </dxf>
    <dxf>
      <font>
        <color rgb="FFD9D9D9"/>
      </font>
    </dxf>
    <dxf>
      <font>
        <color rgb="FFD9D9D9"/>
      </font>
    </dxf>
    <dxf>
      <font>
        <color rgb="FF9C0006"/>
      </font>
      <fill>
        <patternFill>
          <bgColor rgb="FFFFC7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vertical/>
        <horizontal/>
      </border>
    </dxf>
    <dxf>
      <font>
        <color rgb="FFD9D9D9"/>
      </font>
    </dxf>
    <dxf>
      <font>
        <color rgb="FFD9D9D9"/>
      </font>
    </dxf>
    <dxf>
      <font>
        <color rgb="FF9C0006"/>
      </font>
      <fill>
        <patternFill>
          <bgColor rgb="FFFFC7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vertical/>
        <horizontal/>
      </border>
    </dxf>
    <dxf>
      <font>
        <color rgb="FFD9D9D9"/>
      </font>
    </dxf>
    <dxf>
      <font>
        <color rgb="FFD9D9D9"/>
      </font>
    </dxf>
    <dxf>
      <font>
        <color rgb="FF9C0006"/>
      </font>
      <fill>
        <patternFill>
          <bgColor rgb="FFFFC7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vertical/>
        <horizontal/>
      </border>
    </dxf>
    <dxf>
      <font>
        <color rgb="FFD9D9D9"/>
      </font>
    </dxf>
    <dxf>
      <font>
        <color rgb="FFD9D9D9"/>
      </font>
    </dxf>
    <dxf>
      <font>
        <color rgb="FF9C0006"/>
      </font>
      <fill>
        <patternFill>
          <bgColor rgb="FFFFC7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vertical/>
        <horizontal/>
      </border>
    </dxf>
    <dxf>
      <font>
        <color rgb="FFD9D9D9"/>
      </font>
    </dxf>
    <dxf>
      <font>
        <color rgb="FFD9D9D9"/>
      </font>
    </dxf>
    <dxf>
      <font>
        <color rgb="FF9C0006"/>
      </font>
      <fill>
        <patternFill>
          <bgColor rgb="FFFFC7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vertical/>
        <horizontal/>
      </border>
    </dxf>
    <dxf>
      <font>
        <color rgb="FFD9D9D9"/>
      </font>
    </dxf>
    <dxf>
      <font>
        <color rgb="FFD9D9D9"/>
      </font>
    </dxf>
    <dxf>
      <font>
        <color rgb="FF9C0006"/>
      </font>
      <fill>
        <patternFill>
          <bgColor rgb="FFFFC7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vertical/>
        <horizontal/>
      </border>
    </dxf>
    <dxf>
      <fill>
        <patternFill>
          <bgColor rgb="FFF2F2F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τp en el orden de medición (¿hay deriva?)</a:t>
            </a:r>
          </a:p>
        </c:rich>
      </c:tx>
      <c:overlay val="0"/>
    </c:title>
    <c:autoTitleDeleted val="0"/>
    <c:plotArea>
      <c:layout/>
      <c:scatterChart>
        <c:scatterStyle val="lineMarker"/>
        <c:varyColors val="0"/>
        <c:ser>
          <c:idx val="0"/>
          <c:order val="0"/>
          <c:tx>
            <c:v>τp por réplica</c:v>
          </c:tx>
          <c:spPr>
            <a:ln w="28575">
              <a:noFill/>
            </a:ln>
          </c:spPr>
          <c:marker>
            <c:symbol val="circle"/>
            <c:size val="7"/>
            <c:spPr>
              <a:solidFill>
                <a:srgbClr val="1F3864"/>
              </a:solidFill>
              <a:ln>
                <a:solidFill>
                  <a:srgbClr val="1F3864"/>
                </a:solidFill>
              </a:ln>
            </c:spPr>
          </c:marker>
          <c:xVal>
            <c:numRef>
              <c:f>Registro!$A$7:$A$18</c:f>
              <c:numCache>
                <c:formatCode>0</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Registro!$N$7:$N$18</c:f>
              <c:numCache>
                <c:formatCode>0.00</c:formatCode>
                <c:ptCount val="12"/>
                <c:pt idx="0">
                  <c:v>221.94453388135057</c:v>
                </c:pt>
                <c:pt idx="1">
                  <c:v>218.05328234672737</c:v>
                </c:pt>
                <c:pt idx="2">
                  <c:v>217.28306992520587</c:v>
                </c:pt>
                <c:pt idx="3">
                  <c:v>217.79411699292004</c:v>
                </c:pt>
                <c:pt idx="4">
                  <c:v>220.18675329843015</c:v>
                </c:pt>
                <c:pt idx="5">
                  <c:v>225.30912491483741</c:v>
                </c:pt>
                <c:pt idx="6">
                  <c:v>218.14849528062459</c:v>
                </c:pt>
                <c:pt idx="7">
                  <c:v>218.84554405793764</c:v>
                </c:pt>
                <c:pt idx="8">
                  <c:v>220.55796949383762</c:v>
                </c:pt>
                <c:pt idx="9">
                  <c:v>0</c:v>
                </c:pt>
                <c:pt idx="10">
                  <c:v>0</c:v>
                </c:pt>
                <c:pt idx="11">
                  <c:v>0</c:v>
                </c:pt>
              </c:numCache>
            </c:numRef>
          </c:yVal>
          <c:smooth val="0"/>
          <c:extLst>
            <c:ext xmlns:c16="http://schemas.microsoft.com/office/drawing/2014/chart" uri="{C3380CC4-5D6E-409C-BE32-E72D297353CC}">
              <c16:uniqueId val="{00000000-7323-47C3-8868-9C2196E59E8E}"/>
            </c:ext>
          </c:extLst>
        </c:ser>
        <c:dLbls>
          <c:showLegendKey val="0"/>
          <c:showVal val="0"/>
          <c:showCatName val="0"/>
          <c:showSerName val="0"/>
          <c:showPercent val="0"/>
          <c:showBubbleSize val="0"/>
        </c:dLbls>
        <c:axId val="50010001"/>
        <c:axId val="50010002"/>
      </c:scatterChart>
      <c:valAx>
        <c:axId val="50010001"/>
        <c:scaling>
          <c:orientation val="minMax"/>
          <c:max val="13"/>
          <c:min val="0"/>
        </c:scaling>
        <c:delete val="0"/>
        <c:axPos val="b"/>
        <c:title>
          <c:tx>
            <c:rich>
              <a:bodyPr/>
              <a:lstStyle/>
              <a:p>
                <a:pPr>
                  <a:defRPr/>
                </a:pPr>
                <a:r>
                  <a:rPr lang="en-US"/>
                  <a:t>N° de corrida</a:t>
                </a:r>
              </a:p>
            </c:rich>
          </c:tx>
          <c:overlay val="0"/>
        </c:title>
        <c:numFmt formatCode="0" sourceLinked="1"/>
        <c:majorTickMark val="out"/>
        <c:minorTickMark val="none"/>
        <c:tickLblPos val="nextTo"/>
        <c:crossAx val="50010002"/>
        <c:crosses val="autoZero"/>
        <c:crossBetween val="midCat"/>
        <c:majorUnit val="1"/>
      </c:valAx>
      <c:valAx>
        <c:axId val="50010002"/>
        <c:scaling>
          <c:orientation val="minMax"/>
        </c:scaling>
        <c:delete val="0"/>
        <c:axPos val="l"/>
        <c:majorGridlines>
          <c:spPr>
            <a:ln>
              <a:solidFill>
                <a:srgbClr val="EEEEEE"/>
              </a:solidFill>
            </a:ln>
          </c:spPr>
        </c:majorGridlines>
        <c:title>
          <c:tx>
            <c:rich>
              <a:bodyPr rot="-5400000" vert="horz"/>
              <a:lstStyle/>
              <a:p>
                <a:pPr>
                  <a:defRPr/>
                </a:pPr>
                <a:r>
                  <a:rPr lang="en-US"/>
                  <a:t>τp (fs)</a:t>
                </a:r>
              </a:p>
            </c:rich>
          </c:tx>
          <c:overlay val="0"/>
        </c:title>
        <c:numFmt formatCode="0.00" sourceLinked="1"/>
        <c:majorTickMark val="out"/>
        <c:minorTickMark val="none"/>
        <c:tickLblPos val="nextTo"/>
        <c:crossAx val="50010001"/>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Traza cruda: potencia óptica contra posición</a:t>
            </a:r>
          </a:p>
        </c:rich>
      </c:tx>
      <c:overlay val="0"/>
    </c:title>
    <c:autoTitleDeleted val="0"/>
    <c:plotArea>
      <c:layout/>
      <c:scatterChart>
        <c:scatterStyle val="lineMarker"/>
        <c:varyColors val="0"/>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'R01'!$A$2:$A$23</c:f>
              <c:numCache>
                <c:formatCode>0</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'R01'!$B$2:$B$23</c:f>
              <c:numCache>
                <c:formatCode>0.000E+00</c:formatCode>
                <c:ptCount val="22"/>
                <c:pt idx="0">
                  <c:v>-6.9900000000000001E-9</c:v>
                </c:pt>
                <c:pt idx="1">
                  <c:v>4.8300000000000002E-8</c:v>
                </c:pt>
                <c:pt idx="2">
                  <c:v>1.98E-7</c:v>
                </c:pt>
                <c:pt idx="3">
                  <c:v>2.04E-7</c:v>
                </c:pt>
                <c:pt idx="4">
                  <c:v>4.03E-7</c:v>
                </c:pt>
                <c:pt idx="5">
                  <c:v>6.9500000000000002E-7</c:v>
                </c:pt>
                <c:pt idx="6">
                  <c:v>1.5400000000000001E-6</c:v>
                </c:pt>
                <c:pt idx="7">
                  <c:v>2.8590000000000001E-6</c:v>
                </c:pt>
                <c:pt idx="8">
                  <c:v>5.7060000000000001E-6</c:v>
                </c:pt>
                <c:pt idx="9">
                  <c:v>1.075E-5</c:v>
                </c:pt>
                <c:pt idx="10">
                  <c:v>1.8479999999999999E-5</c:v>
                </c:pt>
                <c:pt idx="11">
                  <c:v>2.44E-5</c:v>
                </c:pt>
                <c:pt idx="12">
                  <c:v>2.5979999999999999E-5</c:v>
                </c:pt>
                <c:pt idx="13">
                  <c:v>2.27E-5</c:v>
                </c:pt>
                <c:pt idx="14">
                  <c:v>1.5999999999999999E-5</c:v>
                </c:pt>
                <c:pt idx="15">
                  <c:v>9.0489999999999993E-6</c:v>
                </c:pt>
                <c:pt idx="16">
                  <c:v>4.5229999999999997E-6</c:v>
                </c:pt>
                <c:pt idx="17">
                  <c:v>2.2800000000000002E-6</c:v>
                </c:pt>
                <c:pt idx="18">
                  <c:v>1.2699999999999999E-6</c:v>
                </c:pt>
                <c:pt idx="19">
                  <c:v>5.5499999999999998E-7</c:v>
                </c:pt>
                <c:pt idx="20">
                  <c:v>4.1520000000000001E-7</c:v>
                </c:pt>
                <c:pt idx="21">
                  <c:v>2.7539999999999999E-7</c:v>
                </c:pt>
              </c:numCache>
            </c:numRef>
          </c:yVal>
          <c:smooth val="0"/>
          <c:extLst>
            <c:ext xmlns:c16="http://schemas.microsoft.com/office/drawing/2014/chart" uri="{C3380CC4-5D6E-409C-BE32-E72D297353CC}">
              <c16:uniqueId val="{00000000-ADAE-411E-8E69-B85D3074EAFB}"/>
            </c:ext>
          </c:extLst>
        </c:ser>
        <c:dLbls>
          <c:showLegendKey val="0"/>
          <c:showVal val="0"/>
          <c:showCatName val="0"/>
          <c:showSerName val="0"/>
          <c:showPercent val="0"/>
          <c:showBubbleSize val="0"/>
        </c:dLbls>
        <c:axId val="50020001"/>
        <c:axId val="50020002"/>
      </c:scatterChart>
      <c:valAx>
        <c:axId val="50020001"/>
        <c:scaling>
          <c:orientation val="minMax"/>
          <c:max val="210"/>
          <c:min val="0"/>
        </c:scaling>
        <c:delete val="0"/>
        <c:axPos val="b"/>
        <c:title>
          <c:tx>
            <c:rich>
              <a:bodyPr/>
              <a:lstStyle/>
              <a:p>
                <a:pPr>
                  <a:defRPr/>
                </a:pPr>
                <a:r>
                  <a:rPr lang="en-US"/>
                  <a:t>Posición del micrómetro (µm)</a:t>
                </a:r>
              </a:p>
            </c:rich>
          </c:tx>
          <c:overlay val="0"/>
        </c:title>
        <c:numFmt formatCode="0" sourceLinked="1"/>
        <c:majorTickMark val="out"/>
        <c:minorTickMark val="none"/>
        <c:tickLblPos val="nextTo"/>
        <c:crossAx val="50020002"/>
        <c:crosses val="autoZero"/>
        <c:crossBetween val="midCat"/>
      </c:valAx>
      <c:valAx>
        <c:axId val="50020002"/>
        <c:scaling>
          <c:orientation val="minMax"/>
        </c:scaling>
        <c:delete val="0"/>
        <c:axPos val="l"/>
        <c:majorGridlines>
          <c:spPr>
            <a:ln>
              <a:solidFill>
                <a:srgbClr val="EEEEEE"/>
              </a:solidFill>
            </a:ln>
          </c:spPr>
        </c:majorGridlines>
        <c:title>
          <c:tx>
            <c:rich>
              <a:bodyPr rot="-5400000" vert="horz"/>
              <a:lstStyle/>
              <a:p>
                <a:pPr>
                  <a:defRPr/>
                </a:pPr>
                <a:r>
                  <a:rPr lang="en-US"/>
                  <a:t>Potencia óptica (W)</a:t>
                </a:r>
              </a:p>
            </c:rich>
          </c:tx>
          <c:overlay val="0"/>
        </c:title>
        <c:numFmt formatCode="0.0E+00" sourceLinked="0"/>
        <c:majorTickMark val="out"/>
        <c:minorTickMark val="none"/>
        <c:tickLblPos val="nextTo"/>
        <c:crossAx val="50020001"/>
        <c:crosses val="autoZero"/>
        <c:crossBetween val="midCat"/>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Autocorrelación normalizada contra retardo</a:t>
            </a:r>
          </a:p>
        </c:rich>
      </c:tx>
      <c:overlay val="0"/>
    </c:title>
    <c:autoTitleDeleted val="0"/>
    <c:plotArea>
      <c:layout/>
      <c:scatterChart>
        <c:scatterStyle val="lineMarker"/>
        <c:varyColors val="0"/>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'R01'!$I$2:$I$23</c:f>
              <c:numCache>
                <c:formatCode>0.00</c:formatCode>
                <c:ptCount val="22"/>
                <c:pt idx="0">
                  <c:v>-791.26356422124013</c:v>
                </c:pt>
                <c:pt idx="1">
                  <c:v>-724.55074518160973</c:v>
                </c:pt>
                <c:pt idx="2">
                  <c:v>-657.83792614197932</c:v>
                </c:pt>
                <c:pt idx="3">
                  <c:v>-591.12510710234892</c:v>
                </c:pt>
                <c:pt idx="4">
                  <c:v>-524.41228806271852</c:v>
                </c:pt>
                <c:pt idx="5">
                  <c:v>-457.69946902308811</c:v>
                </c:pt>
                <c:pt idx="6">
                  <c:v>-390.98664998345765</c:v>
                </c:pt>
                <c:pt idx="7">
                  <c:v>-324.27383094382725</c:v>
                </c:pt>
                <c:pt idx="8">
                  <c:v>-257.5610119041969</c:v>
                </c:pt>
                <c:pt idx="9">
                  <c:v>-190.8481928645665</c:v>
                </c:pt>
                <c:pt idx="10">
                  <c:v>-124.1353738249361</c:v>
                </c:pt>
                <c:pt idx="11">
                  <c:v>-57.422554785305579</c:v>
                </c:pt>
                <c:pt idx="12">
                  <c:v>9.2902642543248248</c:v>
                </c:pt>
                <c:pt idx="13">
                  <c:v>76.003083293955228</c:v>
                </c:pt>
                <c:pt idx="14">
                  <c:v>142.71590233358563</c:v>
                </c:pt>
                <c:pt idx="15">
                  <c:v>209.42872137321604</c:v>
                </c:pt>
                <c:pt idx="16">
                  <c:v>276.14154041284633</c:v>
                </c:pt>
                <c:pt idx="17">
                  <c:v>342.85435945247673</c:v>
                </c:pt>
                <c:pt idx="18">
                  <c:v>409.56717849210713</c:v>
                </c:pt>
                <c:pt idx="19">
                  <c:v>476.27999753173754</c:v>
                </c:pt>
                <c:pt idx="20">
                  <c:v>542.99281657136794</c:v>
                </c:pt>
                <c:pt idx="21">
                  <c:v>609.70563561099834</c:v>
                </c:pt>
              </c:numCache>
            </c:numRef>
          </c:xVal>
          <c:yVal>
            <c:numRef>
              <c:f>'R01'!$J$2:$J$23</c:f>
              <c:numCache>
                <c:formatCode>0.0000</c:formatCode>
                <c:ptCount val="22"/>
                <c:pt idx="0">
                  <c:v>-7.3639312443907054E-3</c:v>
                </c:pt>
                <c:pt idx="1">
                  <c:v>-5.2206606401959763E-3</c:v>
                </c:pt>
                <c:pt idx="2">
                  <c:v>5.8233464734156826E-4</c:v>
                </c:pt>
                <c:pt idx="3">
                  <c:v>8.1491962880599891E-4</c:v>
                </c:pt>
                <c:pt idx="4">
                  <c:v>8.5289881807096152E-3</c:v>
                </c:pt>
                <c:pt idx="5">
                  <c:v>1.9848123945311907E-2</c:v>
                </c:pt>
                <c:pt idx="6">
                  <c:v>5.2603842168219228E-2</c:v>
                </c:pt>
                <c:pt idx="7">
                  <c:v>0.10373377392681657</c:v>
                </c:pt>
                <c:pt idx="8">
                  <c:v>0.21409534763168891</c:v>
                </c:pt>
                <c:pt idx="9">
                  <c:v>0.40962178871612026</c:v>
                </c:pt>
                <c:pt idx="10">
                  <c:v>0.70926877316946169</c:v>
                </c:pt>
                <c:pt idx="11">
                  <c:v>0.93875262154770001</c:v>
                </c:pt>
                <c:pt idx="12">
                  <c:v>1</c:v>
                </c:pt>
                <c:pt idx="13">
                  <c:v>0.87285354346611133</c:v>
                </c:pt>
                <c:pt idx="14">
                  <c:v>0.6131336474974971</c:v>
                </c:pt>
                <c:pt idx="15">
                  <c:v>0.34368394647095413</c:v>
                </c:pt>
                <c:pt idx="16">
                  <c:v>0.16823734211961866</c:v>
                </c:pt>
                <c:pt idx="17">
                  <c:v>8.1289323215499018E-2</c:v>
                </c:pt>
                <c:pt idx="18">
                  <c:v>4.2137518002319838E-2</c:v>
                </c:pt>
                <c:pt idx="19">
                  <c:v>1.4421141044475191E-2</c:v>
                </c:pt>
                <c:pt idx="20">
                  <c:v>9.0019109763539579E-3</c:v>
                </c:pt>
                <c:pt idx="21">
                  <c:v>3.5826809082327234E-3</c:v>
                </c:pt>
              </c:numCache>
            </c:numRef>
          </c:yVal>
          <c:smooth val="0"/>
          <c:extLst>
            <c:ext xmlns:c16="http://schemas.microsoft.com/office/drawing/2014/chart" uri="{C3380CC4-5D6E-409C-BE32-E72D297353CC}">
              <c16:uniqueId val="{00000000-E331-4E81-882C-5541C2524501}"/>
            </c:ext>
          </c:extLst>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'R01'!$L$23:$L$24</c:f>
              <c:numCache>
                <c:formatCode>0.00</c:formatCode>
                <c:ptCount val="2"/>
                <c:pt idx="0">
                  <c:v>-170.72656452411582</c:v>
                </c:pt>
                <c:pt idx="1">
                  <c:v>170.72656452411582</c:v>
                </c:pt>
              </c:numCache>
            </c:numRef>
          </c:xVal>
          <c:yVal>
            <c:numRef>
              <c:f>'R01'!$M$23:$M$24</c:f>
              <c:numCache>
                <c:formatCode>0.00</c:formatCode>
                <c:ptCount val="2"/>
                <c:pt idx="0">
                  <c:v>0.5</c:v>
                </c:pt>
                <c:pt idx="1">
                  <c:v>0.5</c:v>
                </c:pt>
              </c:numCache>
            </c:numRef>
          </c:yVal>
          <c:smooth val="0"/>
          <c:extLst>
            <c:ext xmlns:c16="http://schemas.microsoft.com/office/drawing/2014/chart" uri="{C3380CC4-5D6E-409C-BE32-E72D297353CC}">
              <c16:uniqueId val="{00000001-E331-4E81-882C-5541C2524501}"/>
            </c:ext>
          </c:extLst>
        </c:ser>
        <c:dLbls>
          <c:showLegendKey val="0"/>
          <c:showVal val="0"/>
          <c:showCatName val="0"/>
          <c:showSerName val="0"/>
          <c:showPercent val="0"/>
          <c:showBubbleSize val="0"/>
        </c:dLbls>
        <c:axId val="50030001"/>
        <c:axId val="50030002"/>
      </c:scatterChart>
      <c:valAx>
        <c:axId val="50030001"/>
        <c:scaling>
          <c:orientation val="minMax"/>
        </c:scaling>
        <c:delete val="0"/>
        <c:axPos val="b"/>
        <c:title>
          <c:tx>
            <c:rich>
              <a:bodyPr/>
              <a:lstStyle/>
              <a:p>
                <a:pPr>
                  <a:defRPr/>
                </a:pPr>
                <a:r>
                  <a:rPr lang="en-US"/>
                  <a:t>Retardo respecto al centro (fs)</a:t>
                </a:r>
              </a:p>
            </c:rich>
          </c:tx>
          <c:overlay val="0"/>
        </c:title>
        <c:numFmt formatCode="0.00" sourceLinked="1"/>
        <c:majorTickMark val="out"/>
        <c:minorTickMark val="none"/>
        <c:tickLblPos val="nextTo"/>
        <c:crossAx val="50030002"/>
        <c:crosses val="autoZero"/>
        <c:crossBetween val="midCat"/>
      </c:valAx>
      <c:valAx>
        <c:axId val="50030002"/>
        <c:scaling>
          <c:orientation val="minMax"/>
          <c:max val="1.1000000000000001"/>
          <c:min val="-0.1"/>
        </c:scaling>
        <c:delete val="0"/>
        <c:axPos val="l"/>
        <c:majorGridlines>
          <c:spPr>
            <a:ln>
              <a:solidFill>
                <a:srgbClr val="EEEEEE"/>
              </a:solidFill>
            </a:ln>
          </c:spPr>
        </c:majorGridlines>
        <c:title>
          <c:tx>
            <c:rich>
              <a:bodyPr rot="-5400000" vert="horz"/>
              <a:lstStyle/>
              <a:p>
                <a:pPr>
                  <a:defRPr/>
                </a:pPr>
                <a:r>
                  <a:rPr lang="en-US"/>
                  <a:t>Señal normalizada</a:t>
                </a:r>
              </a:p>
            </c:rich>
          </c:tx>
          <c:overlay val="0"/>
        </c:title>
        <c:numFmt formatCode="0.0000" sourceLinked="1"/>
        <c:majorTickMark val="out"/>
        <c:minorTickMark val="none"/>
        <c:tickLblPos val="nextTo"/>
        <c:crossAx val="50030001"/>
        <c:crosses val="autoZero"/>
        <c:crossBetween val="midCat"/>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Traza cruda: potencia óptica contra posición</a:t>
            </a:r>
          </a:p>
        </c:rich>
      </c:tx>
      <c:overlay val="0"/>
    </c:title>
    <c:autoTitleDeleted val="0"/>
    <c:plotArea>
      <c:layout/>
      <c:scatterChart>
        <c:scatterStyle val="lineMarker"/>
        <c:varyColors val="0"/>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'R02'!$A$2:$A$23</c:f>
              <c:numCache>
                <c:formatCode>0</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'R02'!$B$2:$B$23</c:f>
              <c:numCache>
                <c:formatCode>0.000E+00</c:formatCode>
                <c:ptCount val="22"/>
                <c:pt idx="0">
                  <c:v>2.3349999999999999E-7</c:v>
                </c:pt>
                <c:pt idx="1">
                  <c:v>9.3639999999999997E-8</c:v>
                </c:pt>
                <c:pt idx="2">
                  <c:v>4.7109999999999998E-7</c:v>
                </c:pt>
                <c:pt idx="3">
                  <c:v>4.1520000000000001E-7</c:v>
                </c:pt>
                <c:pt idx="4">
                  <c:v>5.271E-7</c:v>
                </c:pt>
                <c:pt idx="5">
                  <c:v>8.3679999999999998E-7</c:v>
                </c:pt>
                <c:pt idx="6">
                  <c:v>1.6360000000000001E-6</c:v>
                </c:pt>
                <c:pt idx="7">
                  <c:v>2.8679999999999999E-6</c:v>
                </c:pt>
                <c:pt idx="8">
                  <c:v>5.587E-6</c:v>
                </c:pt>
                <c:pt idx="9">
                  <c:v>1.164E-5</c:v>
                </c:pt>
                <c:pt idx="10">
                  <c:v>1.9040000000000001E-5</c:v>
                </c:pt>
                <c:pt idx="11">
                  <c:v>2.493E-5</c:v>
                </c:pt>
                <c:pt idx="12">
                  <c:v>2.7160000000000001E-5</c:v>
                </c:pt>
                <c:pt idx="13">
                  <c:v>2.3070000000000001E-5</c:v>
                </c:pt>
                <c:pt idx="14">
                  <c:v>1.5820000000000001E-5</c:v>
                </c:pt>
                <c:pt idx="15">
                  <c:v>8.8249999999999994E-6</c:v>
                </c:pt>
                <c:pt idx="16">
                  <c:v>4.3409999999999996E-6</c:v>
                </c:pt>
                <c:pt idx="17">
                  <c:v>2.125E-6</c:v>
                </c:pt>
                <c:pt idx="18">
                  <c:v>1.0049999999999999E-6</c:v>
                </c:pt>
                <c:pt idx="19">
                  <c:v>5.5499999999999998E-7</c:v>
                </c:pt>
                <c:pt idx="20">
                  <c:v>2.8939999999999998E-7</c:v>
                </c:pt>
                <c:pt idx="21">
                  <c:v>2.3349999999999999E-7</c:v>
                </c:pt>
              </c:numCache>
            </c:numRef>
          </c:yVal>
          <c:smooth val="0"/>
          <c:extLst>
            <c:ext xmlns:c16="http://schemas.microsoft.com/office/drawing/2014/chart" uri="{C3380CC4-5D6E-409C-BE32-E72D297353CC}">
              <c16:uniqueId val="{00000000-DA87-4733-9113-0208B63F71E5}"/>
            </c:ext>
          </c:extLst>
        </c:ser>
        <c:dLbls>
          <c:showLegendKey val="0"/>
          <c:showVal val="0"/>
          <c:showCatName val="0"/>
          <c:showSerName val="0"/>
          <c:showPercent val="0"/>
          <c:showBubbleSize val="0"/>
        </c:dLbls>
        <c:axId val="50040001"/>
        <c:axId val="50040002"/>
      </c:scatterChart>
      <c:valAx>
        <c:axId val="50040001"/>
        <c:scaling>
          <c:orientation val="minMax"/>
          <c:max val="210"/>
          <c:min val="0"/>
        </c:scaling>
        <c:delete val="0"/>
        <c:axPos val="b"/>
        <c:title>
          <c:tx>
            <c:rich>
              <a:bodyPr/>
              <a:lstStyle/>
              <a:p>
                <a:pPr>
                  <a:defRPr/>
                </a:pPr>
                <a:r>
                  <a:rPr lang="en-US"/>
                  <a:t>Posición del micrómetro (µm)</a:t>
                </a:r>
              </a:p>
            </c:rich>
          </c:tx>
          <c:overlay val="0"/>
        </c:title>
        <c:numFmt formatCode="0" sourceLinked="1"/>
        <c:majorTickMark val="out"/>
        <c:minorTickMark val="none"/>
        <c:tickLblPos val="nextTo"/>
        <c:crossAx val="50040002"/>
        <c:crosses val="autoZero"/>
        <c:crossBetween val="midCat"/>
      </c:valAx>
      <c:valAx>
        <c:axId val="50040002"/>
        <c:scaling>
          <c:orientation val="minMax"/>
        </c:scaling>
        <c:delete val="0"/>
        <c:axPos val="l"/>
        <c:majorGridlines>
          <c:spPr>
            <a:ln>
              <a:solidFill>
                <a:srgbClr val="EEEEEE"/>
              </a:solidFill>
            </a:ln>
          </c:spPr>
        </c:majorGridlines>
        <c:title>
          <c:tx>
            <c:rich>
              <a:bodyPr rot="-5400000" vert="horz"/>
              <a:lstStyle/>
              <a:p>
                <a:pPr>
                  <a:defRPr/>
                </a:pPr>
                <a:r>
                  <a:rPr lang="en-US"/>
                  <a:t>Potencia óptica (W)</a:t>
                </a:r>
              </a:p>
            </c:rich>
          </c:tx>
          <c:overlay val="0"/>
        </c:title>
        <c:numFmt formatCode="0.0E+00" sourceLinked="0"/>
        <c:majorTickMark val="out"/>
        <c:minorTickMark val="none"/>
        <c:tickLblPos val="nextTo"/>
        <c:crossAx val="50040001"/>
        <c:crosses val="autoZero"/>
        <c:crossBetween val="midCat"/>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Autocorrelación normalizada contra retardo</a:t>
            </a:r>
          </a:p>
        </c:rich>
      </c:tx>
      <c:overlay val="0"/>
    </c:title>
    <c:autoTitleDeleted val="0"/>
    <c:plotArea>
      <c:layout/>
      <c:scatterChart>
        <c:scatterStyle val="lineMarker"/>
        <c:varyColors val="0"/>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'R02'!$I$2:$I$23</c:f>
              <c:numCache>
                <c:formatCode>0.00</c:formatCode>
                <c:ptCount val="22"/>
                <c:pt idx="0">
                  <c:v>-786.59615729710026</c:v>
                </c:pt>
                <c:pt idx="1">
                  <c:v>-719.88333825746986</c:v>
                </c:pt>
                <c:pt idx="2">
                  <c:v>-653.17051921783946</c:v>
                </c:pt>
                <c:pt idx="3">
                  <c:v>-586.45770017820905</c:v>
                </c:pt>
                <c:pt idx="4">
                  <c:v>-519.74488113857865</c:v>
                </c:pt>
                <c:pt idx="5">
                  <c:v>-453.03206209894824</c:v>
                </c:pt>
                <c:pt idx="6">
                  <c:v>-386.31924305931778</c:v>
                </c:pt>
                <c:pt idx="7">
                  <c:v>-319.60642401968738</c:v>
                </c:pt>
                <c:pt idx="8">
                  <c:v>-252.89360498005703</c:v>
                </c:pt>
                <c:pt idx="9">
                  <c:v>-186.18078594042663</c:v>
                </c:pt>
                <c:pt idx="10">
                  <c:v>-119.46796690079623</c:v>
                </c:pt>
                <c:pt idx="11">
                  <c:v>-52.75514786116571</c:v>
                </c:pt>
                <c:pt idx="12">
                  <c:v>13.957671178464693</c:v>
                </c:pt>
                <c:pt idx="13">
                  <c:v>80.670490218095097</c:v>
                </c:pt>
                <c:pt idx="14">
                  <c:v>147.3833092577255</c:v>
                </c:pt>
                <c:pt idx="15">
                  <c:v>214.0961282973559</c:v>
                </c:pt>
                <c:pt idx="16">
                  <c:v>280.80894733698619</c:v>
                </c:pt>
                <c:pt idx="17">
                  <c:v>347.5217663766166</c:v>
                </c:pt>
                <c:pt idx="18">
                  <c:v>414.234585416247</c:v>
                </c:pt>
                <c:pt idx="19">
                  <c:v>480.9474044558774</c:v>
                </c:pt>
                <c:pt idx="20">
                  <c:v>547.66022349550781</c:v>
                </c:pt>
                <c:pt idx="21">
                  <c:v>614.37304253513821</c:v>
                </c:pt>
              </c:numCache>
            </c:numRef>
          </c:xVal>
          <c:yVal>
            <c:numRef>
              <c:f>'R02'!$J$2:$J$23</c:f>
              <c:numCache>
                <c:formatCode>0.0000</c:formatCode>
                <c:ptCount val="22"/>
                <c:pt idx="0">
                  <c:v>7.7892226697180342E-4</c:v>
                </c:pt>
                <c:pt idx="1">
                  <c:v>-4.4111715042848137E-3</c:v>
                </c:pt>
                <c:pt idx="2">
                  <c:v>9.5960699864811143E-3</c:v>
                </c:pt>
                <c:pt idx="3">
                  <c:v>7.5216652831117115E-3</c:v>
                </c:pt>
                <c:pt idx="4">
                  <c:v>1.1674185610607889E-2</c:v>
                </c:pt>
                <c:pt idx="5">
                  <c:v>2.3166907196180423E-2</c:v>
                </c:pt>
                <c:pt idx="6">
                  <c:v>5.2824585889075383E-2</c:v>
                </c:pt>
                <c:pt idx="7">
                  <c:v>9.8543129619864403E-2</c:v>
                </c:pt>
                <c:pt idx="8">
                  <c:v>0.19944306501273401</c:v>
                </c:pt>
                <c:pt idx="9">
                  <c:v>0.42406509845629403</c:v>
                </c:pt>
                <c:pt idx="10">
                  <c:v>0.69867323450161778</c:v>
                </c:pt>
                <c:pt idx="11">
                  <c:v>0.91724646711066593</c:v>
                </c:pt>
                <c:pt idx="12">
                  <c:v>1</c:v>
                </c:pt>
                <c:pt idx="13">
                  <c:v>0.84822334102359809</c:v>
                </c:pt>
                <c:pt idx="14">
                  <c:v>0.57918158611432835</c:v>
                </c:pt>
                <c:pt idx="15">
                  <c:v>0.31960267913634993</c:v>
                </c:pt>
                <c:pt idx="16">
                  <c:v>0.15320499237591328</c:v>
                </c:pt>
                <c:pt idx="17">
                  <c:v>7.0970988392610956E-2</c:v>
                </c:pt>
                <c:pt idx="18">
                  <c:v>2.9408675910075482E-2</c:v>
                </c:pt>
                <c:pt idx="19">
                  <c:v>1.2709532501913907E-2</c:v>
                </c:pt>
                <c:pt idx="20">
                  <c:v>2.8533269703412078E-3</c:v>
                </c:pt>
                <c:pt idx="21">
                  <c:v>7.7892226697180342E-4</c:v>
                </c:pt>
              </c:numCache>
            </c:numRef>
          </c:yVal>
          <c:smooth val="0"/>
          <c:extLst>
            <c:ext xmlns:c16="http://schemas.microsoft.com/office/drawing/2014/chart" uri="{C3380CC4-5D6E-409C-BE32-E72D297353CC}">
              <c16:uniqueId val="{00000000-F024-429E-B029-BCDFE33A155B}"/>
            </c:ext>
          </c:extLst>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'R02'!$L$23:$L$24</c:f>
              <c:numCache>
                <c:formatCode>0.00</c:formatCode>
                <c:ptCount val="2"/>
                <c:pt idx="0">
                  <c:v>-167.73329411286727</c:v>
                </c:pt>
                <c:pt idx="1">
                  <c:v>167.73329411286716</c:v>
                </c:pt>
              </c:numCache>
            </c:numRef>
          </c:xVal>
          <c:yVal>
            <c:numRef>
              <c:f>'R02'!$M$23:$M$24</c:f>
              <c:numCache>
                <c:formatCode>0.00</c:formatCode>
                <c:ptCount val="2"/>
                <c:pt idx="0">
                  <c:v>0.5</c:v>
                </c:pt>
                <c:pt idx="1">
                  <c:v>0.5</c:v>
                </c:pt>
              </c:numCache>
            </c:numRef>
          </c:yVal>
          <c:smooth val="0"/>
          <c:extLst>
            <c:ext xmlns:c16="http://schemas.microsoft.com/office/drawing/2014/chart" uri="{C3380CC4-5D6E-409C-BE32-E72D297353CC}">
              <c16:uniqueId val="{00000001-F024-429E-B029-BCDFE33A155B}"/>
            </c:ext>
          </c:extLst>
        </c:ser>
        <c:dLbls>
          <c:showLegendKey val="0"/>
          <c:showVal val="0"/>
          <c:showCatName val="0"/>
          <c:showSerName val="0"/>
          <c:showPercent val="0"/>
          <c:showBubbleSize val="0"/>
        </c:dLbls>
        <c:axId val="50050001"/>
        <c:axId val="50050002"/>
      </c:scatterChart>
      <c:valAx>
        <c:axId val="50050001"/>
        <c:scaling>
          <c:orientation val="minMax"/>
        </c:scaling>
        <c:delete val="0"/>
        <c:axPos val="b"/>
        <c:title>
          <c:tx>
            <c:rich>
              <a:bodyPr/>
              <a:lstStyle/>
              <a:p>
                <a:pPr>
                  <a:defRPr/>
                </a:pPr>
                <a:r>
                  <a:rPr lang="en-US"/>
                  <a:t>Retardo respecto al centro (fs)</a:t>
                </a:r>
              </a:p>
            </c:rich>
          </c:tx>
          <c:overlay val="0"/>
        </c:title>
        <c:numFmt formatCode="0.00" sourceLinked="1"/>
        <c:majorTickMark val="out"/>
        <c:minorTickMark val="none"/>
        <c:tickLblPos val="nextTo"/>
        <c:crossAx val="50050002"/>
        <c:crosses val="autoZero"/>
        <c:crossBetween val="midCat"/>
      </c:valAx>
      <c:valAx>
        <c:axId val="50050002"/>
        <c:scaling>
          <c:orientation val="minMax"/>
          <c:max val="1.1000000000000001"/>
          <c:min val="-0.1"/>
        </c:scaling>
        <c:delete val="0"/>
        <c:axPos val="l"/>
        <c:majorGridlines>
          <c:spPr>
            <a:ln>
              <a:solidFill>
                <a:srgbClr val="EEEEEE"/>
              </a:solidFill>
            </a:ln>
          </c:spPr>
        </c:majorGridlines>
        <c:title>
          <c:tx>
            <c:rich>
              <a:bodyPr rot="-5400000" vert="horz"/>
              <a:lstStyle/>
              <a:p>
                <a:pPr>
                  <a:defRPr/>
                </a:pPr>
                <a:r>
                  <a:rPr lang="en-US"/>
                  <a:t>Señal normalizada</a:t>
                </a:r>
              </a:p>
            </c:rich>
          </c:tx>
          <c:overlay val="0"/>
        </c:title>
        <c:numFmt formatCode="0.0000" sourceLinked="1"/>
        <c:majorTickMark val="out"/>
        <c:minorTickMark val="none"/>
        <c:tickLblPos val="nextTo"/>
        <c:crossAx val="50050001"/>
        <c:crosses val="autoZero"/>
        <c:crossBetween val="midCat"/>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Traza cruda: potencia óptica contra posición</a:t>
            </a:r>
          </a:p>
        </c:rich>
      </c:tx>
      <c:overlay val="0"/>
    </c:title>
    <c:autoTitleDeleted val="0"/>
    <c:plotArea>
      <c:layout/>
      <c:scatterChart>
        <c:scatterStyle val="lineMarker"/>
        <c:varyColors val="0"/>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'R03'!$A$2:$A$23</c:f>
              <c:numCache>
                <c:formatCode>0</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'R03'!$B$2:$B$23</c:f>
              <c:numCache>
                <c:formatCode>0.000E+00</c:formatCode>
                <c:ptCount val="22"/>
                <c:pt idx="0">
                  <c:v>1.356E-7</c:v>
                </c:pt>
                <c:pt idx="1">
                  <c:v>1.076E-7</c:v>
                </c:pt>
                <c:pt idx="2">
                  <c:v>1.356E-7</c:v>
                </c:pt>
                <c:pt idx="3">
                  <c:v>3.0339999999999998E-7</c:v>
                </c:pt>
                <c:pt idx="4">
                  <c:v>4.0120000000000002E-7</c:v>
                </c:pt>
                <c:pt idx="5">
                  <c:v>8.0879999999999999E-7</c:v>
                </c:pt>
                <c:pt idx="6">
                  <c:v>1.5379999999999999E-6</c:v>
                </c:pt>
                <c:pt idx="7">
                  <c:v>2.8119999999999999E-6</c:v>
                </c:pt>
                <c:pt idx="8">
                  <c:v>6.1630000000000001E-6</c:v>
                </c:pt>
                <c:pt idx="9">
                  <c:v>1.149E-5</c:v>
                </c:pt>
                <c:pt idx="10">
                  <c:v>1.9809999999999998E-5</c:v>
                </c:pt>
                <c:pt idx="11">
                  <c:v>2.544E-5</c:v>
                </c:pt>
                <c:pt idx="12">
                  <c:v>2.6809999999999999E-5</c:v>
                </c:pt>
                <c:pt idx="13">
                  <c:v>2.3289999999999999E-5</c:v>
                </c:pt>
                <c:pt idx="14">
                  <c:v>1.5150000000000001E-5</c:v>
                </c:pt>
                <c:pt idx="15">
                  <c:v>8.3780000000000001E-6</c:v>
                </c:pt>
                <c:pt idx="16">
                  <c:v>3.9620000000000004E-6</c:v>
                </c:pt>
                <c:pt idx="17">
                  <c:v>2.013E-6</c:v>
                </c:pt>
                <c:pt idx="18">
                  <c:v>9.4860000000000001E-7</c:v>
                </c:pt>
                <c:pt idx="19">
                  <c:v>2.7539999999999999E-7</c:v>
                </c:pt>
                <c:pt idx="20">
                  <c:v>1.216E-7</c:v>
                </c:pt>
                <c:pt idx="21">
                  <c:v>1.356E-7</c:v>
                </c:pt>
              </c:numCache>
            </c:numRef>
          </c:yVal>
          <c:smooth val="0"/>
          <c:extLst>
            <c:ext xmlns:c16="http://schemas.microsoft.com/office/drawing/2014/chart" uri="{C3380CC4-5D6E-409C-BE32-E72D297353CC}">
              <c16:uniqueId val="{00000000-0CC0-48AA-8190-8109E915221B}"/>
            </c:ext>
          </c:extLst>
        </c:ser>
        <c:dLbls>
          <c:showLegendKey val="0"/>
          <c:showVal val="0"/>
          <c:showCatName val="0"/>
          <c:showSerName val="0"/>
          <c:showPercent val="0"/>
          <c:showBubbleSize val="0"/>
        </c:dLbls>
        <c:axId val="50060001"/>
        <c:axId val="50060002"/>
      </c:scatterChart>
      <c:valAx>
        <c:axId val="50060001"/>
        <c:scaling>
          <c:orientation val="minMax"/>
          <c:max val="210"/>
          <c:min val="0"/>
        </c:scaling>
        <c:delete val="0"/>
        <c:axPos val="b"/>
        <c:title>
          <c:tx>
            <c:rich>
              <a:bodyPr/>
              <a:lstStyle/>
              <a:p>
                <a:pPr>
                  <a:defRPr/>
                </a:pPr>
                <a:r>
                  <a:rPr lang="en-US"/>
                  <a:t>Posición del micrómetro (µm)</a:t>
                </a:r>
              </a:p>
            </c:rich>
          </c:tx>
          <c:overlay val="0"/>
        </c:title>
        <c:numFmt formatCode="0" sourceLinked="1"/>
        <c:majorTickMark val="out"/>
        <c:minorTickMark val="none"/>
        <c:tickLblPos val="nextTo"/>
        <c:crossAx val="50060002"/>
        <c:crosses val="autoZero"/>
        <c:crossBetween val="midCat"/>
      </c:valAx>
      <c:valAx>
        <c:axId val="50060002"/>
        <c:scaling>
          <c:orientation val="minMax"/>
        </c:scaling>
        <c:delete val="0"/>
        <c:axPos val="l"/>
        <c:majorGridlines>
          <c:spPr>
            <a:ln>
              <a:solidFill>
                <a:srgbClr val="EEEEEE"/>
              </a:solidFill>
            </a:ln>
          </c:spPr>
        </c:majorGridlines>
        <c:title>
          <c:tx>
            <c:rich>
              <a:bodyPr rot="-5400000" vert="horz"/>
              <a:lstStyle/>
              <a:p>
                <a:pPr>
                  <a:defRPr/>
                </a:pPr>
                <a:r>
                  <a:rPr lang="en-US"/>
                  <a:t>Potencia óptica (W)</a:t>
                </a:r>
              </a:p>
            </c:rich>
          </c:tx>
          <c:overlay val="0"/>
        </c:title>
        <c:numFmt formatCode="0.0E+00" sourceLinked="0"/>
        <c:majorTickMark val="out"/>
        <c:minorTickMark val="none"/>
        <c:tickLblPos val="nextTo"/>
        <c:crossAx val="50060001"/>
        <c:crosses val="autoZero"/>
        <c:crossBetween val="midCat"/>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Autocorrelación normalizada contra retardo</a:t>
            </a:r>
          </a:p>
        </c:rich>
      </c:tx>
      <c:overlay val="0"/>
    </c:title>
    <c:autoTitleDeleted val="0"/>
    <c:plotArea>
      <c:layout/>
      <c:scatterChart>
        <c:scatterStyle val="lineMarker"/>
        <c:varyColors val="0"/>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'R03'!$I$2:$I$23</c:f>
              <c:numCache>
                <c:formatCode>0.00</c:formatCode>
                <c:ptCount val="22"/>
                <c:pt idx="0">
                  <c:v>-783.4129173678682</c:v>
                </c:pt>
                <c:pt idx="1">
                  <c:v>-716.7000983282378</c:v>
                </c:pt>
                <c:pt idx="2">
                  <c:v>-649.9872792886074</c:v>
                </c:pt>
                <c:pt idx="3">
                  <c:v>-583.27446024897699</c:v>
                </c:pt>
                <c:pt idx="4">
                  <c:v>-516.56164120934659</c:v>
                </c:pt>
                <c:pt idx="5">
                  <c:v>-449.84882216971619</c:v>
                </c:pt>
                <c:pt idx="6">
                  <c:v>-383.13600313008573</c:v>
                </c:pt>
                <c:pt idx="7">
                  <c:v>-316.42318409045532</c:v>
                </c:pt>
                <c:pt idx="8">
                  <c:v>-249.71036505082498</c:v>
                </c:pt>
                <c:pt idx="9">
                  <c:v>-182.99754601119457</c:v>
                </c:pt>
                <c:pt idx="10">
                  <c:v>-116.28472697156417</c:v>
                </c:pt>
                <c:pt idx="11">
                  <c:v>-49.571907931933652</c:v>
                </c:pt>
                <c:pt idx="12">
                  <c:v>17.140911107696752</c:v>
                </c:pt>
                <c:pt idx="13">
                  <c:v>83.853730147327155</c:v>
                </c:pt>
                <c:pt idx="14">
                  <c:v>150.56654918695756</c:v>
                </c:pt>
                <c:pt idx="15">
                  <c:v>217.27936822658796</c:v>
                </c:pt>
                <c:pt idx="16">
                  <c:v>283.99218726621825</c:v>
                </c:pt>
                <c:pt idx="17">
                  <c:v>350.70500630584866</c:v>
                </c:pt>
                <c:pt idx="18">
                  <c:v>417.41782534547906</c:v>
                </c:pt>
                <c:pt idx="19">
                  <c:v>484.13064438510946</c:v>
                </c:pt>
                <c:pt idx="20">
                  <c:v>550.84346342473987</c:v>
                </c:pt>
                <c:pt idx="21">
                  <c:v>617.55628246437027</c:v>
                </c:pt>
              </c:numCache>
            </c:numRef>
          </c:xVal>
          <c:yVal>
            <c:numRef>
              <c:f>'R03'!$J$2:$J$23</c:f>
              <c:numCache>
                <c:formatCode>0.0000</c:formatCode>
                <c:ptCount val="22"/>
                <c:pt idx="0">
                  <c:v>3.9348095739538073E-4</c:v>
                </c:pt>
                <c:pt idx="1">
                  <c:v>-6.5580159565896835E-4</c:v>
                </c:pt>
                <c:pt idx="2">
                  <c:v>3.9348095739538073E-4</c:v>
                </c:pt>
                <c:pt idx="3">
                  <c:v>6.6816814003425153E-3</c:v>
                </c:pt>
                <c:pt idx="4">
                  <c:v>1.0346675460653779E-2</c:v>
                </c:pt>
                <c:pt idx="5">
                  <c:v>2.5621231482973517E-2</c:v>
                </c:pt>
                <c:pt idx="6">
                  <c:v>5.2947547114660348E-2</c:v>
                </c:pt>
                <c:pt idx="7">
                  <c:v>0.10068990327863324</c:v>
                </c:pt>
                <c:pt idx="8">
                  <c:v>0.22626654025310194</c:v>
                </c:pt>
                <c:pt idx="9">
                  <c:v>0.42589254597169185</c:v>
                </c:pt>
                <c:pt idx="10">
                  <c:v>0.73767936173641269</c:v>
                </c:pt>
                <c:pt idx="11">
                  <c:v>0.94866010365412656</c:v>
                </c:pt>
                <c:pt idx="12">
                  <c:v>1</c:v>
                </c:pt>
                <c:pt idx="13">
                  <c:v>0.86809019333031034</c:v>
                </c:pt>
                <c:pt idx="14">
                  <c:v>0.56304876540665327</c:v>
                </c:pt>
                <c:pt idx="15">
                  <c:v>0.30927228507507992</c:v>
                </c:pt>
                <c:pt idx="16">
                  <c:v>0.14378543670765118</c:v>
                </c:pt>
                <c:pt idx="17">
                  <c:v>7.0747876139689483E-2</c:v>
                </c:pt>
                <c:pt idx="18">
                  <c:v>3.0860149372866304E-2</c:v>
                </c:pt>
                <c:pt idx="19">
                  <c:v>5.6323988472881661E-3</c:v>
                </c:pt>
                <c:pt idx="20">
                  <c:v>-1.3116031913179357E-4</c:v>
                </c:pt>
                <c:pt idx="21">
                  <c:v>3.9348095739538073E-4</c:v>
                </c:pt>
              </c:numCache>
            </c:numRef>
          </c:yVal>
          <c:smooth val="0"/>
          <c:extLst>
            <c:ext xmlns:c16="http://schemas.microsoft.com/office/drawing/2014/chart" uri="{C3380CC4-5D6E-409C-BE32-E72D297353CC}">
              <c16:uniqueId val="{00000000-870C-44A0-A1A9-ACE48A312F1D}"/>
            </c:ext>
          </c:extLst>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'R03'!$L$23:$L$24</c:f>
              <c:numCache>
                <c:formatCode>0.00</c:formatCode>
                <c:ptCount val="2"/>
                <c:pt idx="0">
                  <c:v>-167.14082301938913</c:v>
                </c:pt>
                <c:pt idx="1">
                  <c:v>167.14082301938913</c:v>
                </c:pt>
              </c:numCache>
            </c:numRef>
          </c:xVal>
          <c:yVal>
            <c:numRef>
              <c:f>'R03'!$M$23:$M$24</c:f>
              <c:numCache>
                <c:formatCode>0.00</c:formatCode>
                <c:ptCount val="2"/>
                <c:pt idx="0">
                  <c:v>0.5</c:v>
                </c:pt>
                <c:pt idx="1">
                  <c:v>0.5</c:v>
                </c:pt>
              </c:numCache>
            </c:numRef>
          </c:yVal>
          <c:smooth val="0"/>
          <c:extLst>
            <c:ext xmlns:c16="http://schemas.microsoft.com/office/drawing/2014/chart" uri="{C3380CC4-5D6E-409C-BE32-E72D297353CC}">
              <c16:uniqueId val="{00000001-870C-44A0-A1A9-ACE48A312F1D}"/>
            </c:ext>
          </c:extLst>
        </c:ser>
        <c:dLbls>
          <c:showLegendKey val="0"/>
          <c:showVal val="0"/>
          <c:showCatName val="0"/>
          <c:showSerName val="0"/>
          <c:showPercent val="0"/>
          <c:showBubbleSize val="0"/>
        </c:dLbls>
        <c:axId val="50070001"/>
        <c:axId val="50070002"/>
      </c:scatterChart>
      <c:valAx>
        <c:axId val="50070001"/>
        <c:scaling>
          <c:orientation val="minMax"/>
        </c:scaling>
        <c:delete val="0"/>
        <c:axPos val="b"/>
        <c:title>
          <c:tx>
            <c:rich>
              <a:bodyPr/>
              <a:lstStyle/>
              <a:p>
                <a:pPr>
                  <a:defRPr/>
                </a:pPr>
                <a:r>
                  <a:rPr lang="en-US"/>
                  <a:t>Retardo respecto al centro (fs)</a:t>
                </a:r>
              </a:p>
            </c:rich>
          </c:tx>
          <c:overlay val="0"/>
        </c:title>
        <c:numFmt formatCode="0.00" sourceLinked="1"/>
        <c:majorTickMark val="out"/>
        <c:minorTickMark val="none"/>
        <c:tickLblPos val="nextTo"/>
        <c:crossAx val="50070002"/>
        <c:crosses val="autoZero"/>
        <c:crossBetween val="midCat"/>
      </c:valAx>
      <c:valAx>
        <c:axId val="50070002"/>
        <c:scaling>
          <c:orientation val="minMax"/>
          <c:max val="1.1000000000000001"/>
          <c:min val="-0.1"/>
        </c:scaling>
        <c:delete val="0"/>
        <c:axPos val="l"/>
        <c:majorGridlines>
          <c:spPr>
            <a:ln>
              <a:solidFill>
                <a:srgbClr val="EEEEEE"/>
              </a:solidFill>
            </a:ln>
          </c:spPr>
        </c:majorGridlines>
        <c:title>
          <c:tx>
            <c:rich>
              <a:bodyPr rot="-5400000" vert="horz"/>
              <a:lstStyle/>
              <a:p>
                <a:pPr>
                  <a:defRPr/>
                </a:pPr>
                <a:r>
                  <a:rPr lang="en-US"/>
                  <a:t>Señal normalizada</a:t>
                </a:r>
              </a:p>
            </c:rich>
          </c:tx>
          <c:overlay val="0"/>
        </c:title>
        <c:numFmt formatCode="0.0000" sourceLinked="1"/>
        <c:majorTickMark val="out"/>
        <c:minorTickMark val="none"/>
        <c:tickLblPos val="nextTo"/>
        <c:crossAx val="50070001"/>
        <c:crosses val="autoZero"/>
        <c:crossBetween val="midCat"/>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Traza cruda: potencia óptica contra posición</a:t>
            </a:r>
          </a:p>
        </c:rich>
      </c:tx>
      <c:overlay val="0"/>
    </c:title>
    <c:autoTitleDeleted val="0"/>
    <c:plotArea>
      <c:layout/>
      <c:scatterChart>
        <c:scatterStyle val="lineMarker"/>
        <c:varyColors val="0"/>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'R04'!$A$2:$A$23</c:f>
              <c:numCache>
                <c:formatCode>0</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'R04'!$B$2:$B$23</c:f>
              <c:numCache>
                <c:formatCode>0.000E+00</c:formatCode>
                <c:ptCount val="22"/>
                <c:pt idx="0">
                  <c:v>-1.3010000000000001E-7</c:v>
                </c:pt>
                <c:pt idx="1">
                  <c:v>-4.2370000000000002E-9</c:v>
                </c:pt>
                <c:pt idx="2">
                  <c:v>-4.2370000000000002E-9</c:v>
                </c:pt>
                <c:pt idx="3">
                  <c:v>1.356E-7</c:v>
                </c:pt>
                <c:pt idx="4">
                  <c:v>2.7539999999999999E-7</c:v>
                </c:pt>
                <c:pt idx="5">
                  <c:v>8.3679999999999998E-7</c:v>
                </c:pt>
                <c:pt idx="6">
                  <c:v>1.2559999999999999E-6</c:v>
                </c:pt>
                <c:pt idx="7">
                  <c:v>2.8119999999999999E-6</c:v>
                </c:pt>
                <c:pt idx="8">
                  <c:v>5.6149999999999996E-6</c:v>
                </c:pt>
                <c:pt idx="9">
                  <c:v>1.164E-5</c:v>
                </c:pt>
                <c:pt idx="10">
                  <c:v>1.9979999999999998E-5</c:v>
                </c:pt>
                <c:pt idx="11">
                  <c:v>2.5510000000000001E-5</c:v>
                </c:pt>
                <c:pt idx="12">
                  <c:v>2.7339999999999999E-5</c:v>
                </c:pt>
                <c:pt idx="13">
                  <c:v>2.2419999999999999E-5</c:v>
                </c:pt>
                <c:pt idx="14">
                  <c:v>1.5130000000000001E-5</c:v>
                </c:pt>
                <c:pt idx="15">
                  <c:v>8.3210000000000005E-6</c:v>
                </c:pt>
                <c:pt idx="16">
                  <c:v>4.0609999999999997E-6</c:v>
                </c:pt>
                <c:pt idx="17">
                  <c:v>1.116E-6</c:v>
                </c:pt>
                <c:pt idx="18">
                  <c:v>2.3730000000000001E-8</c:v>
                </c:pt>
                <c:pt idx="19">
                  <c:v>-3.2790000000000002E-7</c:v>
                </c:pt>
                <c:pt idx="20">
                  <c:v>-6.4949999999999999E-7</c:v>
                </c:pt>
                <c:pt idx="21">
                  <c:v>-7.6130000000000002E-7</c:v>
                </c:pt>
              </c:numCache>
            </c:numRef>
          </c:yVal>
          <c:smooth val="0"/>
          <c:extLst>
            <c:ext xmlns:c16="http://schemas.microsoft.com/office/drawing/2014/chart" uri="{C3380CC4-5D6E-409C-BE32-E72D297353CC}">
              <c16:uniqueId val="{00000000-DD18-48E9-BFAB-B0D169C2B3FB}"/>
            </c:ext>
          </c:extLst>
        </c:ser>
        <c:dLbls>
          <c:showLegendKey val="0"/>
          <c:showVal val="0"/>
          <c:showCatName val="0"/>
          <c:showSerName val="0"/>
          <c:showPercent val="0"/>
          <c:showBubbleSize val="0"/>
        </c:dLbls>
        <c:axId val="50080001"/>
        <c:axId val="50080002"/>
      </c:scatterChart>
      <c:valAx>
        <c:axId val="50080001"/>
        <c:scaling>
          <c:orientation val="minMax"/>
          <c:max val="210"/>
          <c:min val="0"/>
        </c:scaling>
        <c:delete val="0"/>
        <c:axPos val="b"/>
        <c:title>
          <c:tx>
            <c:rich>
              <a:bodyPr/>
              <a:lstStyle/>
              <a:p>
                <a:pPr>
                  <a:defRPr/>
                </a:pPr>
                <a:r>
                  <a:rPr lang="en-US"/>
                  <a:t>Posición del micrómetro (µm)</a:t>
                </a:r>
              </a:p>
            </c:rich>
          </c:tx>
          <c:overlay val="0"/>
        </c:title>
        <c:numFmt formatCode="0" sourceLinked="1"/>
        <c:majorTickMark val="out"/>
        <c:minorTickMark val="none"/>
        <c:tickLblPos val="nextTo"/>
        <c:crossAx val="50080002"/>
        <c:crosses val="autoZero"/>
        <c:crossBetween val="midCat"/>
      </c:valAx>
      <c:valAx>
        <c:axId val="50080002"/>
        <c:scaling>
          <c:orientation val="minMax"/>
        </c:scaling>
        <c:delete val="0"/>
        <c:axPos val="l"/>
        <c:majorGridlines>
          <c:spPr>
            <a:ln>
              <a:solidFill>
                <a:srgbClr val="EEEEEE"/>
              </a:solidFill>
            </a:ln>
          </c:spPr>
        </c:majorGridlines>
        <c:title>
          <c:tx>
            <c:rich>
              <a:bodyPr rot="-5400000" vert="horz"/>
              <a:lstStyle/>
              <a:p>
                <a:pPr>
                  <a:defRPr/>
                </a:pPr>
                <a:r>
                  <a:rPr lang="en-US"/>
                  <a:t>Potencia óptica (W)</a:t>
                </a:r>
              </a:p>
            </c:rich>
          </c:tx>
          <c:overlay val="0"/>
        </c:title>
        <c:numFmt formatCode="0.0E+00" sourceLinked="0"/>
        <c:majorTickMark val="out"/>
        <c:minorTickMark val="none"/>
        <c:tickLblPos val="nextTo"/>
        <c:crossAx val="50080001"/>
        <c:crosses val="autoZero"/>
        <c:crossBetween val="midCat"/>
      </c:valAx>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Autocorrelación normalizada contra retardo</a:t>
            </a:r>
          </a:p>
        </c:rich>
      </c:tx>
      <c:overlay val="0"/>
    </c:title>
    <c:autoTitleDeleted val="0"/>
    <c:plotArea>
      <c:layout/>
      <c:scatterChart>
        <c:scatterStyle val="lineMarker"/>
        <c:varyColors val="0"/>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'R04'!$I$2:$I$23</c:f>
              <c:numCache>
                <c:formatCode>0.00</c:formatCode>
                <c:ptCount val="22"/>
                <c:pt idx="0">
                  <c:v>-782.64258892190753</c:v>
                </c:pt>
                <c:pt idx="1">
                  <c:v>-715.92976988227713</c:v>
                </c:pt>
                <c:pt idx="2">
                  <c:v>-649.21695084264672</c:v>
                </c:pt>
                <c:pt idx="3">
                  <c:v>-582.50413180301632</c:v>
                </c:pt>
                <c:pt idx="4">
                  <c:v>-515.79131276338592</c:v>
                </c:pt>
                <c:pt idx="5">
                  <c:v>-449.07849372375551</c:v>
                </c:pt>
                <c:pt idx="6">
                  <c:v>-382.36567468412505</c:v>
                </c:pt>
                <c:pt idx="7">
                  <c:v>-315.65285564449465</c:v>
                </c:pt>
                <c:pt idx="8">
                  <c:v>-248.9400366048643</c:v>
                </c:pt>
                <c:pt idx="9">
                  <c:v>-182.2272175652339</c:v>
                </c:pt>
                <c:pt idx="10">
                  <c:v>-115.5143985256035</c:v>
                </c:pt>
                <c:pt idx="11">
                  <c:v>-48.801579485972979</c:v>
                </c:pt>
                <c:pt idx="12">
                  <c:v>17.911239553657424</c:v>
                </c:pt>
                <c:pt idx="13">
                  <c:v>84.624058593287828</c:v>
                </c:pt>
                <c:pt idx="14">
                  <c:v>151.33687763291823</c:v>
                </c:pt>
                <c:pt idx="15">
                  <c:v>218.04969667254863</c:v>
                </c:pt>
                <c:pt idx="16">
                  <c:v>284.76251571217892</c:v>
                </c:pt>
                <c:pt idx="17">
                  <c:v>351.47533475180933</c:v>
                </c:pt>
                <c:pt idx="18">
                  <c:v>418.18815379143973</c:v>
                </c:pt>
                <c:pt idx="19">
                  <c:v>484.90097283107013</c:v>
                </c:pt>
                <c:pt idx="20">
                  <c:v>551.61379187070054</c:v>
                </c:pt>
                <c:pt idx="21">
                  <c:v>618.32661091033094</c:v>
                </c:pt>
              </c:numCache>
            </c:numRef>
          </c:xVal>
          <c:yVal>
            <c:numRef>
              <c:f>'R04'!$J$2:$J$23</c:f>
              <c:numCache>
                <c:formatCode>0.0000</c:formatCode>
                <c:ptCount val="22"/>
                <c:pt idx="0">
                  <c:v>9.2397613647057682E-3</c:v>
                </c:pt>
                <c:pt idx="1">
                  <c:v>1.3779244508755265E-2</c:v>
                </c:pt>
                <c:pt idx="2">
                  <c:v>1.3779244508755265E-2</c:v>
                </c:pt>
                <c:pt idx="3">
                  <c:v>1.8822725948212844E-2</c:v>
                </c:pt>
                <c:pt idx="4">
                  <c:v>2.3864872913866922E-2</c:v>
                </c:pt>
                <c:pt idx="5">
                  <c:v>4.4112807867502123E-2</c:v>
                </c:pt>
                <c:pt idx="6">
                  <c:v>5.9232035392553554E-2</c:v>
                </c:pt>
                <c:pt idx="7">
                  <c:v>0.11535206885863186</c:v>
                </c:pt>
                <c:pt idx="8">
                  <c:v>0.2164474761885917</c:v>
                </c:pt>
                <c:pt idx="9">
                  <c:v>0.43375030500165207</c:v>
                </c:pt>
                <c:pt idx="10">
                  <c:v>0.7345479136823031</c:v>
                </c:pt>
                <c:pt idx="11">
                  <c:v>0.93399764701611621</c:v>
                </c:pt>
                <c:pt idx="12">
                  <c:v>1</c:v>
                </c:pt>
                <c:pt idx="13">
                  <c:v>0.82255105099414827</c:v>
                </c:pt>
                <c:pt idx="14">
                  <c:v>0.55962364484523386</c:v>
                </c:pt>
                <c:pt idx="15">
                  <c:v>0.31404439814181018</c:v>
                </c:pt>
                <c:pt idx="16">
                  <c:v>0.16039957644162148</c:v>
                </c:pt>
                <c:pt idx="17">
                  <c:v>5.4182675054988666E-2</c:v>
                </c:pt>
                <c:pt idx="18">
                  <c:v>1.4787926369902959E-2</c:v>
                </c:pt>
                <c:pt idx="19">
                  <c:v>2.1057365449176639E-3</c:v>
                </c:pt>
                <c:pt idx="20">
                  <c:v>-9.4933654876599612E-3</c:v>
                </c:pt>
                <c:pt idx="21">
                  <c:v>-1.3525640385801065E-2</c:v>
                </c:pt>
              </c:numCache>
            </c:numRef>
          </c:yVal>
          <c:smooth val="0"/>
          <c:extLst>
            <c:ext xmlns:c16="http://schemas.microsoft.com/office/drawing/2014/chart" uri="{C3380CC4-5D6E-409C-BE32-E72D297353CC}">
              <c16:uniqueId val="{00000000-B8A9-4BFF-BC6B-1870CC905B21}"/>
            </c:ext>
          </c:extLst>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'R04'!$L$23:$L$24</c:f>
              <c:numCache>
                <c:formatCode>0.00</c:formatCode>
                <c:ptCount val="2"/>
                <c:pt idx="0">
                  <c:v>-167.53393614840002</c:v>
                </c:pt>
                <c:pt idx="1">
                  <c:v>167.53393614840002</c:v>
                </c:pt>
              </c:numCache>
            </c:numRef>
          </c:xVal>
          <c:yVal>
            <c:numRef>
              <c:f>'R04'!$M$23:$M$24</c:f>
              <c:numCache>
                <c:formatCode>0.00</c:formatCode>
                <c:ptCount val="2"/>
                <c:pt idx="0">
                  <c:v>0.5</c:v>
                </c:pt>
                <c:pt idx="1">
                  <c:v>0.5</c:v>
                </c:pt>
              </c:numCache>
            </c:numRef>
          </c:yVal>
          <c:smooth val="0"/>
          <c:extLst>
            <c:ext xmlns:c16="http://schemas.microsoft.com/office/drawing/2014/chart" uri="{C3380CC4-5D6E-409C-BE32-E72D297353CC}">
              <c16:uniqueId val="{00000001-B8A9-4BFF-BC6B-1870CC905B21}"/>
            </c:ext>
          </c:extLst>
        </c:ser>
        <c:dLbls>
          <c:showLegendKey val="0"/>
          <c:showVal val="0"/>
          <c:showCatName val="0"/>
          <c:showSerName val="0"/>
          <c:showPercent val="0"/>
          <c:showBubbleSize val="0"/>
        </c:dLbls>
        <c:axId val="50090001"/>
        <c:axId val="50090002"/>
      </c:scatterChart>
      <c:valAx>
        <c:axId val="50090001"/>
        <c:scaling>
          <c:orientation val="minMax"/>
        </c:scaling>
        <c:delete val="0"/>
        <c:axPos val="b"/>
        <c:title>
          <c:tx>
            <c:rich>
              <a:bodyPr/>
              <a:lstStyle/>
              <a:p>
                <a:pPr>
                  <a:defRPr/>
                </a:pPr>
                <a:r>
                  <a:rPr lang="en-US"/>
                  <a:t>Retardo respecto al centro (fs)</a:t>
                </a:r>
              </a:p>
            </c:rich>
          </c:tx>
          <c:overlay val="0"/>
        </c:title>
        <c:numFmt formatCode="0.00" sourceLinked="1"/>
        <c:majorTickMark val="out"/>
        <c:minorTickMark val="none"/>
        <c:tickLblPos val="nextTo"/>
        <c:crossAx val="50090002"/>
        <c:crosses val="autoZero"/>
        <c:crossBetween val="midCat"/>
      </c:valAx>
      <c:valAx>
        <c:axId val="50090002"/>
        <c:scaling>
          <c:orientation val="minMax"/>
          <c:max val="1.1000000000000001"/>
          <c:min val="-0.1"/>
        </c:scaling>
        <c:delete val="0"/>
        <c:axPos val="l"/>
        <c:majorGridlines>
          <c:spPr>
            <a:ln>
              <a:solidFill>
                <a:srgbClr val="EEEEEE"/>
              </a:solidFill>
            </a:ln>
          </c:spPr>
        </c:majorGridlines>
        <c:title>
          <c:tx>
            <c:rich>
              <a:bodyPr rot="-5400000" vert="horz"/>
              <a:lstStyle/>
              <a:p>
                <a:pPr>
                  <a:defRPr/>
                </a:pPr>
                <a:r>
                  <a:rPr lang="en-US"/>
                  <a:t>Señal normalizada</a:t>
                </a:r>
              </a:p>
            </c:rich>
          </c:tx>
          <c:overlay val="0"/>
        </c:title>
        <c:numFmt formatCode="0.0000" sourceLinked="1"/>
        <c:majorTickMark val="out"/>
        <c:minorTickMark val="none"/>
        <c:tickLblPos val="nextTo"/>
        <c:crossAx val="50090001"/>
        <c:crosses val="autoZero"/>
        <c:crossBetween val="midCat"/>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Traza cruda: potencia óptica contra posición</a:t>
            </a:r>
          </a:p>
        </c:rich>
      </c:tx>
      <c:overlay val="0"/>
    </c:title>
    <c:autoTitleDeleted val="0"/>
    <c:plotArea>
      <c:layout/>
      <c:scatterChart>
        <c:scatterStyle val="lineMarker"/>
        <c:varyColors val="0"/>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'R05'!$A$2:$A$23</c:f>
              <c:numCache>
                <c:formatCode>0</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'R05'!$B$2:$B$23</c:f>
              <c:numCache>
                <c:formatCode>0.000E+00</c:formatCode>
                <c:ptCount val="22"/>
                <c:pt idx="0">
                  <c:v>0</c:v>
                </c:pt>
                <c:pt idx="1">
                  <c:v>6.9909999999999995E-8</c:v>
                </c:pt>
                <c:pt idx="2">
                  <c:v>1.6780000000000001E-7</c:v>
                </c:pt>
                <c:pt idx="3">
                  <c:v>2.7959999999999999E-7</c:v>
                </c:pt>
                <c:pt idx="4">
                  <c:v>4.0550000000000002E-7</c:v>
                </c:pt>
                <c:pt idx="5">
                  <c:v>6.8700000000000005E-7</c:v>
                </c:pt>
                <c:pt idx="6">
                  <c:v>1.3999999999999999E-6</c:v>
                </c:pt>
                <c:pt idx="7">
                  <c:v>3.0680000000000001E-6</c:v>
                </c:pt>
                <c:pt idx="8">
                  <c:v>6.1670000000000004E-6</c:v>
                </c:pt>
                <c:pt idx="9">
                  <c:v>1.1909999999999999E-5</c:v>
                </c:pt>
                <c:pt idx="10">
                  <c:v>2.0509999999999998E-5</c:v>
                </c:pt>
                <c:pt idx="11">
                  <c:v>2.6769999999999999E-5</c:v>
                </c:pt>
                <c:pt idx="12">
                  <c:v>2.7780000000000002E-5</c:v>
                </c:pt>
                <c:pt idx="13">
                  <c:v>2.3949999999999999E-5</c:v>
                </c:pt>
                <c:pt idx="14">
                  <c:v>1.6569999999999999E-5</c:v>
                </c:pt>
                <c:pt idx="15">
                  <c:v>8.4519999999999997E-6</c:v>
                </c:pt>
                <c:pt idx="16">
                  <c:v>4.3170000000000003E-6</c:v>
                </c:pt>
                <c:pt idx="17">
                  <c:v>2.1019999999999999E-6</c:v>
                </c:pt>
                <c:pt idx="18">
                  <c:v>1.1349999999999999E-6</c:v>
                </c:pt>
                <c:pt idx="19">
                  <c:v>6.8700000000000005E-7</c:v>
                </c:pt>
                <c:pt idx="20">
                  <c:v>4.1940000000000001E-7</c:v>
                </c:pt>
                <c:pt idx="21">
                  <c:v>2.5170000000000001E-7</c:v>
                </c:pt>
              </c:numCache>
            </c:numRef>
          </c:yVal>
          <c:smooth val="0"/>
          <c:extLst>
            <c:ext xmlns:c16="http://schemas.microsoft.com/office/drawing/2014/chart" uri="{C3380CC4-5D6E-409C-BE32-E72D297353CC}">
              <c16:uniqueId val="{00000000-1533-4D4A-A165-5F55E3625419}"/>
            </c:ext>
          </c:extLst>
        </c:ser>
        <c:dLbls>
          <c:showLegendKey val="0"/>
          <c:showVal val="0"/>
          <c:showCatName val="0"/>
          <c:showSerName val="0"/>
          <c:showPercent val="0"/>
          <c:showBubbleSize val="0"/>
        </c:dLbls>
        <c:axId val="50100001"/>
        <c:axId val="50100002"/>
      </c:scatterChart>
      <c:valAx>
        <c:axId val="50100001"/>
        <c:scaling>
          <c:orientation val="minMax"/>
          <c:max val="210"/>
          <c:min val="0"/>
        </c:scaling>
        <c:delete val="0"/>
        <c:axPos val="b"/>
        <c:title>
          <c:tx>
            <c:rich>
              <a:bodyPr/>
              <a:lstStyle/>
              <a:p>
                <a:pPr>
                  <a:defRPr/>
                </a:pPr>
                <a:r>
                  <a:rPr lang="en-US"/>
                  <a:t>Posición del micrómetro (µm)</a:t>
                </a:r>
              </a:p>
            </c:rich>
          </c:tx>
          <c:overlay val="0"/>
        </c:title>
        <c:numFmt formatCode="0" sourceLinked="1"/>
        <c:majorTickMark val="out"/>
        <c:minorTickMark val="none"/>
        <c:tickLblPos val="nextTo"/>
        <c:crossAx val="50100002"/>
        <c:crosses val="autoZero"/>
        <c:crossBetween val="midCat"/>
      </c:valAx>
      <c:valAx>
        <c:axId val="50100002"/>
        <c:scaling>
          <c:orientation val="minMax"/>
        </c:scaling>
        <c:delete val="0"/>
        <c:axPos val="l"/>
        <c:majorGridlines>
          <c:spPr>
            <a:ln>
              <a:solidFill>
                <a:srgbClr val="EEEEEE"/>
              </a:solidFill>
            </a:ln>
          </c:spPr>
        </c:majorGridlines>
        <c:title>
          <c:tx>
            <c:rich>
              <a:bodyPr rot="-5400000" vert="horz"/>
              <a:lstStyle/>
              <a:p>
                <a:pPr>
                  <a:defRPr/>
                </a:pPr>
                <a:r>
                  <a:rPr lang="en-US"/>
                  <a:t>Potencia óptica (W)</a:t>
                </a:r>
              </a:p>
            </c:rich>
          </c:tx>
          <c:overlay val="0"/>
        </c:title>
        <c:numFmt formatCode="0.0E+00" sourceLinked="0"/>
        <c:majorTickMark val="out"/>
        <c:minorTickMark val="none"/>
        <c:tickLblPos val="nextTo"/>
        <c:crossAx val="50100001"/>
        <c:crosses val="autoZero"/>
        <c:crossBetween val="midCat"/>
      </c:valAx>
    </c:plotArea>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Autocorrelación normalizada contra retardo</a:t>
            </a:r>
          </a:p>
        </c:rich>
      </c:tx>
      <c:overlay val="0"/>
    </c:title>
    <c:autoTitleDeleted val="0"/>
    <c:plotArea>
      <c:layout/>
      <c:scatterChart>
        <c:scatterStyle val="lineMarker"/>
        <c:varyColors val="0"/>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'R05'!$I$2:$I$23</c:f>
              <c:numCache>
                <c:formatCode>0.00</c:formatCode>
                <c:ptCount val="22"/>
                <c:pt idx="0">
                  <c:v>-785.86778998864565</c:v>
                </c:pt>
                <c:pt idx="1">
                  <c:v>-719.15497094901525</c:v>
                </c:pt>
                <c:pt idx="2">
                  <c:v>-652.44215190938485</c:v>
                </c:pt>
                <c:pt idx="3">
                  <c:v>-585.72933286975444</c:v>
                </c:pt>
                <c:pt idx="4">
                  <c:v>-519.01651383012404</c:v>
                </c:pt>
                <c:pt idx="5">
                  <c:v>-452.30369479049364</c:v>
                </c:pt>
                <c:pt idx="6">
                  <c:v>-385.59087575086318</c:v>
                </c:pt>
                <c:pt idx="7">
                  <c:v>-318.87805671123277</c:v>
                </c:pt>
                <c:pt idx="8">
                  <c:v>-252.16523767160243</c:v>
                </c:pt>
                <c:pt idx="9">
                  <c:v>-185.45241863197202</c:v>
                </c:pt>
                <c:pt idx="10">
                  <c:v>-118.73959959234162</c:v>
                </c:pt>
                <c:pt idx="11">
                  <c:v>-52.026780552711102</c:v>
                </c:pt>
                <c:pt idx="12">
                  <c:v>14.686038486919301</c:v>
                </c:pt>
                <c:pt idx="13">
                  <c:v>81.398857526549705</c:v>
                </c:pt>
                <c:pt idx="14">
                  <c:v>148.11167656618011</c:v>
                </c:pt>
                <c:pt idx="15">
                  <c:v>214.82449560581051</c:v>
                </c:pt>
                <c:pt idx="16">
                  <c:v>281.5373146454408</c:v>
                </c:pt>
                <c:pt idx="17">
                  <c:v>348.25013368507121</c:v>
                </c:pt>
                <c:pt idx="18">
                  <c:v>414.96295272470161</c:v>
                </c:pt>
                <c:pt idx="19">
                  <c:v>481.67577176433201</c:v>
                </c:pt>
                <c:pt idx="20">
                  <c:v>548.38859080396242</c:v>
                </c:pt>
                <c:pt idx="21">
                  <c:v>615.10140984359282</c:v>
                </c:pt>
              </c:numCache>
            </c:numRef>
          </c:xVal>
          <c:yVal>
            <c:numRef>
              <c:f>'R05'!$J$2:$J$23</c:f>
              <c:numCache>
                <c:formatCode>0.0000</c:formatCode>
                <c:ptCount val="22"/>
                <c:pt idx="0">
                  <c:v>-6.7133247006518175E-3</c:v>
                </c:pt>
                <c:pt idx="1">
                  <c:v>-4.1798715498302715E-3</c:v>
                </c:pt>
                <c:pt idx="2">
                  <c:v>-6.3245731819071738E-4</c:v>
                </c:pt>
                <c:pt idx="3">
                  <c:v>3.419038351410897E-3</c:v>
                </c:pt>
                <c:pt idx="4">
                  <c:v>7.9815008272860616E-3</c:v>
                </c:pt>
                <c:pt idx="5">
                  <c:v>1.8182717562463653E-2</c:v>
                </c:pt>
                <c:pt idx="6">
                  <c:v>4.4020968120835308E-2</c:v>
                </c:pt>
                <c:pt idx="7">
                  <c:v>0.10446725413957857</c:v>
                </c:pt>
                <c:pt idx="8">
                  <c:v>0.21677123517799901</c:v>
                </c:pt>
                <c:pt idx="9">
                  <c:v>0.42489055208785653</c:v>
                </c:pt>
                <c:pt idx="10">
                  <c:v>0.73654406513413462</c:v>
                </c:pt>
                <c:pt idx="11">
                  <c:v>0.96339883160735562</c:v>
                </c:pt>
                <c:pt idx="12">
                  <c:v>1</c:v>
                </c:pt>
                <c:pt idx="13">
                  <c:v>0.86120547035264583</c:v>
                </c:pt>
                <c:pt idx="14">
                  <c:v>0.59376326962223513</c:v>
                </c:pt>
                <c:pt idx="15">
                  <c:v>0.29957684881878333</c:v>
                </c:pt>
                <c:pt idx="16">
                  <c:v>0.14972949109246245</c:v>
                </c:pt>
                <c:pt idx="17">
                  <c:v>6.9460592092752418E-2</c:v>
                </c:pt>
                <c:pt idx="18">
                  <c:v>3.4417691265339528E-2</c:v>
                </c:pt>
                <c:pt idx="19">
                  <c:v>1.8182717562463653E-2</c:v>
                </c:pt>
                <c:pt idx="20">
                  <c:v>8.4852198774422547E-3</c:v>
                </c:pt>
                <c:pt idx="21">
                  <c:v>2.407976373039833E-3</c:v>
                </c:pt>
              </c:numCache>
            </c:numRef>
          </c:yVal>
          <c:smooth val="0"/>
          <c:extLst>
            <c:ext xmlns:c16="http://schemas.microsoft.com/office/drawing/2014/chart" uri="{C3380CC4-5D6E-409C-BE32-E72D297353CC}">
              <c16:uniqueId val="{00000000-289D-4E09-95BF-5B43045BDC87}"/>
            </c:ext>
          </c:extLst>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'R05'!$L$23:$L$24</c:f>
              <c:numCache>
                <c:formatCode>0.00</c:formatCode>
                <c:ptCount val="2"/>
                <c:pt idx="0">
                  <c:v>-169.37442561417697</c:v>
                </c:pt>
                <c:pt idx="1">
                  <c:v>169.37442561417708</c:v>
                </c:pt>
              </c:numCache>
            </c:numRef>
          </c:xVal>
          <c:yVal>
            <c:numRef>
              <c:f>'R05'!$M$23:$M$24</c:f>
              <c:numCache>
                <c:formatCode>0.00</c:formatCode>
                <c:ptCount val="2"/>
                <c:pt idx="0">
                  <c:v>0.5</c:v>
                </c:pt>
                <c:pt idx="1">
                  <c:v>0.5</c:v>
                </c:pt>
              </c:numCache>
            </c:numRef>
          </c:yVal>
          <c:smooth val="0"/>
          <c:extLst>
            <c:ext xmlns:c16="http://schemas.microsoft.com/office/drawing/2014/chart" uri="{C3380CC4-5D6E-409C-BE32-E72D297353CC}">
              <c16:uniqueId val="{00000001-289D-4E09-95BF-5B43045BDC87}"/>
            </c:ext>
          </c:extLst>
        </c:ser>
        <c:dLbls>
          <c:showLegendKey val="0"/>
          <c:showVal val="0"/>
          <c:showCatName val="0"/>
          <c:showSerName val="0"/>
          <c:showPercent val="0"/>
          <c:showBubbleSize val="0"/>
        </c:dLbls>
        <c:axId val="50110001"/>
        <c:axId val="50110002"/>
      </c:scatterChart>
      <c:valAx>
        <c:axId val="50110001"/>
        <c:scaling>
          <c:orientation val="minMax"/>
        </c:scaling>
        <c:delete val="0"/>
        <c:axPos val="b"/>
        <c:title>
          <c:tx>
            <c:rich>
              <a:bodyPr/>
              <a:lstStyle/>
              <a:p>
                <a:pPr>
                  <a:defRPr/>
                </a:pPr>
                <a:r>
                  <a:rPr lang="en-US"/>
                  <a:t>Retardo respecto al centro (fs)</a:t>
                </a:r>
              </a:p>
            </c:rich>
          </c:tx>
          <c:overlay val="0"/>
        </c:title>
        <c:numFmt formatCode="0.00" sourceLinked="1"/>
        <c:majorTickMark val="out"/>
        <c:minorTickMark val="none"/>
        <c:tickLblPos val="nextTo"/>
        <c:crossAx val="50110002"/>
        <c:crosses val="autoZero"/>
        <c:crossBetween val="midCat"/>
      </c:valAx>
      <c:valAx>
        <c:axId val="50110002"/>
        <c:scaling>
          <c:orientation val="minMax"/>
          <c:max val="1.1000000000000001"/>
          <c:min val="-0.1"/>
        </c:scaling>
        <c:delete val="0"/>
        <c:axPos val="l"/>
        <c:majorGridlines>
          <c:spPr>
            <a:ln>
              <a:solidFill>
                <a:srgbClr val="EEEEEE"/>
              </a:solidFill>
            </a:ln>
          </c:spPr>
        </c:majorGridlines>
        <c:title>
          <c:tx>
            <c:rich>
              <a:bodyPr rot="-5400000" vert="horz"/>
              <a:lstStyle/>
              <a:p>
                <a:pPr>
                  <a:defRPr/>
                </a:pPr>
                <a:r>
                  <a:rPr lang="en-US"/>
                  <a:t>Señal normalizada</a:t>
                </a:r>
              </a:p>
            </c:rich>
          </c:tx>
          <c:overlay val="0"/>
        </c:title>
        <c:numFmt formatCode="0.0000" sourceLinked="1"/>
        <c:majorTickMark val="out"/>
        <c:minorTickMark val="none"/>
        <c:tickLblPos val="nextTo"/>
        <c:crossAx val="50110001"/>
        <c:crosses val="autoZero"/>
        <c:crossBetween val="midCat"/>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Traza cruda: potencia óptica contra posición</a:t>
            </a:r>
          </a:p>
        </c:rich>
      </c:tx>
      <c:overlay val="0"/>
    </c:title>
    <c:autoTitleDeleted val="0"/>
    <c:plotArea>
      <c:layout/>
      <c:scatterChart>
        <c:scatterStyle val="lineMarker"/>
        <c:varyColors val="0"/>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'R06'!$A$2:$A$23</c:f>
              <c:numCache>
                <c:formatCode>0</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'R06'!$B$2:$B$23</c:f>
              <c:numCache>
                <c:formatCode>0.000E+00</c:formatCode>
                <c:ptCount val="22"/>
                <c:pt idx="0">
                  <c:v>1.398E-8</c:v>
                </c:pt>
                <c:pt idx="1">
                  <c:v>1.3979999999999999E-7</c:v>
                </c:pt>
                <c:pt idx="2">
                  <c:v>2.3769999999999999E-7</c:v>
                </c:pt>
                <c:pt idx="3">
                  <c:v>1.6780000000000001E-7</c:v>
                </c:pt>
                <c:pt idx="4">
                  <c:v>4.1940000000000001E-7</c:v>
                </c:pt>
                <c:pt idx="5">
                  <c:v>7.2920000000000004E-7</c:v>
                </c:pt>
                <c:pt idx="6">
                  <c:v>1.514E-6</c:v>
                </c:pt>
                <c:pt idx="7">
                  <c:v>3.0699999999999998E-6</c:v>
                </c:pt>
                <c:pt idx="8">
                  <c:v>6.1670000000000004E-6</c:v>
                </c:pt>
                <c:pt idx="9">
                  <c:v>1.277E-5</c:v>
                </c:pt>
                <c:pt idx="10">
                  <c:v>2.0630000000000001E-5</c:v>
                </c:pt>
                <c:pt idx="11">
                  <c:v>2.6930000000000001E-5</c:v>
                </c:pt>
                <c:pt idx="12">
                  <c:v>2.779E-5</c:v>
                </c:pt>
                <c:pt idx="13">
                  <c:v>2.3830000000000001E-5</c:v>
                </c:pt>
                <c:pt idx="14">
                  <c:v>1.6520000000000001E-5</c:v>
                </c:pt>
                <c:pt idx="15">
                  <c:v>8.9979999999999992E-6</c:v>
                </c:pt>
                <c:pt idx="16">
                  <c:v>4.4569999999999998E-6</c:v>
                </c:pt>
                <c:pt idx="17">
                  <c:v>2.1440000000000001E-6</c:v>
                </c:pt>
                <c:pt idx="18">
                  <c:v>8.4099999999999997E-7</c:v>
                </c:pt>
                <c:pt idx="19">
                  <c:v>4.3360000000000002E-7</c:v>
                </c:pt>
                <c:pt idx="20">
                  <c:v>1.3979999999999999E-7</c:v>
                </c:pt>
                <c:pt idx="21">
                  <c:v>1.398E-8</c:v>
                </c:pt>
              </c:numCache>
            </c:numRef>
          </c:yVal>
          <c:smooth val="0"/>
          <c:extLst>
            <c:ext xmlns:c16="http://schemas.microsoft.com/office/drawing/2014/chart" uri="{C3380CC4-5D6E-409C-BE32-E72D297353CC}">
              <c16:uniqueId val="{00000000-4EA6-47FF-BEDB-4310C237AEA6}"/>
            </c:ext>
          </c:extLst>
        </c:ser>
        <c:dLbls>
          <c:showLegendKey val="0"/>
          <c:showVal val="0"/>
          <c:showCatName val="0"/>
          <c:showSerName val="0"/>
          <c:showPercent val="0"/>
          <c:showBubbleSize val="0"/>
        </c:dLbls>
        <c:axId val="50120001"/>
        <c:axId val="50120002"/>
      </c:scatterChart>
      <c:valAx>
        <c:axId val="50120001"/>
        <c:scaling>
          <c:orientation val="minMax"/>
          <c:max val="210"/>
          <c:min val="0"/>
        </c:scaling>
        <c:delete val="0"/>
        <c:axPos val="b"/>
        <c:title>
          <c:tx>
            <c:rich>
              <a:bodyPr/>
              <a:lstStyle/>
              <a:p>
                <a:pPr>
                  <a:defRPr/>
                </a:pPr>
                <a:r>
                  <a:rPr lang="en-US"/>
                  <a:t>Posición del micrómetro (µm)</a:t>
                </a:r>
              </a:p>
            </c:rich>
          </c:tx>
          <c:overlay val="0"/>
        </c:title>
        <c:numFmt formatCode="0" sourceLinked="1"/>
        <c:majorTickMark val="out"/>
        <c:minorTickMark val="none"/>
        <c:tickLblPos val="nextTo"/>
        <c:crossAx val="50120002"/>
        <c:crosses val="autoZero"/>
        <c:crossBetween val="midCat"/>
      </c:valAx>
      <c:valAx>
        <c:axId val="50120002"/>
        <c:scaling>
          <c:orientation val="minMax"/>
        </c:scaling>
        <c:delete val="0"/>
        <c:axPos val="l"/>
        <c:majorGridlines>
          <c:spPr>
            <a:ln>
              <a:solidFill>
                <a:srgbClr val="EEEEEE"/>
              </a:solidFill>
            </a:ln>
          </c:spPr>
        </c:majorGridlines>
        <c:title>
          <c:tx>
            <c:rich>
              <a:bodyPr rot="-5400000" vert="horz"/>
              <a:lstStyle/>
              <a:p>
                <a:pPr>
                  <a:defRPr/>
                </a:pPr>
                <a:r>
                  <a:rPr lang="en-US"/>
                  <a:t>Potencia óptica (W)</a:t>
                </a:r>
              </a:p>
            </c:rich>
          </c:tx>
          <c:overlay val="0"/>
        </c:title>
        <c:numFmt formatCode="0.0E+00" sourceLinked="0"/>
        <c:majorTickMark val="out"/>
        <c:minorTickMark val="none"/>
        <c:tickLblPos val="nextTo"/>
        <c:crossAx val="50120001"/>
        <c:crosses val="autoZero"/>
        <c:crossBetween val="midCat"/>
      </c:valAx>
    </c:plotArea>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Autocorrelación normalizada contra retardo</a:t>
            </a:r>
          </a:p>
        </c:rich>
      </c:tx>
      <c:overlay val="0"/>
    </c:title>
    <c:autoTitleDeleted val="0"/>
    <c:plotArea>
      <c:layout/>
      <c:scatterChart>
        <c:scatterStyle val="lineMarker"/>
        <c:varyColors val="0"/>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'R06'!$I$2:$I$23</c:f>
              <c:numCache>
                <c:formatCode>0.00</c:formatCode>
                <c:ptCount val="22"/>
                <c:pt idx="0">
                  <c:v>-783.6049805074324</c:v>
                </c:pt>
                <c:pt idx="1">
                  <c:v>-716.892161467802</c:v>
                </c:pt>
                <c:pt idx="2">
                  <c:v>-650.17934242817159</c:v>
                </c:pt>
                <c:pt idx="3">
                  <c:v>-583.46652338854119</c:v>
                </c:pt>
                <c:pt idx="4">
                  <c:v>-516.75370434891079</c:v>
                </c:pt>
                <c:pt idx="5">
                  <c:v>-450.04088530928038</c:v>
                </c:pt>
                <c:pt idx="6">
                  <c:v>-383.32806626964992</c:v>
                </c:pt>
                <c:pt idx="7">
                  <c:v>-316.61524723001952</c:v>
                </c:pt>
                <c:pt idx="8">
                  <c:v>-249.90242819038917</c:v>
                </c:pt>
                <c:pt idx="9">
                  <c:v>-183.18960915075877</c:v>
                </c:pt>
                <c:pt idx="10">
                  <c:v>-116.47679011112837</c:v>
                </c:pt>
                <c:pt idx="11">
                  <c:v>-49.763971071497849</c:v>
                </c:pt>
                <c:pt idx="12">
                  <c:v>16.948847968132554</c:v>
                </c:pt>
                <c:pt idx="13">
                  <c:v>83.661667007762958</c:v>
                </c:pt>
                <c:pt idx="14">
                  <c:v>150.37448604739336</c:v>
                </c:pt>
                <c:pt idx="15">
                  <c:v>217.08730508702376</c:v>
                </c:pt>
                <c:pt idx="16">
                  <c:v>283.80012412665405</c:v>
                </c:pt>
                <c:pt idx="17">
                  <c:v>350.51294316628446</c:v>
                </c:pt>
                <c:pt idx="18">
                  <c:v>417.22576220591486</c:v>
                </c:pt>
                <c:pt idx="19">
                  <c:v>483.93858124554527</c:v>
                </c:pt>
                <c:pt idx="20">
                  <c:v>550.65140028517567</c:v>
                </c:pt>
                <c:pt idx="21">
                  <c:v>617.36421932480607</c:v>
                </c:pt>
              </c:numCache>
            </c:numRef>
          </c:xVal>
          <c:yVal>
            <c:numRef>
              <c:f>'R06'!$J$2:$J$23</c:f>
              <c:numCache>
                <c:formatCode>0.0000</c:formatCode>
                <c:ptCount val="22"/>
                <c:pt idx="0">
                  <c:v>-2.2700447549914102E-3</c:v>
                </c:pt>
                <c:pt idx="1">
                  <c:v>2.2700447549914102E-3</c:v>
                </c:pt>
                <c:pt idx="2">
                  <c:v>5.8026688451783288E-3</c:v>
                </c:pt>
                <c:pt idx="3">
                  <c:v>3.2803968951878736E-3</c:v>
                </c:pt>
                <c:pt idx="4">
                  <c:v>1.2359132554953233E-2</c:v>
                </c:pt>
                <c:pt idx="5">
                  <c:v>2.3537957306126955E-2</c:v>
                </c:pt>
                <c:pt idx="6">
                  <c:v>5.1856684435633529E-2</c:v>
                </c:pt>
                <c:pt idx="7">
                  <c:v>0.10800339622655125</c:v>
                </c:pt>
                <c:pt idx="8">
                  <c:v>0.21975555973328145</c:v>
                </c:pt>
                <c:pt idx="9">
                  <c:v>0.45801824479461162</c:v>
                </c:pt>
                <c:pt idx="10">
                  <c:v>0.74163852414976161</c:v>
                </c:pt>
                <c:pt idx="11">
                  <c:v>0.96896775569396587</c:v>
                </c:pt>
                <c:pt idx="12">
                  <c:v>1</c:v>
                </c:pt>
                <c:pt idx="13">
                  <c:v>0.85710734017221457</c:v>
                </c:pt>
                <c:pt idx="14">
                  <c:v>0.59333326357092375</c:v>
                </c:pt>
                <c:pt idx="15">
                  <c:v>0.32190937790814522</c:v>
                </c:pt>
                <c:pt idx="16">
                  <c:v>0.15805191117128317</c:v>
                </c:pt>
                <c:pt idx="17">
                  <c:v>7.4589607590053938E-2</c:v>
                </c:pt>
                <c:pt idx="18">
                  <c:v>2.7572149065911402E-2</c:v>
                </c:pt>
                <c:pt idx="19">
                  <c:v>1.2871525426052868E-2</c:v>
                </c:pt>
                <c:pt idx="20">
                  <c:v>2.2700447549914102E-3</c:v>
                </c:pt>
                <c:pt idx="21">
                  <c:v>-2.2700447549914102E-3</c:v>
                </c:pt>
              </c:numCache>
            </c:numRef>
          </c:yVal>
          <c:smooth val="0"/>
          <c:extLst>
            <c:ext xmlns:c16="http://schemas.microsoft.com/office/drawing/2014/chart" uri="{C3380CC4-5D6E-409C-BE32-E72D297353CC}">
              <c16:uniqueId val="{00000000-B002-489F-BB34-B0103B05F3D0}"/>
            </c:ext>
          </c:extLst>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'R06'!$L$23:$L$24</c:f>
              <c:numCache>
                <c:formatCode>0.00</c:formatCode>
                <c:ptCount val="2"/>
                <c:pt idx="0">
                  <c:v>-173.31471147295179</c:v>
                </c:pt>
                <c:pt idx="1">
                  <c:v>173.3147114729519</c:v>
                </c:pt>
              </c:numCache>
            </c:numRef>
          </c:xVal>
          <c:yVal>
            <c:numRef>
              <c:f>'R06'!$M$23:$M$24</c:f>
              <c:numCache>
                <c:formatCode>0.00</c:formatCode>
                <c:ptCount val="2"/>
                <c:pt idx="0">
                  <c:v>0.5</c:v>
                </c:pt>
                <c:pt idx="1">
                  <c:v>0.5</c:v>
                </c:pt>
              </c:numCache>
            </c:numRef>
          </c:yVal>
          <c:smooth val="0"/>
          <c:extLst>
            <c:ext xmlns:c16="http://schemas.microsoft.com/office/drawing/2014/chart" uri="{C3380CC4-5D6E-409C-BE32-E72D297353CC}">
              <c16:uniqueId val="{00000001-B002-489F-BB34-B0103B05F3D0}"/>
            </c:ext>
          </c:extLst>
        </c:ser>
        <c:dLbls>
          <c:showLegendKey val="0"/>
          <c:showVal val="0"/>
          <c:showCatName val="0"/>
          <c:showSerName val="0"/>
          <c:showPercent val="0"/>
          <c:showBubbleSize val="0"/>
        </c:dLbls>
        <c:axId val="50130001"/>
        <c:axId val="50130002"/>
      </c:scatterChart>
      <c:valAx>
        <c:axId val="50130001"/>
        <c:scaling>
          <c:orientation val="minMax"/>
        </c:scaling>
        <c:delete val="0"/>
        <c:axPos val="b"/>
        <c:title>
          <c:tx>
            <c:rich>
              <a:bodyPr/>
              <a:lstStyle/>
              <a:p>
                <a:pPr>
                  <a:defRPr/>
                </a:pPr>
                <a:r>
                  <a:rPr lang="en-US"/>
                  <a:t>Retardo respecto al centro (fs)</a:t>
                </a:r>
              </a:p>
            </c:rich>
          </c:tx>
          <c:overlay val="0"/>
        </c:title>
        <c:numFmt formatCode="0.00" sourceLinked="1"/>
        <c:majorTickMark val="out"/>
        <c:minorTickMark val="none"/>
        <c:tickLblPos val="nextTo"/>
        <c:crossAx val="50130002"/>
        <c:crosses val="autoZero"/>
        <c:crossBetween val="midCat"/>
      </c:valAx>
      <c:valAx>
        <c:axId val="50130002"/>
        <c:scaling>
          <c:orientation val="minMax"/>
          <c:max val="1.1000000000000001"/>
          <c:min val="-0.1"/>
        </c:scaling>
        <c:delete val="0"/>
        <c:axPos val="l"/>
        <c:majorGridlines>
          <c:spPr>
            <a:ln>
              <a:solidFill>
                <a:srgbClr val="EEEEEE"/>
              </a:solidFill>
            </a:ln>
          </c:spPr>
        </c:majorGridlines>
        <c:title>
          <c:tx>
            <c:rich>
              <a:bodyPr rot="-5400000" vert="horz"/>
              <a:lstStyle/>
              <a:p>
                <a:pPr>
                  <a:defRPr/>
                </a:pPr>
                <a:r>
                  <a:rPr lang="en-US"/>
                  <a:t>Señal normalizada</a:t>
                </a:r>
              </a:p>
            </c:rich>
          </c:tx>
          <c:overlay val="0"/>
        </c:title>
        <c:numFmt formatCode="0.0000" sourceLinked="1"/>
        <c:majorTickMark val="out"/>
        <c:minorTickMark val="none"/>
        <c:tickLblPos val="nextTo"/>
        <c:crossAx val="50130001"/>
        <c:crosses val="autoZero"/>
        <c:crossBetween val="midCat"/>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Traza cruda: potencia óptica contra posición</a:t>
            </a:r>
          </a:p>
        </c:rich>
      </c:tx>
      <c:overlay val="0"/>
    </c:title>
    <c:autoTitleDeleted val="0"/>
    <c:plotArea>
      <c:layout/>
      <c:scatterChart>
        <c:scatterStyle val="lineMarker"/>
        <c:varyColors val="0"/>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'R07'!$A$2:$A$23</c:f>
              <c:numCache>
                <c:formatCode>0</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'R07'!$B$2:$B$23</c:f>
              <c:numCache>
                <c:formatCode>0.000E+00</c:formatCode>
                <c:ptCount val="22"/>
                <c:pt idx="0">
                  <c:v>-1.3979999999999999E-7</c:v>
                </c:pt>
                <c:pt idx="1">
                  <c:v>-1.119E-7</c:v>
                </c:pt>
                <c:pt idx="2">
                  <c:v>-5.5929999999999999E-8</c:v>
                </c:pt>
                <c:pt idx="3">
                  <c:v>-5.5929999999999999E-8</c:v>
                </c:pt>
                <c:pt idx="4">
                  <c:v>1.3979999999999999E-7</c:v>
                </c:pt>
                <c:pt idx="5">
                  <c:v>4.1940000000000001E-7</c:v>
                </c:pt>
                <c:pt idx="6">
                  <c:v>1.4160000000000001E-6</c:v>
                </c:pt>
                <c:pt idx="7">
                  <c:v>2.8590000000000001E-6</c:v>
                </c:pt>
                <c:pt idx="8">
                  <c:v>5.733E-6</c:v>
                </c:pt>
                <c:pt idx="9">
                  <c:v>1.201E-5</c:v>
                </c:pt>
                <c:pt idx="10">
                  <c:v>2.0809999999999999E-5</c:v>
                </c:pt>
                <c:pt idx="11">
                  <c:v>2.6769999999999999E-5</c:v>
                </c:pt>
                <c:pt idx="12">
                  <c:v>2.847E-5</c:v>
                </c:pt>
                <c:pt idx="13">
                  <c:v>2.391E-5</c:v>
                </c:pt>
                <c:pt idx="14">
                  <c:v>1.6399999999999999E-5</c:v>
                </c:pt>
                <c:pt idx="15">
                  <c:v>8.4239999999999993E-6</c:v>
                </c:pt>
                <c:pt idx="16">
                  <c:v>4.1489999999999996E-6</c:v>
                </c:pt>
                <c:pt idx="17">
                  <c:v>1.8080000000000001E-6</c:v>
                </c:pt>
                <c:pt idx="18">
                  <c:v>9.1090000000000004E-7</c:v>
                </c:pt>
                <c:pt idx="19">
                  <c:v>1.3979999999999999E-7</c:v>
                </c:pt>
                <c:pt idx="20">
                  <c:v>0</c:v>
                </c:pt>
                <c:pt idx="21">
                  <c:v>-1.5379999999999999E-7</c:v>
                </c:pt>
              </c:numCache>
            </c:numRef>
          </c:yVal>
          <c:smooth val="0"/>
          <c:extLst>
            <c:ext xmlns:c16="http://schemas.microsoft.com/office/drawing/2014/chart" uri="{C3380CC4-5D6E-409C-BE32-E72D297353CC}">
              <c16:uniqueId val="{00000000-8A5F-4483-92AA-958ED802F967}"/>
            </c:ext>
          </c:extLst>
        </c:ser>
        <c:dLbls>
          <c:showLegendKey val="0"/>
          <c:showVal val="0"/>
          <c:showCatName val="0"/>
          <c:showSerName val="0"/>
          <c:showPercent val="0"/>
          <c:showBubbleSize val="0"/>
        </c:dLbls>
        <c:axId val="50140001"/>
        <c:axId val="50140002"/>
      </c:scatterChart>
      <c:valAx>
        <c:axId val="50140001"/>
        <c:scaling>
          <c:orientation val="minMax"/>
          <c:max val="210"/>
          <c:min val="0"/>
        </c:scaling>
        <c:delete val="0"/>
        <c:axPos val="b"/>
        <c:title>
          <c:tx>
            <c:rich>
              <a:bodyPr/>
              <a:lstStyle/>
              <a:p>
                <a:pPr>
                  <a:defRPr/>
                </a:pPr>
                <a:r>
                  <a:rPr lang="en-US"/>
                  <a:t>Posición del micrómetro (µm)</a:t>
                </a:r>
              </a:p>
            </c:rich>
          </c:tx>
          <c:overlay val="0"/>
        </c:title>
        <c:numFmt formatCode="0" sourceLinked="1"/>
        <c:majorTickMark val="out"/>
        <c:minorTickMark val="none"/>
        <c:tickLblPos val="nextTo"/>
        <c:crossAx val="50140002"/>
        <c:crosses val="autoZero"/>
        <c:crossBetween val="midCat"/>
      </c:valAx>
      <c:valAx>
        <c:axId val="50140002"/>
        <c:scaling>
          <c:orientation val="minMax"/>
        </c:scaling>
        <c:delete val="0"/>
        <c:axPos val="l"/>
        <c:majorGridlines>
          <c:spPr>
            <a:ln>
              <a:solidFill>
                <a:srgbClr val="EEEEEE"/>
              </a:solidFill>
            </a:ln>
          </c:spPr>
        </c:majorGridlines>
        <c:title>
          <c:tx>
            <c:rich>
              <a:bodyPr rot="-5400000" vert="horz"/>
              <a:lstStyle/>
              <a:p>
                <a:pPr>
                  <a:defRPr/>
                </a:pPr>
                <a:r>
                  <a:rPr lang="en-US"/>
                  <a:t>Potencia óptica (W)</a:t>
                </a:r>
              </a:p>
            </c:rich>
          </c:tx>
          <c:overlay val="0"/>
        </c:title>
        <c:numFmt formatCode="0.0E+00" sourceLinked="0"/>
        <c:majorTickMark val="out"/>
        <c:minorTickMark val="none"/>
        <c:tickLblPos val="nextTo"/>
        <c:crossAx val="50140001"/>
        <c:crosses val="autoZero"/>
        <c:crossBetween val="midCat"/>
      </c:valAx>
    </c:plotArea>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Autocorrelación normalizada contra retardo</a:t>
            </a:r>
          </a:p>
        </c:rich>
      </c:tx>
      <c:overlay val="0"/>
    </c:title>
    <c:autoTitleDeleted val="0"/>
    <c:plotArea>
      <c:layout/>
      <c:scatterChart>
        <c:scatterStyle val="lineMarker"/>
        <c:varyColors val="0"/>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'R07'!$I$2:$I$23</c:f>
              <c:numCache>
                <c:formatCode>0.00</c:formatCode>
                <c:ptCount val="22"/>
                <c:pt idx="0">
                  <c:v>-784.70537395475355</c:v>
                </c:pt>
                <c:pt idx="1">
                  <c:v>-717.99255491512315</c:v>
                </c:pt>
                <c:pt idx="2">
                  <c:v>-651.27973587549275</c:v>
                </c:pt>
                <c:pt idx="3">
                  <c:v>-584.56691683586234</c:v>
                </c:pt>
                <c:pt idx="4">
                  <c:v>-517.85409779623194</c:v>
                </c:pt>
                <c:pt idx="5">
                  <c:v>-451.14127875660154</c:v>
                </c:pt>
                <c:pt idx="6">
                  <c:v>-384.42845971697108</c:v>
                </c:pt>
                <c:pt idx="7">
                  <c:v>-317.71564067734067</c:v>
                </c:pt>
                <c:pt idx="8">
                  <c:v>-251.00282163771033</c:v>
                </c:pt>
                <c:pt idx="9">
                  <c:v>-184.29000259807992</c:v>
                </c:pt>
                <c:pt idx="10">
                  <c:v>-117.57718355844952</c:v>
                </c:pt>
                <c:pt idx="11">
                  <c:v>-50.864364518819002</c:v>
                </c:pt>
                <c:pt idx="12">
                  <c:v>15.848454520811401</c:v>
                </c:pt>
                <c:pt idx="13">
                  <c:v>82.561273560441805</c:v>
                </c:pt>
                <c:pt idx="14">
                  <c:v>149.27409260007221</c:v>
                </c:pt>
                <c:pt idx="15">
                  <c:v>215.98691163970261</c:v>
                </c:pt>
                <c:pt idx="16">
                  <c:v>282.6997306793329</c:v>
                </c:pt>
                <c:pt idx="17">
                  <c:v>349.41254971896331</c:v>
                </c:pt>
                <c:pt idx="18">
                  <c:v>416.12536875859371</c:v>
                </c:pt>
                <c:pt idx="19">
                  <c:v>482.83818779822411</c:v>
                </c:pt>
                <c:pt idx="20">
                  <c:v>549.55100683785452</c:v>
                </c:pt>
                <c:pt idx="21">
                  <c:v>616.26382587748492</c:v>
                </c:pt>
              </c:numCache>
            </c:numRef>
          </c:xVal>
          <c:yVal>
            <c:numRef>
              <c:f>'R07'!$J$2:$J$23</c:f>
              <c:numCache>
                <c:formatCode>0.0000</c:formatCode>
                <c:ptCount val="22"/>
                <c:pt idx="0">
                  <c:v>-1.3448775216453532E-3</c:v>
                </c:pt>
                <c:pt idx="1">
                  <c:v>-3.6837569070442041E-4</c:v>
                </c:pt>
                <c:pt idx="2">
                  <c:v>1.5905779823337167E-3</c:v>
                </c:pt>
                <c:pt idx="3">
                  <c:v>1.5905779823337167E-3</c:v>
                </c:pt>
                <c:pt idx="4">
                  <c:v>8.4411408271390497E-3</c:v>
                </c:pt>
                <c:pt idx="5">
                  <c:v>1.8227159175923456E-2</c:v>
                </c:pt>
                <c:pt idx="6">
                  <c:v>5.3108224577921082E-2</c:v>
                </c:pt>
                <c:pt idx="7">
                  <c:v>0.10361331927497364</c:v>
                </c:pt>
                <c:pt idx="8">
                  <c:v>0.20420350788157729</c:v>
                </c:pt>
                <c:pt idx="9">
                  <c:v>0.42389891981047467</c:v>
                </c:pt>
                <c:pt idx="10">
                  <c:v>0.73189949731155746</c:v>
                </c:pt>
                <c:pt idx="11">
                  <c:v>0.94049988843729082</c:v>
                </c:pt>
                <c:pt idx="12">
                  <c:v>1</c:v>
                </c:pt>
                <c:pt idx="13">
                  <c:v>0.84039970074943893</c:v>
                </c:pt>
                <c:pt idx="14">
                  <c:v>0.57754920790476483</c:v>
                </c:pt>
                <c:pt idx="15">
                  <c:v>0.29838868447878336</c:v>
                </c:pt>
                <c:pt idx="16">
                  <c:v>0.14876340393138238</c:v>
                </c:pt>
                <c:pt idx="17">
                  <c:v>6.6828250302969322E-2</c:v>
                </c:pt>
                <c:pt idx="18">
                  <c:v>3.5429691430671428E-2</c:v>
                </c:pt>
                <c:pt idx="19">
                  <c:v>8.4411408271390497E-3</c:v>
                </c:pt>
                <c:pt idx="20">
                  <c:v>3.5481316527468487E-3</c:v>
                </c:pt>
                <c:pt idx="21">
                  <c:v>-1.8348784403970754E-3</c:v>
                </c:pt>
              </c:numCache>
            </c:numRef>
          </c:yVal>
          <c:smooth val="0"/>
          <c:extLst>
            <c:ext xmlns:c16="http://schemas.microsoft.com/office/drawing/2014/chart" uri="{C3380CC4-5D6E-409C-BE32-E72D297353CC}">
              <c16:uniqueId val="{00000000-C456-4ED3-A390-6206C27D0EEB}"/>
            </c:ext>
          </c:extLst>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'R07'!$L$23:$L$24</c:f>
              <c:numCache>
                <c:formatCode>0.00</c:formatCode>
                <c:ptCount val="2"/>
                <c:pt idx="0">
                  <c:v>-167.80653483124968</c:v>
                </c:pt>
                <c:pt idx="1">
                  <c:v>167.80653483124968</c:v>
                </c:pt>
              </c:numCache>
            </c:numRef>
          </c:xVal>
          <c:yVal>
            <c:numRef>
              <c:f>'R07'!$M$23:$M$24</c:f>
              <c:numCache>
                <c:formatCode>0.00</c:formatCode>
                <c:ptCount val="2"/>
                <c:pt idx="0">
                  <c:v>0.5</c:v>
                </c:pt>
                <c:pt idx="1">
                  <c:v>0.5</c:v>
                </c:pt>
              </c:numCache>
            </c:numRef>
          </c:yVal>
          <c:smooth val="0"/>
          <c:extLst>
            <c:ext xmlns:c16="http://schemas.microsoft.com/office/drawing/2014/chart" uri="{C3380CC4-5D6E-409C-BE32-E72D297353CC}">
              <c16:uniqueId val="{00000001-C456-4ED3-A390-6206C27D0EEB}"/>
            </c:ext>
          </c:extLst>
        </c:ser>
        <c:dLbls>
          <c:showLegendKey val="0"/>
          <c:showVal val="0"/>
          <c:showCatName val="0"/>
          <c:showSerName val="0"/>
          <c:showPercent val="0"/>
          <c:showBubbleSize val="0"/>
        </c:dLbls>
        <c:axId val="50150001"/>
        <c:axId val="50150002"/>
      </c:scatterChart>
      <c:valAx>
        <c:axId val="50150001"/>
        <c:scaling>
          <c:orientation val="minMax"/>
        </c:scaling>
        <c:delete val="0"/>
        <c:axPos val="b"/>
        <c:title>
          <c:tx>
            <c:rich>
              <a:bodyPr/>
              <a:lstStyle/>
              <a:p>
                <a:pPr>
                  <a:defRPr/>
                </a:pPr>
                <a:r>
                  <a:rPr lang="en-US"/>
                  <a:t>Retardo respecto al centro (fs)</a:t>
                </a:r>
              </a:p>
            </c:rich>
          </c:tx>
          <c:overlay val="0"/>
        </c:title>
        <c:numFmt formatCode="0.00" sourceLinked="1"/>
        <c:majorTickMark val="out"/>
        <c:minorTickMark val="none"/>
        <c:tickLblPos val="nextTo"/>
        <c:crossAx val="50150002"/>
        <c:crosses val="autoZero"/>
        <c:crossBetween val="midCat"/>
      </c:valAx>
      <c:valAx>
        <c:axId val="50150002"/>
        <c:scaling>
          <c:orientation val="minMax"/>
          <c:max val="1.1000000000000001"/>
          <c:min val="-0.1"/>
        </c:scaling>
        <c:delete val="0"/>
        <c:axPos val="l"/>
        <c:majorGridlines>
          <c:spPr>
            <a:ln>
              <a:solidFill>
                <a:srgbClr val="EEEEEE"/>
              </a:solidFill>
            </a:ln>
          </c:spPr>
        </c:majorGridlines>
        <c:title>
          <c:tx>
            <c:rich>
              <a:bodyPr rot="-5400000" vert="horz"/>
              <a:lstStyle/>
              <a:p>
                <a:pPr>
                  <a:defRPr/>
                </a:pPr>
                <a:r>
                  <a:rPr lang="en-US"/>
                  <a:t>Señal normalizada</a:t>
                </a:r>
              </a:p>
            </c:rich>
          </c:tx>
          <c:overlay val="0"/>
        </c:title>
        <c:numFmt formatCode="0.0000" sourceLinked="1"/>
        <c:majorTickMark val="out"/>
        <c:minorTickMark val="none"/>
        <c:tickLblPos val="nextTo"/>
        <c:crossAx val="50150001"/>
        <c:crosses val="autoZero"/>
        <c:crossBetween val="midCat"/>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Traza cruda: potencia óptica contra posición</a:t>
            </a:r>
          </a:p>
        </c:rich>
      </c:tx>
      <c:overlay val="0"/>
    </c:title>
    <c:autoTitleDeleted val="0"/>
    <c:plotArea>
      <c:layout/>
      <c:scatterChart>
        <c:scatterStyle val="lineMarker"/>
        <c:varyColors val="0"/>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'R08'!$A$2:$A$23</c:f>
              <c:numCache>
                <c:formatCode>0</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'R08'!$B$2:$B$23</c:f>
              <c:numCache>
                <c:formatCode>0.000E+00</c:formatCode>
                <c:ptCount val="22"/>
                <c:pt idx="0">
                  <c:v>-4.0740000000000001E-7</c:v>
                </c:pt>
                <c:pt idx="1">
                  <c:v>-2.938E-7</c:v>
                </c:pt>
                <c:pt idx="2">
                  <c:v>-2.656E-7</c:v>
                </c:pt>
                <c:pt idx="3">
                  <c:v>-1.5379999999999999E-7</c:v>
                </c:pt>
                <c:pt idx="4">
                  <c:v>8.3890000000000005E-8</c:v>
                </c:pt>
                <c:pt idx="5">
                  <c:v>4.0550000000000002E-7</c:v>
                </c:pt>
                <c:pt idx="6">
                  <c:v>1.26E-6</c:v>
                </c:pt>
                <c:pt idx="7">
                  <c:v>2.7750000000000001E-6</c:v>
                </c:pt>
                <c:pt idx="8">
                  <c:v>5.7189999999999998E-6</c:v>
                </c:pt>
                <c:pt idx="9">
                  <c:v>1.1800000000000001E-5</c:v>
                </c:pt>
                <c:pt idx="10">
                  <c:v>2.0060000000000001E-5</c:v>
                </c:pt>
                <c:pt idx="11">
                  <c:v>2.6509999999999999E-5</c:v>
                </c:pt>
                <c:pt idx="12">
                  <c:v>2.834E-5</c:v>
                </c:pt>
                <c:pt idx="13">
                  <c:v>2.3839999999999999E-5</c:v>
                </c:pt>
                <c:pt idx="14">
                  <c:v>1.6520000000000001E-5</c:v>
                </c:pt>
                <c:pt idx="15">
                  <c:v>8.6479999999999992E-6</c:v>
                </c:pt>
                <c:pt idx="16">
                  <c:v>3.9260000000000002E-6</c:v>
                </c:pt>
                <c:pt idx="17">
                  <c:v>1.542E-6</c:v>
                </c:pt>
                <c:pt idx="18">
                  <c:v>6.7329999999999997E-7</c:v>
                </c:pt>
                <c:pt idx="19">
                  <c:v>6.9899999999999997E-8</c:v>
                </c:pt>
                <c:pt idx="20">
                  <c:v>-1.9570000000000001E-7</c:v>
                </c:pt>
                <c:pt idx="21">
                  <c:v>-2.3769999999999999E-7</c:v>
                </c:pt>
              </c:numCache>
            </c:numRef>
          </c:yVal>
          <c:smooth val="0"/>
          <c:extLst>
            <c:ext xmlns:c16="http://schemas.microsoft.com/office/drawing/2014/chart" uri="{C3380CC4-5D6E-409C-BE32-E72D297353CC}">
              <c16:uniqueId val="{00000000-6914-4E2D-AD3F-F71ED4F225CE}"/>
            </c:ext>
          </c:extLst>
        </c:ser>
        <c:dLbls>
          <c:showLegendKey val="0"/>
          <c:showVal val="0"/>
          <c:showCatName val="0"/>
          <c:showSerName val="0"/>
          <c:showPercent val="0"/>
          <c:showBubbleSize val="0"/>
        </c:dLbls>
        <c:axId val="50160001"/>
        <c:axId val="50160002"/>
      </c:scatterChart>
      <c:valAx>
        <c:axId val="50160001"/>
        <c:scaling>
          <c:orientation val="minMax"/>
          <c:max val="210"/>
          <c:min val="0"/>
        </c:scaling>
        <c:delete val="0"/>
        <c:axPos val="b"/>
        <c:title>
          <c:tx>
            <c:rich>
              <a:bodyPr/>
              <a:lstStyle/>
              <a:p>
                <a:pPr>
                  <a:defRPr/>
                </a:pPr>
                <a:r>
                  <a:rPr lang="en-US"/>
                  <a:t>Posición del micrómetro (µm)</a:t>
                </a:r>
              </a:p>
            </c:rich>
          </c:tx>
          <c:overlay val="0"/>
        </c:title>
        <c:numFmt formatCode="0" sourceLinked="1"/>
        <c:majorTickMark val="out"/>
        <c:minorTickMark val="none"/>
        <c:tickLblPos val="nextTo"/>
        <c:crossAx val="50160002"/>
        <c:crosses val="autoZero"/>
        <c:crossBetween val="midCat"/>
      </c:valAx>
      <c:valAx>
        <c:axId val="50160002"/>
        <c:scaling>
          <c:orientation val="minMax"/>
        </c:scaling>
        <c:delete val="0"/>
        <c:axPos val="l"/>
        <c:majorGridlines>
          <c:spPr>
            <a:ln>
              <a:solidFill>
                <a:srgbClr val="EEEEEE"/>
              </a:solidFill>
            </a:ln>
          </c:spPr>
        </c:majorGridlines>
        <c:title>
          <c:tx>
            <c:rich>
              <a:bodyPr rot="-5400000" vert="horz"/>
              <a:lstStyle/>
              <a:p>
                <a:pPr>
                  <a:defRPr/>
                </a:pPr>
                <a:r>
                  <a:rPr lang="en-US"/>
                  <a:t>Potencia óptica (W)</a:t>
                </a:r>
              </a:p>
            </c:rich>
          </c:tx>
          <c:overlay val="0"/>
        </c:title>
        <c:numFmt formatCode="0.0E+00" sourceLinked="0"/>
        <c:majorTickMark val="out"/>
        <c:minorTickMark val="none"/>
        <c:tickLblPos val="nextTo"/>
        <c:crossAx val="50160001"/>
        <c:crosses val="autoZero"/>
        <c:crossBetween val="midCat"/>
      </c:valAx>
    </c:plotArea>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Autocorrelación normalizada contra retardo</a:t>
            </a:r>
          </a:p>
        </c:rich>
      </c:tx>
      <c:overlay val="0"/>
    </c:title>
    <c:autoTitleDeleted val="0"/>
    <c:plotArea>
      <c:layout/>
      <c:scatterChart>
        <c:scatterStyle val="lineMarker"/>
        <c:varyColors val="0"/>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'R08'!$I$2:$I$23</c:f>
              <c:numCache>
                <c:formatCode>0.00</c:formatCode>
                <c:ptCount val="22"/>
                <c:pt idx="0">
                  <c:v>-786.75420355552637</c:v>
                </c:pt>
                <c:pt idx="1">
                  <c:v>-720.04138451589597</c:v>
                </c:pt>
                <c:pt idx="2">
                  <c:v>-653.32856547626557</c:v>
                </c:pt>
                <c:pt idx="3">
                  <c:v>-586.61574643663516</c:v>
                </c:pt>
                <c:pt idx="4">
                  <c:v>-519.90292739700476</c:v>
                </c:pt>
                <c:pt idx="5">
                  <c:v>-453.19010835737436</c:v>
                </c:pt>
                <c:pt idx="6">
                  <c:v>-386.4772893177439</c:v>
                </c:pt>
                <c:pt idx="7">
                  <c:v>-319.76447027811349</c:v>
                </c:pt>
                <c:pt idx="8">
                  <c:v>-253.05165123848315</c:v>
                </c:pt>
                <c:pt idx="9">
                  <c:v>-186.33883219885274</c:v>
                </c:pt>
                <c:pt idx="10">
                  <c:v>-119.62601315922234</c:v>
                </c:pt>
                <c:pt idx="11">
                  <c:v>-52.913194119591822</c:v>
                </c:pt>
                <c:pt idx="12">
                  <c:v>13.799624920038582</c:v>
                </c:pt>
                <c:pt idx="13">
                  <c:v>80.512443959668985</c:v>
                </c:pt>
                <c:pt idx="14">
                  <c:v>147.22526299929939</c:v>
                </c:pt>
                <c:pt idx="15">
                  <c:v>213.93808203892979</c:v>
                </c:pt>
                <c:pt idx="16">
                  <c:v>280.65090107856008</c:v>
                </c:pt>
                <c:pt idx="17">
                  <c:v>347.36372011819049</c:v>
                </c:pt>
                <c:pt idx="18">
                  <c:v>414.07653915782089</c:v>
                </c:pt>
                <c:pt idx="19">
                  <c:v>480.78935819745129</c:v>
                </c:pt>
                <c:pt idx="20">
                  <c:v>547.5021772370817</c:v>
                </c:pt>
                <c:pt idx="21">
                  <c:v>614.2149962767121</c:v>
                </c:pt>
              </c:numCache>
            </c:numRef>
          </c:xVal>
          <c:yVal>
            <c:numRef>
              <c:f>'R08'!$J$2:$J$23</c:f>
              <c:numCache>
                <c:formatCode>0.0000</c:formatCode>
                <c:ptCount val="22"/>
                <c:pt idx="0">
                  <c:v>-4.3233480006917369E-3</c:v>
                </c:pt>
                <c:pt idx="1">
                  <c:v>-3.5460187642037341E-4</c:v>
                </c:pt>
                <c:pt idx="2">
                  <c:v>6.3059742555544038E-4</c:v>
                </c:pt>
                <c:pt idx="3">
                  <c:v>4.5364584879985601E-3</c:v>
                </c:pt>
                <c:pt idx="4">
                  <c:v>1.2840430902418105E-2</c:v>
                </c:pt>
                <c:pt idx="5">
                  <c:v>2.4076244643852201E-2</c:v>
                </c:pt>
                <c:pt idx="6">
                  <c:v>5.3929180939537767E-2</c:v>
                </c:pt>
                <c:pt idx="7">
                  <c:v>0.10685744131164265</c:v>
                </c:pt>
                <c:pt idx="8">
                  <c:v>0.20970945354628079</c:v>
                </c:pt>
                <c:pt idx="9">
                  <c:v>0.42215615408936324</c:v>
                </c:pt>
                <c:pt idx="10">
                  <c:v>0.71072871559008022</c:v>
                </c:pt>
                <c:pt idx="11">
                  <c:v>0.93606685380795251</c:v>
                </c:pt>
                <c:pt idx="12">
                  <c:v>1</c:v>
                </c:pt>
                <c:pt idx="13">
                  <c:v>0.84278734542939138</c:v>
                </c:pt>
                <c:pt idx="14">
                  <c:v>0.58705476066120155</c:v>
                </c:pt>
                <c:pt idx="15">
                  <c:v>0.31203742359901687</c:v>
                </c:pt>
                <c:pt idx="16">
                  <c:v>0.14706894473625834</c:v>
                </c:pt>
                <c:pt idx="17">
                  <c:v>6.3781173959295903E-2</c:v>
                </c:pt>
                <c:pt idx="18">
                  <c:v>3.3432144398076416E-2</c:v>
                </c:pt>
                <c:pt idx="19">
                  <c:v>1.2351674227430814E-2</c:v>
                </c:pt>
                <c:pt idx="20">
                  <c:v>3.0726339932188929E-3</c:v>
                </c:pt>
                <c:pt idx="21">
                  <c:v>1.6053158838932138E-3</c:v>
                </c:pt>
              </c:numCache>
            </c:numRef>
          </c:yVal>
          <c:smooth val="0"/>
          <c:extLst>
            <c:ext xmlns:c16="http://schemas.microsoft.com/office/drawing/2014/chart" uri="{C3380CC4-5D6E-409C-BE32-E72D297353CC}">
              <c16:uniqueId val="{00000000-82AC-4CFA-9882-0FACD556A81D}"/>
            </c:ext>
          </c:extLst>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'R08'!$L$23:$L$24</c:f>
              <c:numCache>
                <c:formatCode>0.00</c:formatCode>
                <c:ptCount val="2"/>
                <c:pt idx="0">
                  <c:v>-168.34272619841352</c:v>
                </c:pt>
                <c:pt idx="1">
                  <c:v>168.34272619841363</c:v>
                </c:pt>
              </c:numCache>
            </c:numRef>
          </c:xVal>
          <c:yVal>
            <c:numRef>
              <c:f>'R08'!$M$23:$M$24</c:f>
              <c:numCache>
                <c:formatCode>0.00</c:formatCode>
                <c:ptCount val="2"/>
                <c:pt idx="0">
                  <c:v>0.5</c:v>
                </c:pt>
                <c:pt idx="1">
                  <c:v>0.5</c:v>
                </c:pt>
              </c:numCache>
            </c:numRef>
          </c:yVal>
          <c:smooth val="0"/>
          <c:extLst>
            <c:ext xmlns:c16="http://schemas.microsoft.com/office/drawing/2014/chart" uri="{C3380CC4-5D6E-409C-BE32-E72D297353CC}">
              <c16:uniqueId val="{00000001-82AC-4CFA-9882-0FACD556A81D}"/>
            </c:ext>
          </c:extLst>
        </c:ser>
        <c:dLbls>
          <c:showLegendKey val="0"/>
          <c:showVal val="0"/>
          <c:showCatName val="0"/>
          <c:showSerName val="0"/>
          <c:showPercent val="0"/>
          <c:showBubbleSize val="0"/>
        </c:dLbls>
        <c:axId val="50170001"/>
        <c:axId val="50170002"/>
      </c:scatterChart>
      <c:valAx>
        <c:axId val="50170001"/>
        <c:scaling>
          <c:orientation val="minMax"/>
        </c:scaling>
        <c:delete val="0"/>
        <c:axPos val="b"/>
        <c:title>
          <c:tx>
            <c:rich>
              <a:bodyPr/>
              <a:lstStyle/>
              <a:p>
                <a:pPr>
                  <a:defRPr/>
                </a:pPr>
                <a:r>
                  <a:rPr lang="en-US"/>
                  <a:t>Retardo respecto al centro (fs)</a:t>
                </a:r>
              </a:p>
            </c:rich>
          </c:tx>
          <c:overlay val="0"/>
        </c:title>
        <c:numFmt formatCode="0.00" sourceLinked="1"/>
        <c:majorTickMark val="out"/>
        <c:minorTickMark val="none"/>
        <c:tickLblPos val="nextTo"/>
        <c:crossAx val="50170002"/>
        <c:crosses val="autoZero"/>
        <c:crossBetween val="midCat"/>
      </c:valAx>
      <c:valAx>
        <c:axId val="50170002"/>
        <c:scaling>
          <c:orientation val="minMax"/>
          <c:max val="1.1000000000000001"/>
          <c:min val="-0.1"/>
        </c:scaling>
        <c:delete val="0"/>
        <c:axPos val="l"/>
        <c:majorGridlines>
          <c:spPr>
            <a:ln>
              <a:solidFill>
                <a:srgbClr val="EEEEEE"/>
              </a:solidFill>
            </a:ln>
          </c:spPr>
        </c:majorGridlines>
        <c:title>
          <c:tx>
            <c:rich>
              <a:bodyPr rot="-5400000" vert="horz"/>
              <a:lstStyle/>
              <a:p>
                <a:pPr>
                  <a:defRPr/>
                </a:pPr>
                <a:r>
                  <a:rPr lang="en-US"/>
                  <a:t>Señal normalizada</a:t>
                </a:r>
              </a:p>
            </c:rich>
          </c:tx>
          <c:overlay val="0"/>
        </c:title>
        <c:numFmt formatCode="0.0000" sourceLinked="1"/>
        <c:majorTickMark val="out"/>
        <c:minorTickMark val="none"/>
        <c:tickLblPos val="nextTo"/>
        <c:crossAx val="50170001"/>
        <c:crosses val="autoZero"/>
        <c:crossBetween val="midCat"/>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Traza cruda: potencia óptica contra posición</a:t>
            </a:r>
          </a:p>
        </c:rich>
      </c:tx>
      <c:overlay val="0"/>
    </c:title>
    <c:autoTitleDeleted val="0"/>
    <c:plotArea>
      <c:layout/>
      <c:scatterChart>
        <c:scatterStyle val="lineMarker"/>
        <c:varyColors val="0"/>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'R09'!$A$2:$A$23</c:f>
              <c:numCache>
                <c:formatCode>0</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'R09'!$B$2:$B$23</c:f>
              <c:numCache>
                <c:formatCode>0.000E+00</c:formatCode>
                <c:ptCount val="22"/>
                <c:pt idx="0">
                  <c:v>-1.398E-8</c:v>
                </c:pt>
                <c:pt idx="1">
                  <c:v>9.9359999999999998E-8</c:v>
                </c:pt>
                <c:pt idx="2">
                  <c:v>1.4189999999999999E-7</c:v>
                </c:pt>
                <c:pt idx="3">
                  <c:v>2.818E-7</c:v>
                </c:pt>
                <c:pt idx="4">
                  <c:v>4.2160000000000002E-7</c:v>
                </c:pt>
                <c:pt idx="5">
                  <c:v>7.991E-7</c:v>
                </c:pt>
                <c:pt idx="6">
                  <c:v>1.4020000000000001E-6</c:v>
                </c:pt>
                <c:pt idx="7">
                  <c:v>3.252E-6</c:v>
                </c:pt>
                <c:pt idx="8">
                  <c:v>6.2809999999999997E-6</c:v>
                </c:pt>
                <c:pt idx="9">
                  <c:v>1.166E-5</c:v>
                </c:pt>
                <c:pt idx="10">
                  <c:v>2.0910000000000001E-5</c:v>
                </c:pt>
                <c:pt idx="11">
                  <c:v>2.7460000000000001E-5</c:v>
                </c:pt>
                <c:pt idx="12">
                  <c:v>2.8719999999999999E-5</c:v>
                </c:pt>
                <c:pt idx="13">
                  <c:v>2.4450000000000001E-5</c:v>
                </c:pt>
                <c:pt idx="14">
                  <c:v>1.7419999999999999E-5</c:v>
                </c:pt>
                <c:pt idx="15">
                  <c:v>9.251E-6</c:v>
                </c:pt>
                <c:pt idx="16">
                  <c:v>4.4870000000000004E-6</c:v>
                </c:pt>
                <c:pt idx="17">
                  <c:v>2.243E-6</c:v>
                </c:pt>
                <c:pt idx="18">
                  <c:v>1.0950000000000001E-6</c:v>
                </c:pt>
                <c:pt idx="19">
                  <c:v>2.9569999999999998E-7</c:v>
                </c:pt>
                <c:pt idx="20">
                  <c:v>-5.5929999999999999E-8</c:v>
                </c:pt>
                <c:pt idx="21">
                  <c:v>-1.5379999999999999E-7</c:v>
                </c:pt>
              </c:numCache>
            </c:numRef>
          </c:yVal>
          <c:smooth val="0"/>
          <c:extLst>
            <c:ext xmlns:c16="http://schemas.microsoft.com/office/drawing/2014/chart" uri="{C3380CC4-5D6E-409C-BE32-E72D297353CC}">
              <c16:uniqueId val="{00000000-076D-4FD5-BE1F-6AB28239DB33}"/>
            </c:ext>
          </c:extLst>
        </c:ser>
        <c:dLbls>
          <c:showLegendKey val="0"/>
          <c:showVal val="0"/>
          <c:showCatName val="0"/>
          <c:showSerName val="0"/>
          <c:showPercent val="0"/>
          <c:showBubbleSize val="0"/>
        </c:dLbls>
        <c:axId val="50180001"/>
        <c:axId val="50180002"/>
      </c:scatterChart>
      <c:valAx>
        <c:axId val="50180001"/>
        <c:scaling>
          <c:orientation val="minMax"/>
          <c:max val="210"/>
          <c:min val="0"/>
        </c:scaling>
        <c:delete val="0"/>
        <c:axPos val="b"/>
        <c:title>
          <c:tx>
            <c:rich>
              <a:bodyPr/>
              <a:lstStyle/>
              <a:p>
                <a:pPr>
                  <a:defRPr/>
                </a:pPr>
                <a:r>
                  <a:rPr lang="en-US"/>
                  <a:t>Posición del micrómetro (µm)</a:t>
                </a:r>
              </a:p>
            </c:rich>
          </c:tx>
          <c:overlay val="0"/>
        </c:title>
        <c:numFmt formatCode="0" sourceLinked="1"/>
        <c:majorTickMark val="out"/>
        <c:minorTickMark val="none"/>
        <c:tickLblPos val="nextTo"/>
        <c:crossAx val="50180002"/>
        <c:crosses val="autoZero"/>
        <c:crossBetween val="midCat"/>
      </c:valAx>
      <c:valAx>
        <c:axId val="50180002"/>
        <c:scaling>
          <c:orientation val="minMax"/>
        </c:scaling>
        <c:delete val="0"/>
        <c:axPos val="l"/>
        <c:majorGridlines>
          <c:spPr>
            <a:ln>
              <a:solidFill>
                <a:srgbClr val="EEEEEE"/>
              </a:solidFill>
            </a:ln>
          </c:spPr>
        </c:majorGridlines>
        <c:title>
          <c:tx>
            <c:rich>
              <a:bodyPr rot="-5400000" vert="horz"/>
              <a:lstStyle/>
              <a:p>
                <a:pPr>
                  <a:defRPr/>
                </a:pPr>
                <a:r>
                  <a:rPr lang="en-US"/>
                  <a:t>Potencia óptica (W)</a:t>
                </a:r>
              </a:p>
            </c:rich>
          </c:tx>
          <c:overlay val="0"/>
        </c:title>
        <c:numFmt formatCode="0.0E+00" sourceLinked="0"/>
        <c:majorTickMark val="out"/>
        <c:minorTickMark val="none"/>
        <c:tickLblPos val="nextTo"/>
        <c:crossAx val="50180001"/>
        <c:crosses val="autoZero"/>
        <c:crossBetween val="midCat"/>
      </c:valAx>
    </c:plotArea>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Autocorrelación normalizada contra retardo</a:t>
            </a:r>
          </a:p>
        </c:rich>
      </c:tx>
      <c:overlay val="0"/>
    </c:title>
    <c:autoTitleDeleted val="0"/>
    <c:plotArea>
      <c:layout/>
      <c:scatterChart>
        <c:scatterStyle val="lineMarker"/>
        <c:varyColors val="0"/>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'R09'!$I$2:$I$23</c:f>
              <c:numCache>
                <c:formatCode>0.00</c:formatCode>
                <c:ptCount val="22"/>
                <c:pt idx="0">
                  <c:v>-789.43617427159006</c:v>
                </c:pt>
                <c:pt idx="1">
                  <c:v>-722.72335523195966</c:v>
                </c:pt>
                <c:pt idx="2">
                  <c:v>-656.01053619232925</c:v>
                </c:pt>
                <c:pt idx="3">
                  <c:v>-589.29771715269885</c:v>
                </c:pt>
                <c:pt idx="4">
                  <c:v>-522.58489811306845</c:v>
                </c:pt>
                <c:pt idx="5">
                  <c:v>-455.87207907343804</c:v>
                </c:pt>
                <c:pt idx="6">
                  <c:v>-389.15926003380758</c:v>
                </c:pt>
                <c:pt idx="7">
                  <c:v>-322.44644099417718</c:v>
                </c:pt>
                <c:pt idx="8">
                  <c:v>-255.73362195454683</c:v>
                </c:pt>
                <c:pt idx="9">
                  <c:v>-189.02080291491643</c:v>
                </c:pt>
                <c:pt idx="10">
                  <c:v>-122.30798387528603</c:v>
                </c:pt>
                <c:pt idx="11">
                  <c:v>-55.59516483565551</c:v>
                </c:pt>
                <c:pt idx="12">
                  <c:v>11.117654203974894</c:v>
                </c:pt>
                <c:pt idx="13">
                  <c:v>77.830473243605297</c:v>
                </c:pt>
                <c:pt idx="14">
                  <c:v>144.5432922832357</c:v>
                </c:pt>
                <c:pt idx="15">
                  <c:v>211.2561113228661</c:v>
                </c:pt>
                <c:pt idx="16">
                  <c:v>277.96893036249639</c:v>
                </c:pt>
                <c:pt idx="17">
                  <c:v>344.6817494021268</c:v>
                </c:pt>
                <c:pt idx="18">
                  <c:v>411.3945684417572</c:v>
                </c:pt>
                <c:pt idx="19">
                  <c:v>478.1073874813876</c:v>
                </c:pt>
                <c:pt idx="20">
                  <c:v>544.82020652101801</c:v>
                </c:pt>
                <c:pt idx="21">
                  <c:v>611.53302556064841</c:v>
                </c:pt>
              </c:numCache>
            </c:numRef>
          </c:xVal>
          <c:yVal>
            <c:numRef>
              <c:f>'R09'!$J$2:$J$23</c:f>
              <c:numCache>
                <c:formatCode>0.0000</c:formatCode>
                <c:ptCount val="22"/>
                <c:pt idx="0">
                  <c:v>5.9502097094588135E-4</c:v>
                </c:pt>
                <c:pt idx="1">
                  <c:v>4.5371327258490659E-3</c:v>
                </c:pt>
                <c:pt idx="2">
                  <c:v>6.0167289324273392E-3</c:v>
                </c:pt>
                <c:pt idx="3">
                  <c:v>1.0882631830882918E-2</c:v>
                </c:pt>
                <c:pt idx="4">
                  <c:v>1.5745056600032954E-2</c:v>
                </c:pt>
                <c:pt idx="5">
                  <c:v>2.8874994728460272E-2</c:v>
                </c:pt>
                <c:pt idx="6">
                  <c:v>4.9844636311583E-2</c:v>
                </c:pt>
                <c:pt idx="7">
                  <c:v>0.11419002846414071</c:v>
                </c:pt>
                <c:pt idx="8">
                  <c:v>0.21954256512905818</c:v>
                </c:pt>
                <c:pt idx="9">
                  <c:v>0.40663114047425164</c:v>
                </c:pt>
                <c:pt idx="10">
                  <c:v>0.72835810123704026</c:v>
                </c:pt>
                <c:pt idx="11">
                  <c:v>0.95617557075014992</c:v>
                </c:pt>
                <c:pt idx="12">
                  <c:v>1</c:v>
                </c:pt>
                <c:pt idx="13">
                  <c:v>0.85148387865328579</c:v>
                </c:pt>
                <c:pt idx="14">
                  <c:v>0.60697138847356646</c:v>
                </c:pt>
                <c:pt idx="15">
                  <c:v>0.32284300550370487</c:v>
                </c:pt>
                <c:pt idx="16">
                  <c:v>0.15714492538760494</c:v>
                </c:pt>
                <c:pt idx="17">
                  <c:v>7.9095703771205172E-2</c:v>
                </c:pt>
                <c:pt idx="18">
                  <c:v>3.9166779343563968E-2</c:v>
                </c:pt>
                <c:pt idx="19">
                  <c:v>1.1366091804353487E-2</c:v>
                </c:pt>
                <c:pt idx="20">
                  <c:v>-8.6405427272968395E-4</c:v>
                </c:pt>
                <c:pt idx="21">
                  <c:v>-4.268099424065263E-3</c:v>
                </c:pt>
              </c:numCache>
            </c:numRef>
          </c:yVal>
          <c:smooth val="0"/>
          <c:extLst>
            <c:ext xmlns:c16="http://schemas.microsoft.com/office/drawing/2014/chart" uri="{C3380CC4-5D6E-409C-BE32-E72D297353CC}">
              <c16:uniqueId val="{00000000-1573-43C9-A96D-828F6C48EDD1}"/>
            </c:ext>
          </c:extLst>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'R09'!$L$23:$L$24</c:f>
              <c:numCache>
                <c:formatCode>0.00</c:formatCode>
                <c:ptCount val="2"/>
                <c:pt idx="0">
                  <c:v>-169.65997653372131</c:v>
                </c:pt>
                <c:pt idx="1">
                  <c:v>169.65997653372119</c:v>
                </c:pt>
              </c:numCache>
            </c:numRef>
          </c:xVal>
          <c:yVal>
            <c:numRef>
              <c:f>'R09'!$M$23:$M$24</c:f>
              <c:numCache>
                <c:formatCode>0.00</c:formatCode>
                <c:ptCount val="2"/>
                <c:pt idx="0">
                  <c:v>0.5</c:v>
                </c:pt>
                <c:pt idx="1">
                  <c:v>0.5</c:v>
                </c:pt>
              </c:numCache>
            </c:numRef>
          </c:yVal>
          <c:smooth val="0"/>
          <c:extLst>
            <c:ext xmlns:c16="http://schemas.microsoft.com/office/drawing/2014/chart" uri="{C3380CC4-5D6E-409C-BE32-E72D297353CC}">
              <c16:uniqueId val="{00000001-1573-43C9-A96D-828F6C48EDD1}"/>
            </c:ext>
          </c:extLst>
        </c:ser>
        <c:dLbls>
          <c:showLegendKey val="0"/>
          <c:showVal val="0"/>
          <c:showCatName val="0"/>
          <c:showSerName val="0"/>
          <c:showPercent val="0"/>
          <c:showBubbleSize val="0"/>
        </c:dLbls>
        <c:axId val="50190001"/>
        <c:axId val="50190002"/>
      </c:scatterChart>
      <c:valAx>
        <c:axId val="50190001"/>
        <c:scaling>
          <c:orientation val="minMax"/>
        </c:scaling>
        <c:delete val="0"/>
        <c:axPos val="b"/>
        <c:title>
          <c:tx>
            <c:rich>
              <a:bodyPr/>
              <a:lstStyle/>
              <a:p>
                <a:pPr>
                  <a:defRPr/>
                </a:pPr>
                <a:r>
                  <a:rPr lang="en-US"/>
                  <a:t>Retardo respecto al centro (fs)</a:t>
                </a:r>
              </a:p>
            </c:rich>
          </c:tx>
          <c:overlay val="0"/>
        </c:title>
        <c:numFmt formatCode="0.00" sourceLinked="1"/>
        <c:majorTickMark val="out"/>
        <c:minorTickMark val="none"/>
        <c:tickLblPos val="nextTo"/>
        <c:crossAx val="50190002"/>
        <c:crosses val="autoZero"/>
        <c:crossBetween val="midCat"/>
      </c:valAx>
      <c:valAx>
        <c:axId val="50190002"/>
        <c:scaling>
          <c:orientation val="minMax"/>
          <c:max val="1.1000000000000001"/>
          <c:min val="-0.1"/>
        </c:scaling>
        <c:delete val="0"/>
        <c:axPos val="l"/>
        <c:majorGridlines>
          <c:spPr>
            <a:ln>
              <a:solidFill>
                <a:srgbClr val="EEEEEE"/>
              </a:solidFill>
            </a:ln>
          </c:spPr>
        </c:majorGridlines>
        <c:title>
          <c:tx>
            <c:rich>
              <a:bodyPr rot="-5400000" vert="horz"/>
              <a:lstStyle/>
              <a:p>
                <a:pPr>
                  <a:defRPr/>
                </a:pPr>
                <a:r>
                  <a:rPr lang="en-US"/>
                  <a:t>Señal normalizada</a:t>
                </a:r>
              </a:p>
            </c:rich>
          </c:tx>
          <c:overlay val="0"/>
        </c:title>
        <c:numFmt formatCode="0.0000" sourceLinked="1"/>
        <c:majorTickMark val="out"/>
        <c:minorTickMark val="none"/>
        <c:tickLblPos val="nextTo"/>
        <c:crossAx val="50190001"/>
        <c:crosses val="autoZero"/>
        <c:crossBetween val="midCat"/>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Traza cruda: potencia óptica contra posición</a:t>
            </a:r>
          </a:p>
        </c:rich>
      </c:tx>
      <c:overlay val="0"/>
    </c:title>
    <c:autoTitleDeleted val="0"/>
    <c:plotArea>
      <c:layout/>
      <c:scatterChart>
        <c:scatterStyle val="lineMarker"/>
        <c:varyColors val="0"/>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'R10'!$A$2:$A$23</c:f>
              <c:numCache>
                <c:formatCode>0</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'R10'!$B$2:$B$23</c:f>
              <c:numCache>
                <c:formatCode>0.000E+00</c:formatCode>
                <c:ptCount val="22"/>
              </c:numCache>
            </c:numRef>
          </c:yVal>
          <c:smooth val="0"/>
          <c:extLst>
            <c:ext xmlns:c16="http://schemas.microsoft.com/office/drawing/2014/chart" uri="{C3380CC4-5D6E-409C-BE32-E72D297353CC}">
              <c16:uniqueId val="{00000000-6203-4454-AF1F-43D33C5F93E4}"/>
            </c:ext>
          </c:extLst>
        </c:ser>
        <c:dLbls>
          <c:showLegendKey val="0"/>
          <c:showVal val="0"/>
          <c:showCatName val="0"/>
          <c:showSerName val="0"/>
          <c:showPercent val="0"/>
          <c:showBubbleSize val="0"/>
        </c:dLbls>
        <c:axId val="50200001"/>
        <c:axId val="50200002"/>
      </c:scatterChart>
      <c:valAx>
        <c:axId val="50200001"/>
        <c:scaling>
          <c:orientation val="minMax"/>
          <c:max val="210"/>
          <c:min val="0"/>
        </c:scaling>
        <c:delete val="0"/>
        <c:axPos val="b"/>
        <c:title>
          <c:tx>
            <c:rich>
              <a:bodyPr/>
              <a:lstStyle/>
              <a:p>
                <a:pPr>
                  <a:defRPr/>
                </a:pPr>
                <a:r>
                  <a:rPr lang="en-US"/>
                  <a:t>Posición del micrómetro (µm)</a:t>
                </a:r>
              </a:p>
            </c:rich>
          </c:tx>
          <c:overlay val="0"/>
        </c:title>
        <c:numFmt formatCode="0" sourceLinked="1"/>
        <c:majorTickMark val="out"/>
        <c:minorTickMark val="none"/>
        <c:tickLblPos val="nextTo"/>
        <c:crossAx val="50200002"/>
        <c:crosses val="autoZero"/>
        <c:crossBetween val="midCat"/>
      </c:valAx>
      <c:valAx>
        <c:axId val="50200002"/>
        <c:scaling>
          <c:orientation val="minMax"/>
        </c:scaling>
        <c:delete val="0"/>
        <c:axPos val="l"/>
        <c:majorGridlines>
          <c:spPr>
            <a:ln>
              <a:solidFill>
                <a:srgbClr val="EEEEEE"/>
              </a:solidFill>
            </a:ln>
          </c:spPr>
        </c:majorGridlines>
        <c:title>
          <c:tx>
            <c:rich>
              <a:bodyPr rot="-5400000" vert="horz"/>
              <a:lstStyle/>
              <a:p>
                <a:pPr>
                  <a:defRPr/>
                </a:pPr>
                <a:r>
                  <a:rPr lang="en-US"/>
                  <a:t>Potencia óptica (W)</a:t>
                </a:r>
              </a:p>
            </c:rich>
          </c:tx>
          <c:overlay val="0"/>
        </c:title>
        <c:numFmt formatCode="0.0E+00" sourceLinked="0"/>
        <c:majorTickMark val="out"/>
        <c:minorTickMark val="none"/>
        <c:tickLblPos val="nextTo"/>
        <c:crossAx val="50200001"/>
        <c:crosses val="autoZero"/>
        <c:crossBetween val="midCat"/>
      </c:valAx>
    </c:plotArea>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Autocorrelación normalizada contra retardo</a:t>
            </a:r>
          </a:p>
        </c:rich>
      </c:tx>
      <c:overlay val="0"/>
    </c:title>
    <c:autoTitleDeleted val="0"/>
    <c:plotArea>
      <c:layout/>
      <c:scatterChart>
        <c:scatterStyle val="lineMarker"/>
        <c:varyColors val="0"/>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'R10'!$I$2:$I$23</c:f>
              <c:numCache>
                <c:formatCode>0.00</c:formatCode>
                <c:ptCount val="2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xVal>
          <c:yVal>
            <c:numRef>
              <c:f>'R10'!$J$2:$J$23</c:f>
              <c:numCache>
                <c:formatCode>0.0000</c:formatCode>
                <c:ptCount val="2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0-1515-465E-AA40-2A00EF3AA4DA}"/>
            </c:ext>
          </c:extLst>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'R10'!$L$23:$L$24</c:f>
              <c:numCache>
                <c:formatCode>0.00</c:formatCode>
                <c:ptCount val="2"/>
                <c:pt idx="0">
                  <c:v>#N/A</c:v>
                </c:pt>
                <c:pt idx="1">
                  <c:v>#N/A</c:v>
                </c:pt>
              </c:numCache>
            </c:numRef>
          </c:xVal>
          <c:yVal>
            <c:numRef>
              <c:f>'R10'!$M$23:$M$24</c:f>
              <c:numCache>
                <c:formatCode>0.00</c:formatCode>
                <c:ptCount val="2"/>
                <c:pt idx="0">
                  <c:v>#N/A</c:v>
                </c:pt>
                <c:pt idx="1">
                  <c:v>#N/A</c:v>
                </c:pt>
              </c:numCache>
            </c:numRef>
          </c:yVal>
          <c:smooth val="0"/>
          <c:extLst>
            <c:ext xmlns:c16="http://schemas.microsoft.com/office/drawing/2014/chart" uri="{C3380CC4-5D6E-409C-BE32-E72D297353CC}">
              <c16:uniqueId val="{00000001-1515-465E-AA40-2A00EF3AA4DA}"/>
            </c:ext>
          </c:extLst>
        </c:ser>
        <c:dLbls>
          <c:showLegendKey val="0"/>
          <c:showVal val="0"/>
          <c:showCatName val="0"/>
          <c:showSerName val="0"/>
          <c:showPercent val="0"/>
          <c:showBubbleSize val="0"/>
        </c:dLbls>
        <c:axId val="50210001"/>
        <c:axId val="50210002"/>
      </c:scatterChart>
      <c:valAx>
        <c:axId val="50210001"/>
        <c:scaling>
          <c:orientation val="minMax"/>
        </c:scaling>
        <c:delete val="0"/>
        <c:axPos val="b"/>
        <c:title>
          <c:tx>
            <c:rich>
              <a:bodyPr/>
              <a:lstStyle/>
              <a:p>
                <a:pPr>
                  <a:defRPr/>
                </a:pPr>
                <a:r>
                  <a:rPr lang="en-US"/>
                  <a:t>Retardo respecto al centro (fs)</a:t>
                </a:r>
              </a:p>
            </c:rich>
          </c:tx>
          <c:overlay val="0"/>
        </c:title>
        <c:numFmt formatCode="0.00" sourceLinked="1"/>
        <c:majorTickMark val="out"/>
        <c:minorTickMark val="none"/>
        <c:tickLblPos val="nextTo"/>
        <c:crossAx val="50210002"/>
        <c:crosses val="autoZero"/>
        <c:crossBetween val="midCat"/>
      </c:valAx>
      <c:valAx>
        <c:axId val="50210002"/>
        <c:scaling>
          <c:orientation val="minMax"/>
          <c:max val="1.1000000000000001"/>
          <c:min val="-0.1"/>
        </c:scaling>
        <c:delete val="0"/>
        <c:axPos val="l"/>
        <c:majorGridlines>
          <c:spPr>
            <a:ln>
              <a:solidFill>
                <a:srgbClr val="EEEEEE"/>
              </a:solidFill>
            </a:ln>
          </c:spPr>
        </c:majorGridlines>
        <c:title>
          <c:tx>
            <c:rich>
              <a:bodyPr rot="-5400000" vert="horz"/>
              <a:lstStyle/>
              <a:p>
                <a:pPr>
                  <a:defRPr/>
                </a:pPr>
                <a:r>
                  <a:rPr lang="en-US"/>
                  <a:t>Señal normalizada</a:t>
                </a:r>
              </a:p>
            </c:rich>
          </c:tx>
          <c:overlay val="0"/>
        </c:title>
        <c:numFmt formatCode="0.0000" sourceLinked="1"/>
        <c:majorTickMark val="out"/>
        <c:minorTickMark val="none"/>
        <c:tickLblPos val="nextTo"/>
        <c:crossAx val="50210001"/>
        <c:crosses val="autoZero"/>
        <c:crossBetween val="midCat"/>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Traza cruda: potencia óptica contra posición</a:t>
            </a:r>
          </a:p>
        </c:rich>
      </c:tx>
      <c:overlay val="0"/>
    </c:title>
    <c:autoTitleDeleted val="0"/>
    <c:plotArea>
      <c:layout/>
      <c:scatterChart>
        <c:scatterStyle val="lineMarker"/>
        <c:varyColors val="0"/>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'R11'!$A$2:$A$23</c:f>
              <c:numCache>
                <c:formatCode>0</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'R11'!$B$2:$B$23</c:f>
              <c:numCache>
                <c:formatCode>0.000E+00</c:formatCode>
                <c:ptCount val="22"/>
              </c:numCache>
            </c:numRef>
          </c:yVal>
          <c:smooth val="0"/>
          <c:extLst>
            <c:ext xmlns:c16="http://schemas.microsoft.com/office/drawing/2014/chart" uri="{C3380CC4-5D6E-409C-BE32-E72D297353CC}">
              <c16:uniqueId val="{00000000-1008-4234-B750-38EE6E76C58D}"/>
            </c:ext>
          </c:extLst>
        </c:ser>
        <c:dLbls>
          <c:showLegendKey val="0"/>
          <c:showVal val="0"/>
          <c:showCatName val="0"/>
          <c:showSerName val="0"/>
          <c:showPercent val="0"/>
          <c:showBubbleSize val="0"/>
        </c:dLbls>
        <c:axId val="50220001"/>
        <c:axId val="50220002"/>
      </c:scatterChart>
      <c:valAx>
        <c:axId val="50220001"/>
        <c:scaling>
          <c:orientation val="minMax"/>
          <c:max val="210"/>
          <c:min val="0"/>
        </c:scaling>
        <c:delete val="0"/>
        <c:axPos val="b"/>
        <c:title>
          <c:tx>
            <c:rich>
              <a:bodyPr/>
              <a:lstStyle/>
              <a:p>
                <a:pPr>
                  <a:defRPr/>
                </a:pPr>
                <a:r>
                  <a:rPr lang="en-US"/>
                  <a:t>Posición del micrómetro (µm)</a:t>
                </a:r>
              </a:p>
            </c:rich>
          </c:tx>
          <c:overlay val="0"/>
        </c:title>
        <c:numFmt formatCode="0" sourceLinked="1"/>
        <c:majorTickMark val="out"/>
        <c:minorTickMark val="none"/>
        <c:tickLblPos val="nextTo"/>
        <c:crossAx val="50220002"/>
        <c:crosses val="autoZero"/>
        <c:crossBetween val="midCat"/>
      </c:valAx>
      <c:valAx>
        <c:axId val="50220002"/>
        <c:scaling>
          <c:orientation val="minMax"/>
        </c:scaling>
        <c:delete val="0"/>
        <c:axPos val="l"/>
        <c:majorGridlines>
          <c:spPr>
            <a:ln>
              <a:solidFill>
                <a:srgbClr val="EEEEEE"/>
              </a:solidFill>
            </a:ln>
          </c:spPr>
        </c:majorGridlines>
        <c:title>
          <c:tx>
            <c:rich>
              <a:bodyPr rot="-5400000" vert="horz"/>
              <a:lstStyle/>
              <a:p>
                <a:pPr>
                  <a:defRPr/>
                </a:pPr>
                <a:r>
                  <a:rPr lang="en-US"/>
                  <a:t>Potencia óptica (W)</a:t>
                </a:r>
              </a:p>
            </c:rich>
          </c:tx>
          <c:overlay val="0"/>
        </c:title>
        <c:numFmt formatCode="0.0E+00" sourceLinked="0"/>
        <c:majorTickMark val="out"/>
        <c:minorTickMark val="none"/>
        <c:tickLblPos val="nextTo"/>
        <c:crossAx val="50220001"/>
        <c:crosses val="autoZero"/>
        <c:crossBetween val="midCat"/>
      </c:valAx>
    </c:plotArea>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Autocorrelación normalizada contra retardo</a:t>
            </a:r>
          </a:p>
        </c:rich>
      </c:tx>
      <c:overlay val="0"/>
    </c:title>
    <c:autoTitleDeleted val="0"/>
    <c:plotArea>
      <c:layout/>
      <c:scatterChart>
        <c:scatterStyle val="lineMarker"/>
        <c:varyColors val="0"/>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'R11'!$I$2:$I$23</c:f>
              <c:numCache>
                <c:formatCode>0.00</c:formatCode>
                <c:ptCount val="2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xVal>
          <c:yVal>
            <c:numRef>
              <c:f>'R11'!$J$2:$J$23</c:f>
              <c:numCache>
                <c:formatCode>0.0000</c:formatCode>
                <c:ptCount val="2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0-7BBB-4E03-B156-6FDC8A3BD903}"/>
            </c:ext>
          </c:extLst>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'R11'!$L$23:$L$24</c:f>
              <c:numCache>
                <c:formatCode>0.00</c:formatCode>
                <c:ptCount val="2"/>
                <c:pt idx="0">
                  <c:v>#N/A</c:v>
                </c:pt>
                <c:pt idx="1">
                  <c:v>#N/A</c:v>
                </c:pt>
              </c:numCache>
            </c:numRef>
          </c:xVal>
          <c:yVal>
            <c:numRef>
              <c:f>'R11'!$M$23:$M$24</c:f>
              <c:numCache>
                <c:formatCode>0.00</c:formatCode>
                <c:ptCount val="2"/>
                <c:pt idx="0">
                  <c:v>#N/A</c:v>
                </c:pt>
                <c:pt idx="1">
                  <c:v>#N/A</c:v>
                </c:pt>
              </c:numCache>
            </c:numRef>
          </c:yVal>
          <c:smooth val="0"/>
          <c:extLst>
            <c:ext xmlns:c16="http://schemas.microsoft.com/office/drawing/2014/chart" uri="{C3380CC4-5D6E-409C-BE32-E72D297353CC}">
              <c16:uniqueId val="{00000001-7BBB-4E03-B156-6FDC8A3BD903}"/>
            </c:ext>
          </c:extLst>
        </c:ser>
        <c:dLbls>
          <c:showLegendKey val="0"/>
          <c:showVal val="0"/>
          <c:showCatName val="0"/>
          <c:showSerName val="0"/>
          <c:showPercent val="0"/>
          <c:showBubbleSize val="0"/>
        </c:dLbls>
        <c:axId val="50230001"/>
        <c:axId val="50230002"/>
      </c:scatterChart>
      <c:valAx>
        <c:axId val="50230001"/>
        <c:scaling>
          <c:orientation val="minMax"/>
        </c:scaling>
        <c:delete val="0"/>
        <c:axPos val="b"/>
        <c:title>
          <c:tx>
            <c:rich>
              <a:bodyPr/>
              <a:lstStyle/>
              <a:p>
                <a:pPr>
                  <a:defRPr/>
                </a:pPr>
                <a:r>
                  <a:rPr lang="en-US"/>
                  <a:t>Retardo respecto al centro (fs)</a:t>
                </a:r>
              </a:p>
            </c:rich>
          </c:tx>
          <c:overlay val="0"/>
        </c:title>
        <c:numFmt formatCode="0.00" sourceLinked="1"/>
        <c:majorTickMark val="out"/>
        <c:minorTickMark val="none"/>
        <c:tickLblPos val="nextTo"/>
        <c:crossAx val="50230002"/>
        <c:crosses val="autoZero"/>
        <c:crossBetween val="midCat"/>
      </c:valAx>
      <c:valAx>
        <c:axId val="50230002"/>
        <c:scaling>
          <c:orientation val="minMax"/>
          <c:max val="1.1000000000000001"/>
          <c:min val="-0.1"/>
        </c:scaling>
        <c:delete val="0"/>
        <c:axPos val="l"/>
        <c:majorGridlines>
          <c:spPr>
            <a:ln>
              <a:solidFill>
                <a:srgbClr val="EEEEEE"/>
              </a:solidFill>
            </a:ln>
          </c:spPr>
        </c:majorGridlines>
        <c:title>
          <c:tx>
            <c:rich>
              <a:bodyPr rot="-5400000" vert="horz"/>
              <a:lstStyle/>
              <a:p>
                <a:pPr>
                  <a:defRPr/>
                </a:pPr>
                <a:r>
                  <a:rPr lang="en-US"/>
                  <a:t>Señal normalizada</a:t>
                </a:r>
              </a:p>
            </c:rich>
          </c:tx>
          <c:overlay val="0"/>
        </c:title>
        <c:numFmt formatCode="0.0000" sourceLinked="1"/>
        <c:majorTickMark val="out"/>
        <c:minorTickMark val="none"/>
        <c:tickLblPos val="nextTo"/>
        <c:crossAx val="50230001"/>
        <c:crosses val="autoZero"/>
        <c:crossBetween val="midCat"/>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Traza cruda: potencia óptica contra posición</a:t>
            </a:r>
          </a:p>
        </c:rich>
      </c:tx>
      <c:overlay val="0"/>
    </c:title>
    <c:autoTitleDeleted val="0"/>
    <c:plotArea>
      <c:layout/>
      <c:scatterChart>
        <c:scatterStyle val="lineMarker"/>
        <c:varyColors val="0"/>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'R12'!$A$2:$A$23</c:f>
              <c:numCache>
                <c:formatCode>0</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'R12'!$B$2:$B$23</c:f>
              <c:numCache>
                <c:formatCode>0.000E+00</c:formatCode>
                <c:ptCount val="22"/>
              </c:numCache>
            </c:numRef>
          </c:yVal>
          <c:smooth val="0"/>
          <c:extLst>
            <c:ext xmlns:c16="http://schemas.microsoft.com/office/drawing/2014/chart" uri="{C3380CC4-5D6E-409C-BE32-E72D297353CC}">
              <c16:uniqueId val="{00000000-CA6A-4672-A41A-84C1A85D8D1D}"/>
            </c:ext>
          </c:extLst>
        </c:ser>
        <c:dLbls>
          <c:showLegendKey val="0"/>
          <c:showVal val="0"/>
          <c:showCatName val="0"/>
          <c:showSerName val="0"/>
          <c:showPercent val="0"/>
          <c:showBubbleSize val="0"/>
        </c:dLbls>
        <c:axId val="50240001"/>
        <c:axId val="50240002"/>
      </c:scatterChart>
      <c:valAx>
        <c:axId val="50240001"/>
        <c:scaling>
          <c:orientation val="minMax"/>
          <c:max val="210"/>
          <c:min val="0"/>
        </c:scaling>
        <c:delete val="0"/>
        <c:axPos val="b"/>
        <c:title>
          <c:tx>
            <c:rich>
              <a:bodyPr/>
              <a:lstStyle/>
              <a:p>
                <a:pPr>
                  <a:defRPr/>
                </a:pPr>
                <a:r>
                  <a:rPr lang="en-US"/>
                  <a:t>Posición del micrómetro (µm)</a:t>
                </a:r>
              </a:p>
            </c:rich>
          </c:tx>
          <c:overlay val="0"/>
        </c:title>
        <c:numFmt formatCode="0" sourceLinked="1"/>
        <c:majorTickMark val="out"/>
        <c:minorTickMark val="none"/>
        <c:tickLblPos val="nextTo"/>
        <c:crossAx val="50240002"/>
        <c:crosses val="autoZero"/>
        <c:crossBetween val="midCat"/>
      </c:valAx>
      <c:valAx>
        <c:axId val="50240002"/>
        <c:scaling>
          <c:orientation val="minMax"/>
        </c:scaling>
        <c:delete val="0"/>
        <c:axPos val="l"/>
        <c:majorGridlines>
          <c:spPr>
            <a:ln>
              <a:solidFill>
                <a:srgbClr val="EEEEEE"/>
              </a:solidFill>
            </a:ln>
          </c:spPr>
        </c:majorGridlines>
        <c:title>
          <c:tx>
            <c:rich>
              <a:bodyPr rot="-5400000" vert="horz"/>
              <a:lstStyle/>
              <a:p>
                <a:pPr>
                  <a:defRPr/>
                </a:pPr>
                <a:r>
                  <a:rPr lang="en-US"/>
                  <a:t>Potencia óptica (W)</a:t>
                </a:r>
              </a:p>
            </c:rich>
          </c:tx>
          <c:overlay val="0"/>
        </c:title>
        <c:numFmt formatCode="0.0E+00" sourceLinked="0"/>
        <c:majorTickMark val="out"/>
        <c:minorTickMark val="none"/>
        <c:tickLblPos val="nextTo"/>
        <c:crossAx val="50240001"/>
        <c:crosses val="autoZero"/>
        <c:crossBetween val="midCat"/>
      </c:valAx>
    </c:plotArea>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pPr>
            <a:r>
              <a:rPr lang="en-US" sz="1100" baseline="0"/>
              <a:t>Autocorrelación normalizada contra retardo</a:t>
            </a:r>
          </a:p>
        </c:rich>
      </c:tx>
      <c:overlay val="0"/>
    </c:title>
    <c:autoTitleDeleted val="0"/>
    <c:plotArea>
      <c:layout/>
      <c:scatterChart>
        <c:scatterStyle val="lineMarker"/>
        <c:varyColors val="0"/>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'R12'!$I$2:$I$23</c:f>
              <c:numCache>
                <c:formatCode>0.00</c:formatCode>
                <c:ptCount val="2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xVal>
          <c:yVal>
            <c:numRef>
              <c:f>'R12'!$J$2:$J$23</c:f>
              <c:numCache>
                <c:formatCode>0.0000</c:formatCode>
                <c:ptCount val="2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0-5D1A-428C-8A65-BEB862932763}"/>
            </c:ext>
          </c:extLst>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'R12'!$L$23:$L$24</c:f>
              <c:numCache>
                <c:formatCode>0.00</c:formatCode>
                <c:ptCount val="2"/>
                <c:pt idx="0">
                  <c:v>#N/A</c:v>
                </c:pt>
                <c:pt idx="1">
                  <c:v>#N/A</c:v>
                </c:pt>
              </c:numCache>
            </c:numRef>
          </c:xVal>
          <c:yVal>
            <c:numRef>
              <c:f>'R12'!$M$23:$M$24</c:f>
              <c:numCache>
                <c:formatCode>0.00</c:formatCode>
                <c:ptCount val="2"/>
                <c:pt idx="0">
                  <c:v>#N/A</c:v>
                </c:pt>
                <c:pt idx="1">
                  <c:v>#N/A</c:v>
                </c:pt>
              </c:numCache>
            </c:numRef>
          </c:yVal>
          <c:smooth val="0"/>
          <c:extLst>
            <c:ext xmlns:c16="http://schemas.microsoft.com/office/drawing/2014/chart" uri="{C3380CC4-5D6E-409C-BE32-E72D297353CC}">
              <c16:uniqueId val="{00000001-5D1A-428C-8A65-BEB862932763}"/>
            </c:ext>
          </c:extLst>
        </c:ser>
        <c:dLbls>
          <c:showLegendKey val="0"/>
          <c:showVal val="0"/>
          <c:showCatName val="0"/>
          <c:showSerName val="0"/>
          <c:showPercent val="0"/>
          <c:showBubbleSize val="0"/>
        </c:dLbls>
        <c:axId val="50250001"/>
        <c:axId val="50250002"/>
      </c:scatterChart>
      <c:valAx>
        <c:axId val="50250001"/>
        <c:scaling>
          <c:orientation val="minMax"/>
        </c:scaling>
        <c:delete val="0"/>
        <c:axPos val="b"/>
        <c:title>
          <c:tx>
            <c:rich>
              <a:bodyPr/>
              <a:lstStyle/>
              <a:p>
                <a:pPr>
                  <a:defRPr/>
                </a:pPr>
                <a:r>
                  <a:rPr lang="en-US"/>
                  <a:t>Retardo respecto al centro (fs)</a:t>
                </a:r>
              </a:p>
            </c:rich>
          </c:tx>
          <c:overlay val="0"/>
        </c:title>
        <c:numFmt formatCode="0.00" sourceLinked="1"/>
        <c:majorTickMark val="out"/>
        <c:minorTickMark val="none"/>
        <c:tickLblPos val="nextTo"/>
        <c:crossAx val="50250002"/>
        <c:crosses val="autoZero"/>
        <c:crossBetween val="midCat"/>
      </c:valAx>
      <c:valAx>
        <c:axId val="50250002"/>
        <c:scaling>
          <c:orientation val="minMax"/>
          <c:max val="1.1000000000000001"/>
          <c:min val="-0.1"/>
        </c:scaling>
        <c:delete val="0"/>
        <c:axPos val="l"/>
        <c:majorGridlines>
          <c:spPr>
            <a:ln>
              <a:solidFill>
                <a:srgbClr val="EEEEEE"/>
              </a:solidFill>
            </a:ln>
          </c:spPr>
        </c:majorGridlines>
        <c:title>
          <c:tx>
            <c:rich>
              <a:bodyPr rot="-5400000" vert="horz"/>
              <a:lstStyle/>
              <a:p>
                <a:pPr>
                  <a:defRPr/>
                </a:pPr>
                <a:r>
                  <a:rPr lang="en-US"/>
                  <a:t>Señal normalizada</a:t>
                </a:r>
              </a:p>
            </c:rich>
          </c:tx>
          <c:overlay val="0"/>
        </c:title>
        <c:numFmt formatCode="0.0000" sourceLinked="1"/>
        <c:majorTickMark val="out"/>
        <c:minorTickMark val="none"/>
        <c:tickLblPos val="nextTo"/>
        <c:crossAx val="50250001"/>
        <c:crosses val="autoZero"/>
        <c:crossBetween val="midCat"/>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4</xdr:col>
      <xdr:colOff>0</xdr:colOff>
      <xdr:row>3</xdr:row>
      <xdr:rowOff>0</xdr:rowOff>
    </xdr:from>
    <xdr:to>
      <xdr:col>12</xdr:col>
      <xdr:colOff>457200</xdr:colOff>
      <xdr:row>17</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baseColWidth="10" defaultColWidth="8.88671875" defaultRowHeight="14.4" x14ac:dyDescent="0.3"/>
  <cols>
    <col min="1" max="1" width="110.6640625" customWidth="1"/>
  </cols>
  <sheetData>
    <row r="1" spans="1:1" ht="17.399999999999999" x14ac:dyDescent="0.3">
      <c r="A1" s="1" t="s">
        <v>0</v>
      </c>
    </row>
    <row r="2" spans="1:1" x14ac:dyDescent="0.3">
      <c r="A2" s="2" t="s">
        <v>1</v>
      </c>
    </row>
    <row r="4" spans="1:1" ht="42" customHeight="1" x14ac:dyDescent="0.3">
      <c r="A4" s="3" t="s">
        <v>2</v>
      </c>
    </row>
    <row r="5" spans="1:1" ht="42" customHeight="1" x14ac:dyDescent="0.3">
      <c r="A5" s="3" t="s">
        <v>3</v>
      </c>
    </row>
    <row r="6" spans="1:1" ht="42" customHeight="1" x14ac:dyDescent="0.3">
      <c r="A6" s="3" t="s">
        <v>4</v>
      </c>
    </row>
    <row r="7" spans="1:1" ht="42" customHeight="1" x14ac:dyDescent="0.3">
      <c r="A7" s="3" t="s">
        <v>5</v>
      </c>
    </row>
    <row r="8" spans="1:1" ht="42" customHeight="1" x14ac:dyDescent="0.3">
      <c r="A8" s="3" t="s">
        <v>6</v>
      </c>
    </row>
    <row r="9" spans="1:1" ht="42" customHeight="1" x14ac:dyDescent="0.3">
      <c r="A9" s="3" t="s">
        <v>7</v>
      </c>
    </row>
    <row r="10" spans="1:1" ht="42" customHeight="1" x14ac:dyDescent="0.3">
      <c r="A10" s="3" t="s">
        <v>8</v>
      </c>
    </row>
    <row r="11" spans="1:1" ht="42" customHeight="1" x14ac:dyDescent="0.3">
      <c r="A11" s="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baseColWidth="10" defaultColWidth="8.88671875" defaultRowHeight="14.4" x14ac:dyDescent="0.3"/>
  <cols>
    <col min="1" max="1" width="50.6640625" customWidth="1"/>
    <col min="2" max="2" width="16.6640625" customWidth="1"/>
    <col min="3" max="3" width="70.6640625" customWidth="1"/>
  </cols>
  <sheetData>
    <row r="1" spans="1:3" ht="17.399999999999999" x14ac:dyDescent="0.3">
      <c r="A1" s="1" t="s">
        <v>10</v>
      </c>
    </row>
    <row r="2" spans="1:3" x14ac:dyDescent="0.3">
      <c r="A2" s="2" t="s">
        <v>11</v>
      </c>
    </row>
    <row r="4" spans="1:3" x14ac:dyDescent="0.3">
      <c r="A4" s="4" t="s">
        <v>12</v>
      </c>
      <c r="B4" s="4" t="s">
        <v>13</v>
      </c>
      <c r="C4" s="4" t="s">
        <v>14</v>
      </c>
    </row>
    <row r="5" spans="1:3" x14ac:dyDescent="0.3">
      <c r="A5" s="5" t="s">
        <v>15</v>
      </c>
      <c r="B5" s="6">
        <v>5</v>
      </c>
      <c r="C5" s="7" t="s">
        <v>16</v>
      </c>
    </row>
    <row r="6" spans="1:3" x14ac:dyDescent="0.3">
      <c r="A6" s="5" t="s">
        <v>17</v>
      </c>
      <c r="B6" s="6">
        <v>107</v>
      </c>
      <c r="C6" s="7" t="s">
        <v>18</v>
      </c>
    </row>
    <row r="7" spans="1:3" x14ac:dyDescent="0.3">
      <c r="A7" s="5" t="s">
        <v>19</v>
      </c>
      <c r="B7" s="6">
        <v>218</v>
      </c>
      <c r="C7" s="7" t="s">
        <v>20</v>
      </c>
    </row>
    <row r="8" spans="1:3" x14ac:dyDescent="0.3">
      <c r="A8" s="5" t="s">
        <v>21</v>
      </c>
      <c r="B8" s="6">
        <v>10</v>
      </c>
      <c r="C8" s="7" t="s">
        <v>22</v>
      </c>
    </row>
    <row r="9" spans="1:3" x14ac:dyDescent="0.3">
      <c r="A9" s="5" t="s">
        <v>23</v>
      </c>
      <c r="B9" s="6">
        <v>2</v>
      </c>
      <c r="C9" s="7" t="s">
        <v>24</v>
      </c>
    </row>
    <row r="10" spans="1:3" x14ac:dyDescent="0.3">
      <c r="A10" s="5" t="s">
        <v>25</v>
      </c>
      <c r="B10" s="8">
        <v>299792458</v>
      </c>
      <c r="C10" s="7" t="s">
        <v>26</v>
      </c>
    </row>
    <row r="11" spans="1:3" x14ac:dyDescent="0.3">
      <c r="A11" s="5" t="s">
        <v>27</v>
      </c>
      <c r="B11" s="9">
        <f>pasos*10^-6/c_luz*10^15</f>
        <v>6.6712819039630409</v>
      </c>
      <c r="C11" s="7" t="s">
        <v>28</v>
      </c>
    </row>
    <row r="12" spans="1:3" x14ac:dyDescent="0.3">
      <c r="A12" s="5" t="s">
        <v>29</v>
      </c>
      <c r="B12" s="6">
        <v>0.65</v>
      </c>
      <c r="C12" s="7" t="s">
        <v>30</v>
      </c>
    </row>
    <row r="13" spans="1:3" x14ac:dyDescent="0.3">
      <c r="A13" s="5" t="s">
        <v>31</v>
      </c>
      <c r="B13" s="10">
        <v>2</v>
      </c>
      <c r="C13" s="7" t="s">
        <v>32</v>
      </c>
    </row>
    <row r="14" spans="1:3" x14ac:dyDescent="0.3">
      <c r="A14" s="5" t="s">
        <v>33</v>
      </c>
      <c r="B14" s="10">
        <v>0</v>
      </c>
      <c r="C14" s="7" t="s">
        <v>34</v>
      </c>
    </row>
    <row r="15" spans="1:3" x14ac:dyDescent="0.3">
      <c r="A15" s="5" t="s">
        <v>35</v>
      </c>
      <c r="B15" s="10">
        <v>4</v>
      </c>
      <c r="C15" s="7" t="s">
        <v>36</v>
      </c>
    </row>
    <row r="16" spans="1:3" ht="26.4" x14ac:dyDescent="0.3">
      <c r="A16" s="5" t="s">
        <v>37</v>
      </c>
      <c r="B16" s="6">
        <v>2</v>
      </c>
      <c r="C16" s="7" t="s">
        <v>38</v>
      </c>
    </row>
    <row r="17" spans="1:3" x14ac:dyDescent="0.3">
      <c r="A17" s="5" t="s">
        <v>39</v>
      </c>
      <c r="B17" s="6">
        <v>0.05</v>
      </c>
      <c r="C17" s="7"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3"/>
  <sheetViews>
    <sheetView workbookViewId="0">
      <pane ySplit="6" topLeftCell="A7" activePane="bottomLeft" state="frozen"/>
      <selection pane="bottomLeft" activeCell="D16" sqref="D16"/>
    </sheetView>
  </sheetViews>
  <sheetFormatPr baseColWidth="10" defaultColWidth="8.88671875" defaultRowHeight="14.4" x14ac:dyDescent="0.3"/>
  <cols>
    <col min="1" max="1" width="5.6640625" customWidth="1"/>
    <col min="2" max="2" width="8.6640625" customWidth="1"/>
    <col min="3" max="3" width="16.6640625" customWidth="1"/>
    <col min="4" max="6" width="11.6640625" customWidth="1"/>
    <col min="7" max="7" width="12.6640625" customWidth="1"/>
    <col min="8" max="8" width="13.6640625" customWidth="1"/>
    <col min="9" max="9" width="9.6640625" customWidth="1"/>
    <col min="10" max="10" width="36.6640625" customWidth="1"/>
    <col min="11" max="12" width="12.6640625" customWidth="1"/>
    <col min="13" max="13" width="36.6640625" customWidth="1"/>
    <col min="14" max="14" width="12.6640625" customWidth="1"/>
  </cols>
  <sheetData>
    <row r="1" spans="1:14" ht="17.399999999999999" x14ac:dyDescent="0.3">
      <c r="A1" s="1" t="s">
        <v>86</v>
      </c>
    </row>
    <row r="2" spans="1:14" x14ac:dyDescent="0.3">
      <c r="A2" s="2" t="s">
        <v>87</v>
      </c>
    </row>
    <row r="4" spans="1:14" ht="30" customHeight="1" x14ac:dyDescent="0.3">
      <c r="A4" s="11" t="s">
        <v>88</v>
      </c>
      <c r="B4" s="27" t="s">
        <v>89</v>
      </c>
      <c r="C4" s="27"/>
      <c r="D4" s="11" t="s">
        <v>90</v>
      </c>
      <c r="E4" s="13"/>
      <c r="F4" s="11" t="s">
        <v>91</v>
      </c>
      <c r="G4" s="14">
        <f>corriente</f>
        <v>5</v>
      </c>
      <c r="H4" s="11" t="s">
        <v>92</v>
      </c>
      <c r="I4" s="12"/>
      <c r="J4" s="11" t="s">
        <v>93</v>
      </c>
      <c r="K4" s="27"/>
      <c r="L4" s="27"/>
      <c r="M4" s="27"/>
    </row>
    <row r="6" spans="1:14" ht="42" customHeight="1" x14ac:dyDescent="0.3">
      <c r="A6" s="4" t="s">
        <v>94</v>
      </c>
      <c r="B6" s="4" t="s">
        <v>95</v>
      </c>
      <c r="C6" s="4" t="s">
        <v>96</v>
      </c>
      <c r="D6" s="4" t="s">
        <v>97</v>
      </c>
      <c r="E6" s="4" t="s">
        <v>98</v>
      </c>
      <c r="F6" s="4" t="s">
        <v>99</v>
      </c>
      <c r="G6" s="4" t="s">
        <v>100</v>
      </c>
      <c r="H6" s="4" t="s">
        <v>69</v>
      </c>
      <c r="I6" s="4" t="s">
        <v>101</v>
      </c>
      <c r="J6" s="4" t="s">
        <v>102</v>
      </c>
      <c r="K6" s="4" t="s">
        <v>103</v>
      </c>
      <c r="L6" s="4" t="s">
        <v>104</v>
      </c>
      <c r="M6" s="4" t="s">
        <v>70</v>
      </c>
      <c r="N6" s="4" t="s">
        <v>105</v>
      </c>
    </row>
    <row r="7" spans="1:14" x14ac:dyDescent="0.3">
      <c r="A7" s="10">
        <v>1</v>
      </c>
      <c r="B7" s="15" t="s">
        <v>106</v>
      </c>
      <c r="C7" s="13">
        <v>0.29375000000000001</v>
      </c>
      <c r="D7" s="13">
        <v>0.2986111111111111</v>
      </c>
      <c r="E7" s="6">
        <f t="shared" ref="E7:E18" si="0">IF(AND(ISNUMBER(C7),ISNUMBER(D7)),(D7-C7)*1440,"")</f>
        <v>6.9999999999999751</v>
      </c>
      <c r="F7" s="6">
        <f t="shared" ref="F7:F17" si="1">IF(AND(ISNUMBER(C7),ISNUMBER(C8)),(C8-C7)*1440,"")</f>
        <v>9.9999999999999645</v>
      </c>
      <c r="G7" s="12"/>
      <c r="H7" s="16">
        <f>IFERROR('R01'!$M$19+0,"")</f>
        <v>120</v>
      </c>
      <c r="I7" s="12" t="s">
        <v>107</v>
      </c>
      <c r="J7" s="17"/>
      <c r="K7" s="14">
        <f>IFERROR('R01'!$M$12+0,"")</f>
        <v>341.45312904823163</v>
      </c>
      <c r="L7" s="14">
        <f>IFERROR('R01'!$M$13+0,"")</f>
        <v>221.94453388135057</v>
      </c>
      <c r="M7" s="15" t="str">
        <f>'R01'!$M$20</f>
        <v>Aviso: el pico está corrido; el barrido no llega a una de las alas</v>
      </c>
      <c r="N7" s="6">
        <f t="shared" ref="N7:N18" si="2">IF(AND(ISNUMBER(L7),I7&lt;&gt;"No"),L7,"")</f>
        <v>221.94453388135057</v>
      </c>
    </row>
    <row r="8" spans="1:14" x14ac:dyDescent="0.3">
      <c r="A8" s="10">
        <v>2</v>
      </c>
      <c r="B8" s="15" t="s">
        <v>108</v>
      </c>
      <c r="C8" s="13">
        <v>0.30069444444444443</v>
      </c>
      <c r="D8" s="13">
        <v>0.30555555555555558</v>
      </c>
      <c r="E8" s="6">
        <f t="shared" si="0"/>
        <v>7.0000000000000551</v>
      </c>
      <c r="F8" s="6">
        <f t="shared" si="1"/>
        <v>10.000000000000044</v>
      </c>
      <c r="G8" s="12"/>
      <c r="H8" s="16">
        <f>IFERROR('R02'!$M$19+0,"")</f>
        <v>120</v>
      </c>
      <c r="I8" s="12" t="s">
        <v>107</v>
      </c>
      <c r="J8" s="17"/>
      <c r="K8" s="14">
        <f>IFERROR('R02'!$M$12+0,"")</f>
        <v>335.46658822573443</v>
      </c>
      <c r="L8" s="14">
        <f>IFERROR('R02'!$M$13+0,"")</f>
        <v>218.05328234672737</v>
      </c>
      <c r="M8" s="15" t="str">
        <f>'R02'!$M$20</f>
        <v>Aviso: el pico está corrido; el barrido no llega a una de las alas</v>
      </c>
      <c r="N8" s="6">
        <f t="shared" si="2"/>
        <v>218.05328234672737</v>
      </c>
    </row>
    <row r="9" spans="1:14" x14ac:dyDescent="0.3">
      <c r="A9" s="10">
        <v>3</v>
      </c>
      <c r="B9" s="15" t="s">
        <v>109</v>
      </c>
      <c r="C9" s="13">
        <v>0.30763888888888891</v>
      </c>
      <c r="D9" s="13">
        <v>0.31180555555555556</v>
      </c>
      <c r="E9" s="6">
        <f t="shared" si="0"/>
        <v>5.9999999999999787</v>
      </c>
      <c r="F9" s="6">
        <f t="shared" si="1"/>
        <v>8.999999999999968</v>
      </c>
      <c r="G9" s="12"/>
      <c r="H9" s="16">
        <f>IFERROR('R03'!$M$19+0,"")</f>
        <v>120</v>
      </c>
      <c r="I9" s="12" t="s">
        <v>107</v>
      </c>
      <c r="J9" s="17"/>
      <c r="K9" s="14">
        <f>IFERROR('R03'!$M$12+0,"")</f>
        <v>334.28164603877826</v>
      </c>
      <c r="L9" s="14">
        <f>IFERROR('R03'!$M$13+0,"")</f>
        <v>217.28306992520587</v>
      </c>
      <c r="M9" s="15" t="str">
        <f>'R03'!$M$20</f>
        <v>Aviso: el pico está corrido; el barrido no llega a una de las alas</v>
      </c>
      <c r="N9" s="6">
        <f t="shared" si="2"/>
        <v>217.28306992520587</v>
      </c>
    </row>
    <row r="10" spans="1:14" x14ac:dyDescent="0.3">
      <c r="A10" s="10">
        <v>4</v>
      </c>
      <c r="B10" s="15" t="s">
        <v>110</v>
      </c>
      <c r="C10" s="13">
        <v>0.31388888888888888</v>
      </c>
      <c r="D10" s="13">
        <v>0.31805555555555554</v>
      </c>
      <c r="E10" s="6">
        <f t="shared" si="0"/>
        <v>5.9999999999999787</v>
      </c>
      <c r="F10" s="6">
        <f t="shared" si="1"/>
        <v>8.999999999999968</v>
      </c>
      <c r="G10" s="12"/>
      <c r="H10" s="16">
        <f>IFERROR('R04'!$M$19+0,"")</f>
        <v>120</v>
      </c>
      <c r="I10" s="12" t="s">
        <v>107</v>
      </c>
      <c r="J10" s="17"/>
      <c r="K10" s="14">
        <f>IFERROR('R04'!$M$12+0,"")</f>
        <v>335.06787229680003</v>
      </c>
      <c r="L10" s="14">
        <f>IFERROR('R04'!$M$13+0,"")</f>
        <v>217.79411699292004</v>
      </c>
      <c r="M10" s="15" t="str">
        <f>'R04'!$M$20</f>
        <v>Aviso: el pico está corrido; el barrido no llega a una de las alas</v>
      </c>
      <c r="N10" s="6">
        <f t="shared" si="2"/>
        <v>217.79411699292004</v>
      </c>
    </row>
    <row r="11" spans="1:14" x14ac:dyDescent="0.3">
      <c r="A11" s="10">
        <v>5</v>
      </c>
      <c r="B11" s="15" t="s">
        <v>111</v>
      </c>
      <c r="C11" s="13">
        <v>0.32013888888888886</v>
      </c>
      <c r="D11" s="13">
        <v>0.32569444444444445</v>
      </c>
      <c r="E11" s="6">
        <f t="shared" si="0"/>
        <v>8.0000000000000515</v>
      </c>
      <c r="F11" s="6">
        <f t="shared" si="1"/>
        <v>11.000000000000041</v>
      </c>
      <c r="G11" s="12"/>
      <c r="H11" s="16">
        <f>IFERROR('R05'!$M$19+0,"")</f>
        <v>120</v>
      </c>
      <c r="I11" s="12" t="s">
        <v>107</v>
      </c>
      <c r="J11" s="17"/>
      <c r="K11" s="14">
        <f>IFERROR('R05'!$M$12+0,"")</f>
        <v>338.74885122835406</v>
      </c>
      <c r="L11" s="14">
        <f>IFERROR('R05'!$M$13+0,"")</f>
        <v>220.18675329843015</v>
      </c>
      <c r="M11" s="15" t="str">
        <f>'R05'!$M$20</f>
        <v>Aviso: el pico está corrido; el barrido no llega a una de las alas</v>
      </c>
      <c r="N11" s="6">
        <f t="shared" si="2"/>
        <v>220.18675329843015</v>
      </c>
    </row>
    <row r="12" spans="1:14" x14ac:dyDescent="0.3">
      <c r="A12" s="10">
        <v>6</v>
      </c>
      <c r="B12" s="15" t="s">
        <v>112</v>
      </c>
      <c r="C12" s="13">
        <v>0.32777777777777778</v>
      </c>
      <c r="D12" s="13">
        <v>0.33263888888888887</v>
      </c>
      <c r="E12" s="6">
        <f t="shared" si="0"/>
        <v>6.9999999999999751</v>
      </c>
      <c r="F12" s="6">
        <f t="shared" si="1"/>
        <v>9.9999999999999645</v>
      </c>
      <c r="G12" s="12"/>
      <c r="H12" s="16">
        <f>IFERROR('R06'!$M$19+0,"")</f>
        <v>120</v>
      </c>
      <c r="I12" s="12" t="s">
        <v>107</v>
      </c>
      <c r="J12" s="17"/>
      <c r="K12" s="14">
        <f>IFERROR('R06'!$M$12+0,"")</f>
        <v>346.62942294590368</v>
      </c>
      <c r="L12" s="14">
        <f>IFERROR('R06'!$M$13+0,"")</f>
        <v>225.30912491483741</v>
      </c>
      <c r="M12" s="15" t="str">
        <f>'R06'!$M$20</f>
        <v>Aviso: el pico está corrido; el barrido no llega a una de las alas</v>
      </c>
      <c r="N12" s="6">
        <f t="shared" si="2"/>
        <v>225.30912491483741</v>
      </c>
    </row>
    <row r="13" spans="1:14" x14ac:dyDescent="0.3">
      <c r="A13" s="10">
        <v>7</v>
      </c>
      <c r="B13" s="15" t="s">
        <v>113</v>
      </c>
      <c r="C13" s="13">
        <v>0.3347222222222222</v>
      </c>
      <c r="D13" s="13">
        <v>0.33888888888888891</v>
      </c>
      <c r="E13" s="6">
        <f t="shared" si="0"/>
        <v>6.0000000000000586</v>
      </c>
      <c r="F13" s="6">
        <f t="shared" si="1"/>
        <v>9.000000000000048</v>
      </c>
      <c r="G13" s="12"/>
      <c r="H13" s="16">
        <f>IFERROR('R07'!$M$19+0,"")</f>
        <v>120</v>
      </c>
      <c r="I13" s="12" t="s">
        <v>107</v>
      </c>
      <c r="J13" s="17"/>
      <c r="K13" s="14">
        <f>IFERROR('R07'!$M$12+0,"")</f>
        <v>335.61306966249936</v>
      </c>
      <c r="L13" s="14">
        <f>IFERROR('R07'!$M$13+0,"")</f>
        <v>218.14849528062459</v>
      </c>
      <c r="M13" s="15" t="str">
        <f>'R07'!$M$20</f>
        <v>Aviso: el pico está corrido; el barrido no llega a una de las alas</v>
      </c>
      <c r="N13" s="6">
        <f t="shared" si="2"/>
        <v>218.14849528062459</v>
      </c>
    </row>
    <row r="14" spans="1:14" x14ac:dyDescent="0.3">
      <c r="A14" s="10">
        <v>8</v>
      </c>
      <c r="B14" s="15" t="s">
        <v>114</v>
      </c>
      <c r="C14" s="13">
        <v>0.34097222222222223</v>
      </c>
      <c r="D14" s="13">
        <v>0.34513888888888888</v>
      </c>
      <c r="E14" s="6">
        <f t="shared" si="0"/>
        <v>5.9999999999999787</v>
      </c>
      <c r="F14" s="6">
        <f t="shared" si="1"/>
        <v>8.999999999999968</v>
      </c>
      <c r="G14" s="12"/>
      <c r="H14" s="16">
        <f>IFERROR('R08'!$M$19+0,"")</f>
        <v>120</v>
      </c>
      <c r="I14" s="12" t="s">
        <v>107</v>
      </c>
      <c r="J14" s="17"/>
      <c r="K14" s="14">
        <f>IFERROR('R08'!$M$12+0,"")</f>
        <v>336.68545239682715</v>
      </c>
      <c r="L14" s="14">
        <f>IFERROR('R08'!$M$13+0,"")</f>
        <v>218.84554405793764</v>
      </c>
      <c r="M14" s="15" t="str">
        <f>'R08'!$M$20</f>
        <v>Aviso: el pico está corrido; el barrido no llega a una de las alas</v>
      </c>
      <c r="N14" s="6">
        <f t="shared" si="2"/>
        <v>218.84554405793764</v>
      </c>
    </row>
    <row r="15" spans="1:14" x14ac:dyDescent="0.3">
      <c r="A15" s="10">
        <v>9</v>
      </c>
      <c r="B15" s="15" t="s">
        <v>115</v>
      </c>
      <c r="C15" s="13">
        <v>0.34722222222222221</v>
      </c>
      <c r="D15" s="13">
        <v>0.35208333333333336</v>
      </c>
      <c r="E15" s="6">
        <f t="shared" si="0"/>
        <v>7.0000000000000551</v>
      </c>
      <c r="F15" s="6" t="str">
        <f t="shared" si="1"/>
        <v/>
      </c>
      <c r="G15" s="12"/>
      <c r="H15" s="16">
        <f>IFERROR('R09'!$M$19+0,"")</f>
        <v>120</v>
      </c>
      <c r="I15" s="12" t="s">
        <v>107</v>
      </c>
      <c r="J15" s="17"/>
      <c r="K15" s="14">
        <f>IFERROR('R09'!$M$12+0,"")</f>
        <v>339.3199530674425</v>
      </c>
      <c r="L15" s="14">
        <f>IFERROR('R09'!$M$13+0,"")</f>
        <v>220.55796949383762</v>
      </c>
      <c r="M15" s="15" t="str">
        <f>'R09'!$M$20</f>
        <v>Aviso: el pico está corrido; el barrido no llega a una de las alas</v>
      </c>
      <c r="N15" s="6">
        <f t="shared" si="2"/>
        <v>220.55796949383762</v>
      </c>
    </row>
    <row r="16" spans="1:14" x14ac:dyDescent="0.3">
      <c r="A16" s="10">
        <v>10</v>
      </c>
      <c r="B16" s="15" t="s">
        <v>116</v>
      </c>
      <c r="C16" s="13"/>
      <c r="D16" s="13"/>
      <c r="E16" s="6" t="str">
        <f t="shared" si="0"/>
        <v/>
      </c>
      <c r="F16" s="6" t="str">
        <f t="shared" si="1"/>
        <v/>
      </c>
      <c r="G16" s="12"/>
      <c r="H16" s="16" t="str">
        <f>IFERROR('R10'!$M$19+0,"")</f>
        <v/>
      </c>
      <c r="I16" s="12"/>
      <c r="J16" s="17" t="s">
        <v>117</v>
      </c>
      <c r="K16" s="14" t="str">
        <f>IFERROR('R10'!$M$12+0,"")</f>
        <v/>
      </c>
      <c r="L16" s="14" t="str">
        <f>IFERROR('R10'!$M$13+0,"")</f>
        <v/>
      </c>
      <c r="M16" s="15" t="str">
        <f>'R10'!$M$20</f>
        <v>Sin datos</v>
      </c>
      <c r="N16" s="6" t="str">
        <f t="shared" si="2"/>
        <v/>
      </c>
    </row>
    <row r="17" spans="1:14" x14ac:dyDescent="0.3">
      <c r="A17" s="10">
        <v>11</v>
      </c>
      <c r="B17" s="15" t="s">
        <v>118</v>
      </c>
      <c r="C17" s="13"/>
      <c r="D17" s="13"/>
      <c r="E17" s="6" t="str">
        <f t="shared" si="0"/>
        <v/>
      </c>
      <c r="F17" s="6" t="str">
        <f t="shared" si="1"/>
        <v/>
      </c>
      <c r="G17" s="12"/>
      <c r="H17" s="16" t="str">
        <f>IFERROR('R11'!$M$19+0,"")</f>
        <v/>
      </c>
      <c r="I17" s="12"/>
      <c r="J17" s="17" t="s">
        <v>117</v>
      </c>
      <c r="K17" s="14" t="str">
        <f>IFERROR('R11'!$M$12+0,"")</f>
        <v/>
      </c>
      <c r="L17" s="14" t="str">
        <f>IFERROR('R11'!$M$13+0,"")</f>
        <v/>
      </c>
      <c r="M17" s="15" t="str">
        <f>'R11'!$M$20</f>
        <v>Sin datos</v>
      </c>
      <c r="N17" s="6" t="str">
        <f t="shared" si="2"/>
        <v/>
      </c>
    </row>
    <row r="18" spans="1:14" x14ac:dyDescent="0.3">
      <c r="A18" s="10">
        <v>12</v>
      </c>
      <c r="B18" s="15" t="s">
        <v>119</v>
      </c>
      <c r="C18" s="13"/>
      <c r="D18" s="13"/>
      <c r="E18" s="6" t="str">
        <f t="shared" si="0"/>
        <v/>
      </c>
      <c r="F18" s="6"/>
      <c r="G18" s="12"/>
      <c r="H18" s="16" t="str">
        <f>IFERROR('R12'!$M$19+0,"")</f>
        <v/>
      </c>
      <c r="I18" s="12"/>
      <c r="J18" s="17" t="s">
        <v>117</v>
      </c>
      <c r="K18" s="14" t="str">
        <f>IFERROR('R12'!$M$12+0,"")</f>
        <v/>
      </c>
      <c r="L18" s="14" t="str">
        <f>IFERROR('R12'!$M$13+0,"")</f>
        <v/>
      </c>
      <c r="M18" s="15" t="str">
        <f>'R12'!$M$20</f>
        <v>Sin datos</v>
      </c>
      <c r="N18" s="6" t="str">
        <f t="shared" si="2"/>
        <v/>
      </c>
    </row>
    <row r="20" spans="1:14" x14ac:dyDescent="0.3">
      <c r="D20" s="11" t="s">
        <v>120</v>
      </c>
      <c r="E20" s="6">
        <f>IF(COUNT(E7:E18)=0,"",AVERAGE(E7:E18))</f>
        <v>6.6666666666666785</v>
      </c>
      <c r="F20" s="6">
        <f>IF(COUNT(F7:F18)=0,"",AVERAGE(F7:F18))</f>
        <v>9.6249999999999964</v>
      </c>
    </row>
    <row r="21" spans="1:14" ht="39.6" x14ac:dyDescent="0.3">
      <c r="D21" s="11" t="s">
        <v>121</v>
      </c>
      <c r="E21" s="6">
        <f>IF(COUNT(C7:D18)&lt;2,"",(MAX(D7:D18)-MIN(C7:C18))*24)</f>
        <v>1.4000000000000004</v>
      </c>
      <c r="F21" s="7" t="s">
        <v>122</v>
      </c>
    </row>
    <row r="23" spans="1:14" ht="40.049999999999997" customHeight="1" x14ac:dyDescent="0.3">
      <c r="A23" s="28" t="s">
        <v>123</v>
      </c>
      <c r="B23" s="28"/>
      <c r="C23" s="28"/>
      <c r="D23" s="28"/>
      <c r="E23" s="28"/>
      <c r="F23" s="28"/>
      <c r="G23" s="28"/>
      <c r="H23" s="28"/>
      <c r="I23" s="28"/>
      <c r="J23" s="28"/>
      <c r="K23" s="28"/>
      <c r="L23" s="28"/>
      <c r="M23" s="28"/>
    </row>
  </sheetData>
  <mergeCells count="3">
    <mergeCell ref="B4:C4"/>
    <mergeCell ref="K4:M4"/>
    <mergeCell ref="A23:M23"/>
  </mergeCells>
  <conditionalFormatting sqref="A16:M18">
    <cfRule type="notContainsErrors" dxfId="63" priority="4">
      <formula>NOT(ISERROR(A16))</formula>
    </cfRule>
  </conditionalFormatting>
  <conditionalFormatting sqref="M7:M18">
    <cfRule type="cellIs" dxfId="62" priority="1" operator="equal">
      <formula>"OK"</formula>
    </cfRule>
    <cfRule type="beginsWith" dxfId="61" priority="2" operator="beginsWith" text="Aviso">
      <formula>LEFT(M7,5)="Aviso"</formula>
    </cfRule>
    <cfRule type="beginsWith" dxfId="60" priority="3" operator="beginsWith" text="Revisar">
      <formula>LEFT(M7,7)="Revisar"</formula>
    </cfRule>
  </conditionalFormatting>
  <dataValidations count="2">
    <dataValidation type="list" allowBlank="1" showInputMessage="1" showErrorMessage="1" sqref="I7:I18" xr:uid="{00000000-0002-0000-0200-000000000000}">
      <formula1>"Sí,No"</formula1>
    </dataValidation>
    <dataValidation type="time" allowBlank="1" showInputMessage="1" showErrorMessage="1" error="Escribir la hora como hh:mm, p. ej. 14:35" sqref="C7:D18" xr:uid="{00000000-0002-0000-0200-000001000000}">
      <formula1>0</formula1>
      <formula2>0.99999</formula2>
    </dataValidation>
  </dataValidations>
  <hyperlinks>
    <hyperlink ref="B7" location="'R01'!A1" display="R01" xr:uid="{00000000-0004-0000-0200-000000000000}"/>
    <hyperlink ref="B8" location="'R02'!A1" display="R02" xr:uid="{00000000-0004-0000-0200-000001000000}"/>
    <hyperlink ref="B9" location="'R03'!A1" display="R03" xr:uid="{00000000-0004-0000-0200-000002000000}"/>
    <hyperlink ref="B10" location="'R04'!A1" display="R04" xr:uid="{00000000-0004-0000-0200-000003000000}"/>
    <hyperlink ref="B11" location="'R05'!A1" display="R05" xr:uid="{00000000-0004-0000-0200-000004000000}"/>
    <hyperlink ref="B12" location="'R06'!A1" display="R06" xr:uid="{00000000-0004-0000-0200-000005000000}"/>
    <hyperlink ref="B13" location="'R07'!A1" display="R07" xr:uid="{00000000-0004-0000-0200-000006000000}"/>
    <hyperlink ref="B14" location="'R08'!A1" display="R08" xr:uid="{00000000-0004-0000-0200-000007000000}"/>
    <hyperlink ref="B15" location="'R09'!A1" display="R09" xr:uid="{00000000-0004-0000-0200-000008000000}"/>
    <hyperlink ref="B16" location="'R10'!A1" display="R10" xr:uid="{00000000-0004-0000-0200-000009000000}"/>
    <hyperlink ref="B17" location="'R11'!A1" display="R11" xr:uid="{00000000-0004-0000-0200-00000A000000}"/>
    <hyperlink ref="B18" location="'R12'!A1" display="R12" xr:uid="{00000000-0004-0000-0200-00000B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
  <sheetViews>
    <sheetView tabSelected="1" workbookViewId="0"/>
  </sheetViews>
  <sheetFormatPr baseColWidth="10" defaultColWidth="8.88671875" defaultRowHeight="14.4" x14ac:dyDescent="0.3"/>
  <cols>
    <col min="1" max="1" width="52.6640625" customWidth="1"/>
    <col min="2" max="2" width="16.6640625" customWidth="1"/>
    <col min="3" max="3" width="60.6640625" customWidth="1"/>
  </cols>
  <sheetData>
    <row r="1" spans="1:3" ht="17.399999999999999" x14ac:dyDescent="0.3">
      <c r="A1" s="1" t="s">
        <v>124</v>
      </c>
    </row>
    <row r="2" spans="1:3" x14ac:dyDescent="0.3">
      <c r="A2" s="2" t="s">
        <v>125</v>
      </c>
    </row>
    <row r="4" spans="1:3" x14ac:dyDescent="0.3">
      <c r="A4" s="4" t="s">
        <v>126</v>
      </c>
      <c r="B4" s="4" t="s">
        <v>13</v>
      </c>
      <c r="C4" s="4" t="s">
        <v>14</v>
      </c>
    </row>
    <row r="5" spans="1:3" x14ac:dyDescent="0.3">
      <c r="A5" s="5" t="s">
        <v>127</v>
      </c>
      <c r="B5" s="10">
        <f>COUNT(Registro!$N$7:$N$18)</f>
        <v>9</v>
      </c>
      <c r="C5" s="7" t="s">
        <v>128</v>
      </c>
    </row>
    <row r="6" spans="1:3" ht="15.6" x14ac:dyDescent="0.3">
      <c r="A6" s="5" t="s">
        <v>129</v>
      </c>
      <c r="B6" s="18">
        <f>IF(B5=0,"",AVERAGE(Registro!$N$7:$N$18))</f>
        <v>219.79143224354121</v>
      </c>
      <c r="C6" s="7" t="s">
        <v>130</v>
      </c>
    </row>
    <row r="7" spans="1:3" ht="15.6" x14ac:dyDescent="0.3">
      <c r="A7" s="5" t="s">
        <v>131</v>
      </c>
      <c r="B7" s="18">
        <f>IF(B5&lt;2,"",_xlfn.STDEV.S(Registro!$N$7:$N$18))</f>
        <v>2.5671214007163807</v>
      </c>
      <c r="C7" s="7"/>
    </row>
    <row r="8" spans="1:3" x14ac:dyDescent="0.3">
      <c r="A8" s="5" t="s">
        <v>132</v>
      </c>
      <c r="B8" s="6">
        <f>IF(ISNUMBER(B7),100*B7/B6,"")</f>
        <v>1.1679806507980104</v>
      </c>
      <c r="C8" s="7"/>
    </row>
    <row r="9" spans="1:3" x14ac:dyDescent="0.3">
      <c r="A9" s="5" t="s">
        <v>133</v>
      </c>
      <c r="B9" s="14">
        <f>tau0</f>
        <v>107</v>
      </c>
      <c r="C9" s="7" t="s">
        <v>134</v>
      </c>
    </row>
    <row r="10" spans="1:3" x14ac:dyDescent="0.3">
      <c r="A10" s="5" t="s">
        <v>135</v>
      </c>
      <c r="B10" s="6">
        <f>IF(ISNUMBER(B6),B6-B9,"")</f>
        <v>112.79143224354121</v>
      </c>
      <c r="C10" s="7"/>
    </row>
    <row r="11" spans="1:3" x14ac:dyDescent="0.3">
      <c r="A11" s="5" t="s">
        <v>136</v>
      </c>
      <c r="B11" s="19">
        <f>IF(ISNUMBER(B7),B10/(B7/SQRT(B5)),"")</f>
        <v>131.81078878318607</v>
      </c>
      <c r="C11" s="7" t="s">
        <v>137</v>
      </c>
    </row>
    <row r="12" spans="1:3" x14ac:dyDescent="0.3">
      <c r="A12" s="5" t="s">
        <v>138</v>
      </c>
      <c r="B12" s="10">
        <f>IF(B5&gt;1,B5-1,"")</f>
        <v>8</v>
      </c>
      <c r="C12" s="7"/>
    </row>
    <row r="13" spans="1:3" x14ac:dyDescent="0.3">
      <c r="A13" s="5" t="s">
        <v>139</v>
      </c>
      <c r="B13" s="19">
        <f>IF(ISNUMBER(B12),_xlfn.T.INV.2T(alfa,B12),"")</f>
        <v>2.3060041352041671</v>
      </c>
      <c r="C13" s="7"/>
    </row>
    <row r="14" spans="1:3" x14ac:dyDescent="0.3">
      <c r="A14" s="5" t="s">
        <v>140</v>
      </c>
      <c r="B14" s="9">
        <f>IF(ISNUMBER(B11),_xlfn.T.DIST.2T(ABS(B11),B12),"")</f>
        <v>1.2271301016475169E-14</v>
      </c>
      <c r="C14" s="7"/>
    </row>
    <row r="15" spans="1:3" x14ac:dyDescent="0.3">
      <c r="A15" s="5" t="s">
        <v>141</v>
      </c>
      <c r="B15" s="6">
        <f>IF(ISNUMBER(B13),B6-B13*B7/SQRT(B5),"")</f>
        <v>217.81816805500017</v>
      </c>
      <c r="C15" s="7"/>
    </row>
    <row r="16" spans="1:3" x14ac:dyDescent="0.3">
      <c r="A16" s="5" t="s">
        <v>142</v>
      </c>
      <c r="B16" s="6">
        <f>IF(ISNUMBER(B13),B6+B13*B7/SQRT(B5),"")</f>
        <v>221.76469643208225</v>
      </c>
      <c r="C16" s="7"/>
    </row>
    <row r="17" spans="1:3" ht="64.8" customHeight="1" x14ac:dyDescent="0.3">
      <c r="A17" s="5" t="s">
        <v>143</v>
      </c>
      <c r="B17" s="20" t="str">
        <f>IF(ISNUMBER(B14),IF(B14&lt;alfa,"Se rechaza H0: el ancho medido difiere de τ0","No se rechaza H0: no hay evidencia de diferencia con τ0"),"")</f>
        <v>Se rechaza H0: el ancho medido difiere de τ0</v>
      </c>
      <c r="C17" s="7"/>
    </row>
    <row r="18" spans="1:3" x14ac:dyDescent="0.3">
      <c r="A18" s="5" t="s">
        <v>144</v>
      </c>
      <c r="B18" s="14">
        <f>Registro!E20</f>
        <v>6.6666666666666785</v>
      </c>
      <c r="C18" s="7" t="s">
        <v>145</v>
      </c>
    </row>
    <row r="20" spans="1:3" ht="52.8" x14ac:dyDescent="0.3">
      <c r="A20" s="7" t="s">
        <v>146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6"/>
  <sheetViews>
    <sheetView workbookViewId="0">
      <pane ySplit="1" topLeftCell="A2" activePane="bottomLeft" state="frozen"/>
      <selection pane="bottomLeft" activeCell="B24" sqref="B24"/>
    </sheetView>
  </sheetViews>
  <sheetFormatPr baseColWidth="10" defaultColWidth="8.88671875" defaultRowHeight="14.4" x14ac:dyDescent="0.3"/>
  <cols>
    <col min="1" max="1" width="14.6640625" customWidth="1"/>
    <col min="2" max="2" width="15.6640625" customWidth="1"/>
    <col min="3" max="5" width="12.6640625" customWidth="1"/>
    <col min="6" max="8" width="9.6640625" customWidth="1"/>
    <col min="9" max="10" width="11.6640625" customWidth="1"/>
    <col min="11" max="11" width="7.6640625" customWidth="1"/>
    <col min="12" max="12" width="42.6640625" customWidth="1"/>
    <col min="13" max="13" width="14.6640625" customWidth="1"/>
  </cols>
  <sheetData>
    <row r="1" spans="1:13" ht="42" customHeight="1" x14ac:dyDescent="0.3">
      <c r="A1" s="4" t="s">
        <v>41</v>
      </c>
      <c r="B1" s="4" t="s">
        <v>42</v>
      </c>
      <c r="C1" s="4" t="s">
        <v>43</v>
      </c>
      <c r="D1" s="4" t="s">
        <v>44</v>
      </c>
      <c r="E1" s="4" t="s">
        <v>45</v>
      </c>
      <c r="F1" s="4" t="s">
        <v>46</v>
      </c>
      <c r="G1" s="4" t="s">
        <v>47</v>
      </c>
      <c r="H1" s="4" t="s">
        <v>48</v>
      </c>
      <c r="I1" s="4" t="s">
        <v>49</v>
      </c>
      <c r="J1" s="4" t="s">
        <v>50</v>
      </c>
      <c r="K1" s="4" t="s">
        <v>51</v>
      </c>
      <c r="L1" s="4" t="s">
        <v>71</v>
      </c>
      <c r="M1" s="4" t="s">
        <v>72</v>
      </c>
    </row>
    <row r="2" spans="1:13" x14ac:dyDescent="0.3">
      <c r="A2" s="21">
        <v>0</v>
      </c>
      <c r="B2" s="22">
        <v>-6.9900000000000001E-9</v>
      </c>
      <c r="C2" s="23">
        <f t="shared" ref="C2:C23" si="0">IF(ISNUMBER(A2),A2*conv,"")</f>
        <v>0</v>
      </c>
      <c r="D2" s="24">
        <f>IF(ISNUMBER(B2),AVERAGE(INDEX($B$2:$B$23,MAX(1,1-semi)):INDEX($B$2:$B$23,MIN($M$3,1+semi))),"")</f>
        <v>-6.9900000000000001E-9</v>
      </c>
      <c r="E2" s="25">
        <f t="shared" ref="E2:E23" si="1">IF(AND(ISNUMBER(D2),ISNUMBER($M$4)),(D2-$M$4)/($M$5-$M$4),"")</f>
        <v>-7.3639312443907054E-3</v>
      </c>
      <c r="F2" s="23" t="str">
        <f>IF(AND(ISNUMBER(E2),ISNUMBER(E3),ISNUMBER($M$6)),IF(AND(2&lt;$M$6,E2&lt;0.5,E3&gt;=0.5),2,""),"")</f>
        <v/>
      </c>
      <c r="G2" s="23" t="str">
        <f>IF(AND(ISNUMBER(E2),ISNUMBER(E3),ISNUMBER($M$6)),IF(AND(2&gt;=$M$6,E2&gt;=0.5,E3&lt;0.5),2,""),"")</f>
        <v/>
      </c>
      <c r="H2" s="23" t="str">
        <f t="shared" ref="H2:H23" si="2">IF(OR(ISNUMBER(F2),ISNUMBER(G2)),C2+(0.5-E2)*(C3-C2)/(E3-E2),"")</f>
        <v/>
      </c>
      <c r="I2" s="23">
        <f t="shared" ref="I2:I23" si="3">IF(AND(ISNUMBER(E2),ISNUMBER($M$15)),C2-$M$15,NA())</f>
        <v>-791.26356422124013</v>
      </c>
      <c r="J2" s="25">
        <f t="shared" ref="J2:J23" si="4">IF(ISNUMBER(E2),E2,NA())</f>
        <v>-7.3639312443907054E-3</v>
      </c>
      <c r="K2" s="23">
        <f t="shared" ref="K2:K23" si="5">IF(AND(ISNUMBER(C2),ISNUMBER(C3)),SIGN(C3-C2),"")</f>
        <v>1</v>
      </c>
      <c r="L2" s="5" t="s">
        <v>52</v>
      </c>
      <c r="M2" s="10">
        <f>COUNT($A$2:$A$23)</f>
        <v>22</v>
      </c>
    </row>
    <row r="3" spans="1:13" x14ac:dyDescent="0.3">
      <c r="A3" s="21">
        <v>10</v>
      </c>
      <c r="B3" s="22">
        <v>4.8300000000000002E-8</v>
      </c>
      <c r="C3" s="23">
        <f t="shared" si="0"/>
        <v>66.712819039630403</v>
      </c>
      <c r="D3" s="24">
        <f>IF(ISNUMBER(B3),AVERAGE(INDEX($B$2:$B$23,MAX(1,2-semi)):INDEX($B$2:$B$23,MIN($M$3,2+semi))),"")</f>
        <v>4.8300000000000002E-8</v>
      </c>
      <c r="E3" s="25">
        <f t="shared" si="1"/>
        <v>-5.2206606401959763E-3</v>
      </c>
      <c r="F3" s="23" t="str">
        <f>IF(AND(ISNUMBER(E3),ISNUMBER(E4),ISNUMBER($M$6)),IF(AND(3&lt;$M$6,E3&lt;0.5,E4&gt;=0.5),3,""),"")</f>
        <v/>
      </c>
      <c r="G3" s="23" t="str">
        <f>IF(AND(ISNUMBER(E3),ISNUMBER(E4),ISNUMBER($M$6)),IF(AND(3&gt;=$M$6,E3&gt;=0.5,E4&lt;0.5),3,""),"")</f>
        <v/>
      </c>
      <c r="H3" s="23" t="str">
        <f t="shared" si="2"/>
        <v/>
      </c>
      <c r="I3" s="23">
        <f t="shared" si="3"/>
        <v>-724.55074518160973</v>
      </c>
      <c r="J3" s="25">
        <f t="shared" si="4"/>
        <v>-5.2206606401959763E-3</v>
      </c>
      <c r="K3" s="23">
        <f t="shared" si="5"/>
        <v>1</v>
      </c>
      <c r="L3" s="5" t="s">
        <v>53</v>
      </c>
      <c r="M3" s="10">
        <f>COUNT($B$2:$B$23)</f>
        <v>22</v>
      </c>
    </row>
    <row r="4" spans="1:13" x14ac:dyDescent="0.3">
      <c r="A4" s="21">
        <v>20</v>
      </c>
      <c r="B4" s="22">
        <v>1.98E-7</v>
      </c>
      <c r="C4" s="23">
        <f t="shared" si="0"/>
        <v>133.42563807926081</v>
      </c>
      <c r="D4" s="24">
        <f>IF(ISNUMBER(B4),AVERAGE(INDEX($B$2:$B$23,MAX(1,3-semi)):INDEX($B$2:$B$23,MIN($M$3,3+semi))),"")</f>
        <v>1.98E-7</v>
      </c>
      <c r="E4" s="25">
        <f t="shared" si="1"/>
        <v>5.8233464734156826E-4</v>
      </c>
      <c r="F4" s="23" t="str">
        <f>IF(AND(ISNUMBER(E4),ISNUMBER(E5),ISNUMBER($M$6)),IF(AND(4&lt;$M$6,E4&lt;0.5,E5&gt;=0.5),4,""),"")</f>
        <v/>
      </c>
      <c r="G4" s="23" t="str">
        <f>IF(AND(ISNUMBER(E4),ISNUMBER(E5),ISNUMBER($M$6)),IF(AND(4&gt;=$M$6,E4&gt;=0.5,E5&lt;0.5),4,""),"")</f>
        <v/>
      </c>
      <c r="H4" s="23" t="str">
        <f t="shared" si="2"/>
        <v/>
      </c>
      <c r="I4" s="23">
        <f t="shared" si="3"/>
        <v>-657.83792614197932</v>
      </c>
      <c r="J4" s="25">
        <f t="shared" si="4"/>
        <v>5.8233464734156826E-4</v>
      </c>
      <c r="K4" s="23">
        <f t="shared" si="5"/>
        <v>1</v>
      </c>
      <c r="L4" s="5" t="s">
        <v>54</v>
      </c>
      <c r="M4" s="26">
        <f>IF($M$3&lt;$M$2,"",(AVERAGE(INDEX($B$2:$B$23,1):INDEX($B$2:$B$23,n_fondo))+AVERAGE(INDEX($B$2:$B$23,$M$3-n_fondo+1):INDEX($B$2:$B$23,$M$3)))/2)</f>
        <v>1.829775E-7</v>
      </c>
    </row>
    <row r="5" spans="1:13" x14ac:dyDescent="0.3">
      <c r="A5" s="21">
        <v>30</v>
      </c>
      <c r="B5" s="22">
        <v>2.04E-7</v>
      </c>
      <c r="C5" s="23">
        <f t="shared" si="0"/>
        <v>200.13845711889124</v>
      </c>
      <c r="D5" s="24">
        <f>IF(ISNUMBER(B5),AVERAGE(INDEX($B$2:$B$23,MAX(1,4-semi)):INDEX($B$2:$B$23,MIN($M$3,4+semi))),"")</f>
        <v>2.04E-7</v>
      </c>
      <c r="E5" s="25">
        <f t="shared" si="1"/>
        <v>8.1491962880599891E-4</v>
      </c>
      <c r="F5" s="23" t="str">
        <f>IF(AND(ISNUMBER(E5),ISNUMBER(E6),ISNUMBER($M$6)),IF(AND(5&lt;$M$6,E5&lt;0.5,E6&gt;=0.5),5,""),"")</f>
        <v/>
      </c>
      <c r="G5" s="23" t="str">
        <f>IF(AND(ISNUMBER(E5),ISNUMBER(E6),ISNUMBER($M$6)),IF(AND(5&gt;=$M$6,E5&gt;=0.5,E6&lt;0.5),5,""),"")</f>
        <v/>
      </c>
      <c r="H5" s="23" t="str">
        <f t="shared" si="2"/>
        <v/>
      </c>
      <c r="I5" s="23">
        <f t="shared" si="3"/>
        <v>-591.12510710234892</v>
      </c>
      <c r="J5" s="25">
        <f t="shared" si="4"/>
        <v>8.1491962880599891E-4</v>
      </c>
      <c r="K5" s="23">
        <f t="shared" si="5"/>
        <v>1</v>
      </c>
      <c r="L5" s="5" t="s">
        <v>55</v>
      </c>
      <c r="M5" s="26">
        <f>IF($M$3&lt;$M$2,"",MAX($D$2:$D$23))</f>
        <v>2.5979999999999999E-5</v>
      </c>
    </row>
    <row r="6" spans="1:13" x14ac:dyDescent="0.3">
      <c r="A6" s="21">
        <v>40</v>
      </c>
      <c r="B6" s="22">
        <v>4.03E-7</v>
      </c>
      <c r="C6" s="23">
        <f t="shared" si="0"/>
        <v>266.85127615852161</v>
      </c>
      <c r="D6" s="24">
        <f>IF(ISNUMBER(B6),AVERAGE(INDEX($B$2:$B$23,MAX(1,5-semi)):INDEX($B$2:$B$23,MIN($M$3,5+semi))),"")</f>
        <v>4.03E-7</v>
      </c>
      <c r="E6" s="25">
        <f t="shared" si="1"/>
        <v>8.5289881807096152E-3</v>
      </c>
      <c r="F6" s="23" t="str">
        <f>IF(AND(ISNUMBER(E6),ISNUMBER(E7),ISNUMBER($M$6)),IF(AND(6&lt;$M$6,E6&lt;0.5,E7&gt;=0.5),6,""),"")</f>
        <v/>
      </c>
      <c r="G6" s="23" t="str">
        <f>IF(AND(ISNUMBER(E6),ISNUMBER(E7),ISNUMBER($M$6)),IF(AND(6&gt;=$M$6,E6&gt;=0.5,E7&lt;0.5),6,""),"")</f>
        <v/>
      </c>
      <c r="H6" s="23" t="str">
        <f t="shared" si="2"/>
        <v/>
      </c>
      <c r="I6" s="23">
        <f t="shared" si="3"/>
        <v>-524.41228806271852</v>
      </c>
      <c r="J6" s="25">
        <f t="shared" si="4"/>
        <v>8.5289881807096152E-3</v>
      </c>
      <c r="K6" s="23">
        <f t="shared" si="5"/>
        <v>1</v>
      </c>
      <c r="L6" s="5" t="s">
        <v>56</v>
      </c>
      <c r="M6" s="10">
        <f>IFERROR(MATCH($M$5,$D$2:$D$23,0)+1,"")</f>
        <v>14</v>
      </c>
    </row>
    <row r="7" spans="1:13" x14ac:dyDescent="0.3">
      <c r="A7" s="21">
        <v>50</v>
      </c>
      <c r="B7" s="22">
        <v>6.9500000000000002E-7</v>
      </c>
      <c r="C7" s="23">
        <f t="shared" si="0"/>
        <v>333.56409519815202</v>
      </c>
      <c r="D7" s="24">
        <f>IF(ISNUMBER(B7),AVERAGE(INDEX($B$2:$B$23,MAX(1,6-semi)):INDEX($B$2:$B$23,MIN($M$3,6+semi))),"")</f>
        <v>6.9500000000000002E-7</v>
      </c>
      <c r="E7" s="25">
        <f t="shared" si="1"/>
        <v>1.9848123945311907E-2</v>
      </c>
      <c r="F7" s="23" t="str">
        <f>IF(AND(ISNUMBER(E7),ISNUMBER(E8),ISNUMBER($M$6)),IF(AND(7&lt;$M$6,E7&lt;0.5,E8&gt;=0.5),7,""),"")</f>
        <v/>
      </c>
      <c r="G7" s="23" t="str">
        <f>IF(AND(ISNUMBER(E7),ISNUMBER(E8),ISNUMBER($M$6)),IF(AND(7&gt;=$M$6,E7&gt;=0.5,E8&lt;0.5),7,""),"")</f>
        <v/>
      </c>
      <c r="H7" s="23" t="str">
        <f t="shared" si="2"/>
        <v/>
      </c>
      <c r="I7" s="23">
        <f t="shared" si="3"/>
        <v>-457.69946902308811</v>
      </c>
      <c r="J7" s="25">
        <f t="shared" si="4"/>
        <v>1.9848123945311907E-2</v>
      </c>
      <c r="K7" s="23">
        <f t="shared" si="5"/>
        <v>1</v>
      </c>
      <c r="L7" s="5" t="s">
        <v>57</v>
      </c>
      <c r="M7" s="6">
        <f>IFERROR(INDEX($C$1:$C$23,$M$6),"")</f>
        <v>800.55382847556496</v>
      </c>
    </row>
    <row r="8" spans="1:13" x14ac:dyDescent="0.3">
      <c r="A8" s="21">
        <v>60</v>
      </c>
      <c r="B8" s="22">
        <v>1.5400000000000001E-6</v>
      </c>
      <c r="C8" s="23">
        <f t="shared" si="0"/>
        <v>400.27691423778248</v>
      </c>
      <c r="D8" s="24">
        <f>IF(ISNUMBER(B8),AVERAGE(INDEX($B$2:$B$23,MAX(1,7-semi)):INDEX($B$2:$B$23,MIN($M$3,7+semi))),"")</f>
        <v>1.5400000000000001E-6</v>
      </c>
      <c r="E8" s="25">
        <f t="shared" si="1"/>
        <v>5.2603842168219228E-2</v>
      </c>
      <c r="F8" s="23" t="str">
        <f>IF(AND(ISNUMBER(E8),ISNUMBER(E9),ISNUMBER($M$6)),IF(AND(8&lt;$M$6,E8&lt;0.5,E9&gt;=0.5),8,""),"")</f>
        <v/>
      </c>
      <c r="G8" s="23" t="str">
        <f>IF(AND(ISNUMBER(E8),ISNUMBER(E9),ISNUMBER($M$6)),IF(AND(8&gt;=$M$6,E8&gt;=0.5,E9&lt;0.5),8,""),"")</f>
        <v/>
      </c>
      <c r="H8" s="23" t="str">
        <f t="shared" si="2"/>
        <v/>
      </c>
      <c r="I8" s="23">
        <f t="shared" si="3"/>
        <v>-390.98664998345765</v>
      </c>
      <c r="J8" s="25">
        <f t="shared" si="4"/>
        <v>5.2603842168219228E-2</v>
      </c>
      <c r="K8" s="23">
        <f t="shared" si="5"/>
        <v>1</v>
      </c>
      <c r="L8" s="5" t="s">
        <v>58</v>
      </c>
      <c r="M8" s="10">
        <f>MAX($F$2:$F$23)</f>
        <v>11</v>
      </c>
    </row>
    <row r="9" spans="1:13" x14ac:dyDescent="0.3">
      <c r="A9" s="21">
        <v>70</v>
      </c>
      <c r="B9" s="22">
        <v>2.8590000000000001E-6</v>
      </c>
      <c r="C9" s="23">
        <f t="shared" si="0"/>
        <v>466.98973327741288</v>
      </c>
      <c r="D9" s="24">
        <f>IF(ISNUMBER(B9),AVERAGE(INDEX($B$2:$B$23,MAX(1,8-semi)):INDEX($B$2:$B$23,MIN($M$3,8+semi))),"")</f>
        <v>2.8590000000000001E-6</v>
      </c>
      <c r="E9" s="25">
        <f t="shared" si="1"/>
        <v>0.10373377392681657</v>
      </c>
      <c r="F9" s="23" t="str">
        <f>IF(AND(ISNUMBER(E9),ISNUMBER(E10),ISNUMBER($M$6)),IF(AND(9&lt;$M$6,E9&lt;0.5,E10&gt;=0.5),9,""),"")</f>
        <v/>
      </c>
      <c r="G9" s="23" t="str">
        <f>IF(AND(ISNUMBER(E9),ISNUMBER(E10),ISNUMBER($M$6)),IF(AND(9&gt;=$M$6,E9&gt;=0.5,E10&lt;0.5),9,""),"")</f>
        <v/>
      </c>
      <c r="H9" s="23" t="str">
        <f t="shared" si="2"/>
        <v/>
      </c>
      <c r="I9" s="23">
        <f t="shared" si="3"/>
        <v>-324.27383094382725</v>
      </c>
      <c r="J9" s="25">
        <f t="shared" si="4"/>
        <v>0.10373377392681657</v>
      </c>
      <c r="K9" s="23">
        <f t="shared" si="5"/>
        <v>1</v>
      </c>
      <c r="L9" s="5" t="s">
        <v>59</v>
      </c>
      <c r="M9" s="10">
        <f>MIN($G$2:$G$23)</f>
        <v>16</v>
      </c>
    </row>
    <row r="10" spans="1:13" x14ac:dyDescent="0.3">
      <c r="A10" s="21">
        <v>80</v>
      </c>
      <c r="B10" s="22">
        <v>5.7060000000000001E-6</v>
      </c>
      <c r="C10" s="23">
        <f t="shared" si="0"/>
        <v>533.70255231704323</v>
      </c>
      <c r="D10" s="24">
        <f>IF(ISNUMBER(B10),AVERAGE(INDEX($B$2:$B$23,MAX(1,9-semi)):INDEX($B$2:$B$23,MIN($M$3,9+semi))),"")</f>
        <v>5.7060000000000001E-6</v>
      </c>
      <c r="E10" s="25">
        <f t="shared" si="1"/>
        <v>0.21409534763168891</v>
      </c>
      <c r="F10" s="23" t="str">
        <f>IF(AND(ISNUMBER(E10),ISNUMBER(E11),ISNUMBER($M$6)),IF(AND(10&lt;$M$6,E10&lt;0.5,E11&gt;=0.5),10,""),"")</f>
        <v/>
      </c>
      <c r="G10" s="23" t="str">
        <f>IF(AND(ISNUMBER(E10),ISNUMBER(E11),ISNUMBER($M$6)),IF(AND(10&gt;=$M$6,E10&gt;=0.5,E11&lt;0.5),10,""),"")</f>
        <v/>
      </c>
      <c r="H10" s="23" t="str">
        <f t="shared" si="2"/>
        <v/>
      </c>
      <c r="I10" s="23">
        <f t="shared" si="3"/>
        <v>-257.5610119041969</v>
      </c>
      <c r="J10" s="25">
        <f t="shared" si="4"/>
        <v>0.21409534763168891</v>
      </c>
      <c r="K10" s="23">
        <f t="shared" si="5"/>
        <v>1</v>
      </c>
      <c r="L10" s="5" t="s">
        <v>60</v>
      </c>
      <c r="M10" s="6">
        <f>IF($M$8&gt;0,INDEX($H$1:$H$23,$M$8),"")</f>
        <v>620.53699969712432</v>
      </c>
    </row>
    <row r="11" spans="1:13" x14ac:dyDescent="0.3">
      <c r="A11" s="21">
        <v>90</v>
      </c>
      <c r="B11" s="22">
        <v>1.075E-5</v>
      </c>
      <c r="C11" s="23">
        <f t="shared" si="0"/>
        <v>600.41537135667363</v>
      </c>
      <c r="D11" s="24">
        <f>IF(ISNUMBER(B11),AVERAGE(INDEX($B$2:$B$23,MAX(1,10-semi)):INDEX($B$2:$B$23,MIN($M$3,10+semi))),"")</f>
        <v>1.075E-5</v>
      </c>
      <c r="E11" s="25">
        <f t="shared" si="1"/>
        <v>0.40962178871612026</v>
      </c>
      <c r="F11" s="23">
        <f>IF(AND(ISNUMBER(E11),ISNUMBER(E12),ISNUMBER($M$6)),IF(AND(11&lt;$M$6,E11&lt;0.5,E12&gt;=0.5),11,""),"")</f>
        <v>11</v>
      </c>
      <c r="G11" s="23" t="str">
        <f>IF(AND(ISNUMBER(E11),ISNUMBER(E12),ISNUMBER($M$6)),IF(AND(11&gt;=$M$6,E11&gt;=0.5,E12&lt;0.5),11,""),"")</f>
        <v/>
      </c>
      <c r="H11" s="23">
        <f t="shared" si="2"/>
        <v>620.53699969712432</v>
      </c>
      <c r="I11" s="23">
        <f t="shared" si="3"/>
        <v>-190.8481928645665</v>
      </c>
      <c r="J11" s="25">
        <f t="shared" si="4"/>
        <v>0.40962178871612026</v>
      </c>
      <c r="K11" s="23">
        <f t="shared" si="5"/>
        <v>1</v>
      </c>
      <c r="L11" s="5" t="s">
        <v>61</v>
      </c>
      <c r="M11" s="6">
        <f>IF($M$9&gt;0,INDEX($H$1:$H$23,$M$9),"")</f>
        <v>961.99012874535595</v>
      </c>
    </row>
    <row r="12" spans="1:13" ht="15.6" x14ac:dyDescent="0.3">
      <c r="A12" s="21">
        <v>100</v>
      </c>
      <c r="B12" s="22">
        <v>1.8479999999999999E-5</v>
      </c>
      <c r="C12" s="23">
        <f t="shared" si="0"/>
        <v>667.12819039630403</v>
      </c>
      <c r="D12" s="24">
        <f>IF(ISNUMBER(B12),AVERAGE(INDEX($B$2:$B$23,MAX(1,11-semi)):INDEX($B$2:$B$23,MIN($M$3,11+semi))),"")</f>
        <v>1.8479999999999999E-5</v>
      </c>
      <c r="E12" s="25">
        <f t="shared" si="1"/>
        <v>0.70926877316946169</v>
      </c>
      <c r="F12" s="23" t="str">
        <f>IF(AND(ISNUMBER(E12),ISNUMBER(E13),ISNUMBER($M$6)),IF(AND(12&lt;$M$6,E12&lt;0.5,E13&gt;=0.5),12,""),"")</f>
        <v/>
      </c>
      <c r="G12" s="23" t="str">
        <f>IF(AND(ISNUMBER(E12),ISNUMBER(E13),ISNUMBER($M$6)),IF(AND(12&gt;=$M$6,E12&gt;=0.5,E13&lt;0.5),12,""),"")</f>
        <v/>
      </c>
      <c r="H12" s="23" t="str">
        <f t="shared" si="2"/>
        <v/>
      </c>
      <c r="I12" s="23">
        <f t="shared" si="3"/>
        <v>-124.1353738249361</v>
      </c>
      <c r="J12" s="25">
        <f t="shared" si="4"/>
        <v>0.70926877316946169</v>
      </c>
      <c r="K12" s="23">
        <f t="shared" si="5"/>
        <v>1</v>
      </c>
      <c r="L12" s="5" t="s">
        <v>62</v>
      </c>
      <c r="M12" s="18">
        <f>IF(AND($M$8&gt;0,$M$9&gt;0),ABS($M$11-$M$10),"")</f>
        <v>341.45312904823163</v>
      </c>
    </row>
    <row r="13" spans="1:13" ht="15.6" x14ac:dyDescent="0.3">
      <c r="A13" s="21">
        <v>110</v>
      </c>
      <c r="B13" s="22">
        <v>2.44E-5</v>
      </c>
      <c r="C13" s="23">
        <f t="shared" si="0"/>
        <v>733.84100943593455</v>
      </c>
      <c r="D13" s="24">
        <f>IF(ISNUMBER(B13),AVERAGE(INDEX($B$2:$B$23,MAX(1,12-semi)):INDEX($B$2:$B$23,MIN($M$3,12+semi))),"")</f>
        <v>2.44E-5</v>
      </c>
      <c r="E13" s="25">
        <f t="shared" si="1"/>
        <v>0.93875262154770001</v>
      </c>
      <c r="F13" s="23" t="str">
        <f>IF(AND(ISNUMBER(E13),ISNUMBER(E14),ISNUMBER($M$6)),IF(AND(13&lt;$M$6,E13&lt;0.5,E14&gt;=0.5),13,""),"")</f>
        <v/>
      </c>
      <c r="G13" s="23" t="str">
        <f>IF(AND(ISNUMBER(E13),ISNUMBER(E14),ISNUMBER($M$6)),IF(AND(13&gt;=$M$6,E13&gt;=0.5,E14&lt;0.5),13,""),"")</f>
        <v/>
      </c>
      <c r="H13" s="23" t="str">
        <f t="shared" si="2"/>
        <v/>
      </c>
      <c r="I13" s="23">
        <f t="shared" si="3"/>
        <v>-57.422554785305579</v>
      </c>
      <c r="J13" s="25">
        <f t="shared" si="4"/>
        <v>0.93875262154770001</v>
      </c>
      <c r="K13" s="23">
        <f t="shared" si="5"/>
        <v>1</v>
      </c>
      <c r="L13" s="5" t="s">
        <v>63</v>
      </c>
      <c r="M13" s="18">
        <f>IF(ISNUMBER($M$12),factor_forma*$M$12,"")</f>
        <v>221.94453388135057</v>
      </c>
    </row>
    <row r="14" spans="1:13" x14ac:dyDescent="0.3">
      <c r="A14" s="21">
        <v>120</v>
      </c>
      <c r="B14" s="22">
        <v>2.5979999999999999E-5</v>
      </c>
      <c r="C14" s="23">
        <f t="shared" si="0"/>
        <v>800.55382847556496</v>
      </c>
      <c r="D14" s="24">
        <f>IF(ISNUMBER(B14),AVERAGE(INDEX($B$2:$B$23,MAX(1,13-semi)):INDEX($B$2:$B$23,MIN($M$3,13+semi))),"")</f>
        <v>2.5979999999999999E-5</v>
      </c>
      <c r="E14" s="25">
        <f t="shared" si="1"/>
        <v>1</v>
      </c>
      <c r="F14" s="23" t="str">
        <f>IF(AND(ISNUMBER(E14),ISNUMBER(E15),ISNUMBER($M$6)),IF(AND(14&lt;$M$6,E14&lt;0.5,E15&gt;=0.5),14,""),"")</f>
        <v/>
      </c>
      <c r="G14" s="23" t="str">
        <f>IF(AND(ISNUMBER(E14),ISNUMBER(E15),ISNUMBER($M$6)),IF(AND(14&gt;=$M$6,E14&gt;=0.5,E15&lt;0.5),14,""),"")</f>
        <v/>
      </c>
      <c r="H14" s="23" t="str">
        <f t="shared" si="2"/>
        <v/>
      </c>
      <c r="I14" s="23">
        <f t="shared" si="3"/>
        <v>9.2902642543248248</v>
      </c>
      <c r="J14" s="25">
        <f t="shared" si="4"/>
        <v>1</v>
      </c>
      <c r="K14" s="23">
        <f t="shared" si="5"/>
        <v>1</v>
      </c>
      <c r="L14" s="5" t="s">
        <v>64</v>
      </c>
      <c r="M14" s="6">
        <f>IF(ISNUMBER($M$12),0.7071*$M$12,"")</f>
        <v>241.44150755000456</v>
      </c>
    </row>
    <row r="15" spans="1:13" x14ac:dyDescent="0.3">
      <c r="A15" s="21">
        <v>130</v>
      </c>
      <c r="B15" s="22">
        <v>2.27E-5</v>
      </c>
      <c r="C15" s="23">
        <f t="shared" si="0"/>
        <v>867.26664751519536</v>
      </c>
      <c r="D15" s="24">
        <f>IF(ISNUMBER(B15),AVERAGE(INDEX($B$2:$B$23,MAX(1,14-semi)):INDEX($B$2:$B$23,MIN($M$3,14+semi))),"")</f>
        <v>2.27E-5</v>
      </c>
      <c r="E15" s="25">
        <f t="shared" si="1"/>
        <v>0.87285354346611133</v>
      </c>
      <c r="F15" s="23" t="str">
        <f>IF(AND(ISNUMBER(E15),ISNUMBER(E16),ISNUMBER($M$6)),IF(AND(15&lt;$M$6,E15&lt;0.5,E16&gt;=0.5),15,""),"")</f>
        <v/>
      </c>
      <c r="G15" s="23" t="str">
        <f>IF(AND(ISNUMBER(E15),ISNUMBER(E16),ISNUMBER($M$6)),IF(AND(15&gt;=$M$6,E15&gt;=0.5,E16&lt;0.5),15,""),"")</f>
        <v/>
      </c>
      <c r="H15" s="23" t="str">
        <f t="shared" si="2"/>
        <v/>
      </c>
      <c r="I15" s="23">
        <f t="shared" si="3"/>
        <v>76.003083293955228</v>
      </c>
      <c r="J15" s="25">
        <f t="shared" si="4"/>
        <v>0.87285354346611133</v>
      </c>
      <c r="K15" s="23">
        <f t="shared" si="5"/>
        <v>1</v>
      </c>
      <c r="L15" s="5" t="s">
        <v>65</v>
      </c>
      <c r="M15" s="6">
        <f>IF(ISNUMBER($M$12),($M$10+$M$11)/2,$M$7)</f>
        <v>791.26356422124013</v>
      </c>
    </row>
    <row r="16" spans="1:13" x14ac:dyDescent="0.3">
      <c r="A16" s="21">
        <v>140</v>
      </c>
      <c r="B16" s="22">
        <v>1.5999999999999999E-5</v>
      </c>
      <c r="C16" s="23">
        <f t="shared" si="0"/>
        <v>933.97946655482576</v>
      </c>
      <c r="D16" s="24">
        <f>IF(ISNUMBER(B16),AVERAGE(INDEX($B$2:$B$23,MAX(1,15-semi)):INDEX($B$2:$B$23,MIN($M$3,15+semi))),"")</f>
        <v>1.5999999999999999E-5</v>
      </c>
      <c r="E16" s="25">
        <f t="shared" si="1"/>
        <v>0.6131336474974971</v>
      </c>
      <c r="F16" s="23" t="str">
        <f>IF(AND(ISNUMBER(E16),ISNUMBER(E17),ISNUMBER($M$6)),IF(AND(16&lt;$M$6,E16&lt;0.5,E17&gt;=0.5),16,""),"")</f>
        <v/>
      </c>
      <c r="G16" s="23">
        <f>IF(AND(ISNUMBER(E16),ISNUMBER(E17),ISNUMBER($M$6)),IF(AND(16&gt;=$M$6,E16&gt;=0.5,E17&lt;0.5),16,""),"")</f>
        <v>16</v>
      </c>
      <c r="H16" s="23">
        <f t="shared" si="2"/>
        <v>961.99012874535595</v>
      </c>
      <c r="I16" s="23">
        <f t="shared" si="3"/>
        <v>142.71590233358563</v>
      </c>
      <c r="J16" s="25">
        <f t="shared" si="4"/>
        <v>0.6131336474974971</v>
      </c>
      <c r="K16" s="23">
        <f t="shared" si="5"/>
        <v>1</v>
      </c>
      <c r="L16" s="5" t="s">
        <v>66</v>
      </c>
      <c r="M16" s="10">
        <f>COUNTIF($E$2:$E$23,"&gt;=0.5")</f>
        <v>5</v>
      </c>
    </row>
    <row r="17" spans="1:13" x14ac:dyDescent="0.3">
      <c r="A17" s="21">
        <v>150</v>
      </c>
      <c r="B17" s="22">
        <v>9.0489999999999993E-6</v>
      </c>
      <c r="C17" s="23">
        <f t="shared" si="0"/>
        <v>1000.6922855944562</v>
      </c>
      <c r="D17" s="24">
        <f>IF(ISNUMBER(B17),AVERAGE(INDEX($B$2:$B$23,MAX(1,16-semi)):INDEX($B$2:$B$23,MIN($M$3,16+semi))),"")</f>
        <v>9.0489999999999993E-6</v>
      </c>
      <c r="E17" s="25">
        <f t="shared" si="1"/>
        <v>0.34368394647095413</v>
      </c>
      <c r="F17" s="23" t="str">
        <f>IF(AND(ISNUMBER(E17),ISNUMBER(E18),ISNUMBER($M$6)),IF(AND(17&lt;$M$6,E17&lt;0.5,E18&gt;=0.5),17,""),"")</f>
        <v/>
      </c>
      <c r="G17" s="23" t="str">
        <f>IF(AND(ISNUMBER(E17),ISNUMBER(E18),ISNUMBER($M$6)),IF(AND(17&gt;=$M$6,E17&gt;=0.5,E18&lt;0.5),17,""),"")</f>
        <v/>
      </c>
      <c r="H17" s="23" t="str">
        <f t="shared" si="2"/>
        <v/>
      </c>
      <c r="I17" s="23">
        <f t="shared" si="3"/>
        <v>209.42872137321604</v>
      </c>
      <c r="J17" s="25">
        <f t="shared" si="4"/>
        <v>0.34368394647095413</v>
      </c>
      <c r="K17" s="23">
        <f t="shared" si="5"/>
        <v>1</v>
      </c>
      <c r="L17" s="5" t="s">
        <v>67</v>
      </c>
      <c r="M17" s="6">
        <f>IFERROR($M$15-MIN($C$2:$C$23),"")</f>
        <v>791.26356422124013</v>
      </c>
    </row>
    <row r="18" spans="1:13" x14ac:dyDescent="0.3">
      <c r="A18" s="21">
        <v>160</v>
      </c>
      <c r="B18" s="22">
        <v>4.5229999999999997E-6</v>
      </c>
      <c r="C18" s="23">
        <f t="shared" si="0"/>
        <v>1067.4051046340865</v>
      </c>
      <c r="D18" s="24">
        <f>IF(ISNUMBER(B18),AVERAGE(INDEX($B$2:$B$23,MAX(1,17-semi)):INDEX($B$2:$B$23,MIN($M$3,17+semi))),"")</f>
        <v>4.5229999999999997E-6</v>
      </c>
      <c r="E18" s="25">
        <f t="shared" si="1"/>
        <v>0.16823734211961866</v>
      </c>
      <c r="F18" s="23" t="str">
        <f>IF(AND(ISNUMBER(E18),ISNUMBER(E19),ISNUMBER($M$6)),IF(AND(18&lt;$M$6,E18&lt;0.5,E19&gt;=0.5),18,""),"")</f>
        <v/>
      </c>
      <c r="G18" s="23" t="str">
        <f>IF(AND(ISNUMBER(E18),ISNUMBER(E19),ISNUMBER($M$6)),IF(AND(18&gt;=$M$6,E18&gt;=0.5,E19&lt;0.5),18,""),"")</f>
        <v/>
      </c>
      <c r="H18" s="23" t="str">
        <f t="shared" si="2"/>
        <v/>
      </c>
      <c r="I18" s="23">
        <f t="shared" si="3"/>
        <v>276.14154041284633</v>
      </c>
      <c r="J18" s="25">
        <f t="shared" si="4"/>
        <v>0.16823734211961866</v>
      </c>
      <c r="K18" s="23">
        <f t="shared" si="5"/>
        <v>1</v>
      </c>
      <c r="L18" s="5" t="s">
        <v>68</v>
      </c>
      <c r="M18" s="6">
        <f>IFERROR(MAX($C$2:$C$23)-$M$15,"")</f>
        <v>609.70563561099834</v>
      </c>
    </row>
    <row r="19" spans="1:13" x14ac:dyDescent="0.3">
      <c r="A19" s="21">
        <v>170</v>
      </c>
      <c r="B19" s="22">
        <v>2.2800000000000002E-6</v>
      </c>
      <c r="C19" s="23">
        <f t="shared" si="0"/>
        <v>1134.1179236737169</v>
      </c>
      <c r="D19" s="24">
        <f>IF(ISNUMBER(B19),AVERAGE(INDEX($B$2:$B$23,MAX(1,18-semi)):INDEX($B$2:$B$23,MIN($M$3,18+semi))),"")</f>
        <v>2.2800000000000002E-6</v>
      </c>
      <c r="E19" s="25">
        <f t="shared" si="1"/>
        <v>8.1289323215499018E-2</v>
      </c>
      <c r="F19" s="23" t="str">
        <f>IF(AND(ISNUMBER(E19),ISNUMBER(E20),ISNUMBER($M$6)),IF(AND(19&lt;$M$6,E19&lt;0.5,E20&gt;=0.5),19,""),"")</f>
        <v/>
      </c>
      <c r="G19" s="23" t="str">
        <f>IF(AND(ISNUMBER(E19),ISNUMBER(E20),ISNUMBER($M$6)),IF(AND(19&gt;=$M$6,E19&gt;=0.5,E20&lt;0.5),19,""),"")</f>
        <v/>
      </c>
      <c r="H19" s="23" t="str">
        <f t="shared" si="2"/>
        <v/>
      </c>
      <c r="I19" s="23">
        <f t="shared" si="3"/>
        <v>342.85435945247673</v>
      </c>
      <c r="J19" s="25">
        <f t="shared" si="4"/>
        <v>8.1289323215499018E-2</v>
      </c>
      <c r="K19" s="23">
        <f t="shared" si="5"/>
        <v>1</v>
      </c>
      <c r="L19" s="5" t="s">
        <v>69</v>
      </c>
      <c r="M19" s="10">
        <f>IF($M$3&lt;$M$2,"",IFERROR(INDEX($A$1:$A$23,$M$6),""))</f>
        <v>120</v>
      </c>
    </row>
    <row r="20" spans="1:13" x14ac:dyDescent="0.3">
      <c r="A20" s="21">
        <v>180</v>
      </c>
      <c r="B20" s="22">
        <v>1.2699999999999999E-6</v>
      </c>
      <c r="C20" s="23">
        <f t="shared" si="0"/>
        <v>1200.8307427133473</v>
      </c>
      <c r="D20" s="24">
        <f>IF(ISNUMBER(B20),AVERAGE(INDEX($B$2:$B$23,MAX(1,19-semi)):INDEX($B$2:$B$23,MIN($M$3,19+semi))),"")</f>
        <v>1.2699999999999999E-6</v>
      </c>
      <c r="E20" s="25">
        <f t="shared" si="1"/>
        <v>4.2137518002319838E-2</v>
      </c>
      <c r="F20" s="23" t="str">
        <f>IF(AND(ISNUMBER(E20),ISNUMBER(E21),ISNUMBER($M$6)),IF(AND(20&lt;$M$6,E20&lt;0.5,E21&gt;=0.5),20,""),"")</f>
        <v/>
      </c>
      <c r="G20" s="23" t="str">
        <f>IF(AND(ISNUMBER(E20),ISNUMBER(E21),ISNUMBER($M$6)),IF(AND(20&gt;=$M$6,E20&gt;=0.5,E21&lt;0.5),20,""),"")</f>
        <v/>
      </c>
      <c r="H20" s="23" t="str">
        <f t="shared" si="2"/>
        <v/>
      </c>
      <c r="I20" s="23">
        <f t="shared" si="3"/>
        <v>409.56717849210713</v>
      </c>
      <c r="J20" s="25">
        <f t="shared" si="4"/>
        <v>4.2137518002319838E-2</v>
      </c>
      <c r="K20" s="23">
        <f t="shared" si="5"/>
        <v>1</v>
      </c>
      <c r="L20" s="5" t="s">
        <v>70</v>
      </c>
      <c r="M20" s="20" t="str">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Aviso: el pico está corrido; el barrido no llega a una de las alas</v>
      </c>
    </row>
    <row r="21" spans="1:13" x14ac:dyDescent="0.3">
      <c r="A21" s="21">
        <v>190</v>
      </c>
      <c r="B21" s="22">
        <v>5.5499999999999998E-7</v>
      </c>
      <c r="C21" s="23">
        <f t="shared" si="0"/>
        <v>1267.5435617529777</v>
      </c>
      <c r="D21" s="24">
        <f>IF(ISNUMBER(B21),AVERAGE(INDEX($B$2:$B$23,MAX(1,20-semi)):INDEX($B$2:$B$23,MIN($M$3,20+semi))),"")</f>
        <v>5.5499999999999998E-7</v>
      </c>
      <c r="E21" s="25">
        <f t="shared" si="1"/>
        <v>1.4421141044475191E-2</v>
      </c>
      <c r="F21" s="23" t="str">
        <f>IF(AND(ISNUMBER(E21),ISNUMBER(E22),ISNUMBER($M$6)),IF(AND(21&lt;$M$6,E21&lt;0.5,E22&gt;=0.5),21,""),"")</f>
        <v/>
      </c>
      <c r="G21" s="23" t="str">
        <f>IF(AND(ISNUMBER(E21),ISNUMBER(E22),ISNUMBER($M$6)),IF(AND(21&gt;=$M$6,E21&gt;=0.5,E22&lt;0.5),21,""),"")</f>
        <v/>
      </c>
      <c r="H21" s="23" t="str">
        <f t="shared" si="2"/>
        <v/>
      </c>
      <c r="I21" s="23">
        <f t="shared" si="3"/>
        <v>476.27999753173754</v>
      </c>
      <c r="J21" s="25">
        <f t="shared" si="4"/>
        <v>1.4421141044475191E-2</v>
      </c>
      <c r="K21" s="23">
        <f t="shared" si="5"/>
        <v>1</v>
      </c>
    </row>
    <row r="22" spans="1:13" x14ac:dyDescent="0.3">
      <c r="A22" s="21">
        <v>200</v>
      </c>
      <c r="B22" s="22">
        <v>4.1520000000000001E-7</v>
      </c>
      <c r="C22" s="23">
        <f t="shared" si="0"/>
        <v>1334.2563807926081</v>
      </c>
      <c r="D22" s="24">
        <f>IF(ISNUMBER(B22),AVERAGE(INDEX($B$2:$B$23,MAX(1,21-semi)):INDEX($B$2:$B$23,MIN($M$3,21+semi))),"")</f>
        <v>4.1520000000000001E-7</v>
      </c>
      <c r="E22" s="25">
        <f t="shared" si="1"/>
        <v>9.0019109763539579E-3</v>
      </c>
      <c r="F22" s="23" t="str">
        <f>IF(AND(ISNUMBER(E22),ISNUMBER(E23),ISNUMBER($M$6)),IF(AND(22&lt;$M$6,E22&lt;0.5,E23&gt;=0.5),22,""),"")</f>
        <v/>
      </c>
      <c r="G22" s="23" t="str">
        <f>IF(AND(ISNUMBER(E22),ISNUMBER(E23),ISNUMBER($M$6)),IF(AND(22&gt;=$M$6,E22&gt;=0.5,E23&lt;0.5),22,""),"")</f>
        <v/>
      </c>
      <c r="H22" s="23" t="str">
        <f t="shared" si="2"/>
        <v/>
      </c>
      <c r="I22" s="23">
        <f t="shared" si="3"/>
        <v>542.99281657136794</v>
      </c>
      <c r="J22" s="25">
        <f t="shared" si="4"/>
        <v>9.0019109763539579E-3</v>
      </c>
      <c r="K22" s="23">
        <f t="shared" si="5"/>
        <v>1</v>
      </c>
      <c r="L22" s="2" t="s">
        <v>73</v>
      </c>
    </row>
    <row r="23" spans="1:13" x14ac:dyDescent="0.3">
      <c r="A23" s="21">
        <v>210</v>
      </c>
      <c r="B23" s="22">
        <v>2.7539999999999999E-7</v>
      </c>
      <c r="C23" s="23">
        <f t="shared" si="0"/>
        <v>1400.9691998322385</v>
      </c>
      <c r="D23" s="24">
        <f>IF(ISNUMBER(B23),AVERAGE(INDEX($B$2:$B$23,MAX(1,22-semi)):INDEX($B$2:$B$23,MIN($M$3,22+semi))),"")</f>
        <v>2.7539999999999999E-7</v>
      </c>
      <c r="E23" s="25">
        <f t="shared" si="1"/>
        <v>3.5826809082327234E-3</v>
      </c>
      <c r="F23" s="23" t="str">
        <f>IF(AND(ISNUMBER(E23),ISNUMBER(E24),ISNUMBER($M$6)),IF(AND(23&lt;$M$6,E23&lt;0.5,E24&gt;=0.5),23,""),"")</f>
        <v/>
      </c>
      <c r="G23" s="23" t="str">
        <f>IF(AND(ISNUMBER(E23),ISNUMBER(E24),ISNUMBER($M$6)),IF(AND(23&gt;=$M$6,E23&gt;=0.5,E24&lt;0.5),23,""),"")</f>
        <v/>
      </c>
      <c r="H23" s="23" t="str">
        <f t="shared" si="2"/>
        <v/>
      </c>
      <c r="I23" s="23">
        <f t="shared" si="3"/>
        <v>609.70563561099834</v>
      </c>
      <c r="J23" s="25">
        <f t="shared" si="4"/>
        <v>3.5826809082327234E-3</v>
      </c>
      <c r="K23" s="23" t="str">
        <f t="shared" si="5"/>
        <v/>
      </c>
      <c r="L23" s="23">
        <f>IF(ISNUMBER($M$12),$M$10-$M$15,NA())</f>
        <v>-170.72656452411582</v>
      </c>
      <c r="M23" s="23">
        <f>IF(ISNUMBER($M$12),0.5,NA())</f>
        <v>0.5</v>
      </c>
    </row>
    <row r="24" spans="1:13" x14ac:dyDescent="0.3">
      <c r="L24" s="23">
        <f>IF(ISNUMBER($M$12),$M$11-$M$15,NA())</f>
        <v>170.72656452411582</v>
      </c>
      <c r="M24" s="23">
        <f>IF(ISNUMBER($M$12),0.5,NA())</f>
        <v>0.5</v>
      </c>
    </row>
    <row r="26" spans="1:13" ht="26.4" x14ac:dyDescent="0.3">
      <c r="L26" s="7" t="s">
        <v>74</v>
      </c>
    </row>
  </sheetData>
  <sheetProtection sheet="1" objects="1" scenarios="1" formatColumns="0" formatRows="0"/>
  <conditionalFormatting sqref="I2:J23">
    <cfRule type="containsErrors" dxfId="59" priority="4">
      <formula>ISERROR(I2)</formula>
    </cfRule>
  </conditionalFormatting>
  <conditionalFormatting sqref="L23:M24">
    <cfRule type="containsErrors" dxfId="58" priority="5">
      <formula>ISERROR(L23)</formula>
    </cfRule>
  </conditionalFormatting>
  <conditionalFormatting sqref="M20">
    <cfRule type="cellIs" dxfId="57" priority="1" operator="equal">
      <formula>"OK"</formula>
    </cfRule>
    <cfRule type="beginsWith" dxfId="56" priority="2" operator="beginsWith" text="Aviso">
      <formula>LEFT(M20,5)="Aviso"</formula>
    </cfRule>
    <cfRule type="beginsWith" dxfId="55"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xr:uid="{00000000-0002-0000-0400-000000000000}">
      <formula1>-1</formula1>
      <formula2>1</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6"/>
  <sheetViews>
    <sheetView workbookViewId="0">
      <pane ySplit="1" topLeftCell="A2" activePane="bottomLeft" state="frozen"/>
      <selection pane="bottomLeft" activeCell="B24" sqref="B24"/>
    </sheetView>
  </sheetViews>
  <sheetFormatPr baseColWidth="10" defaultColWidth="8.88671875" defaultRowHeight="14.4" x14ac:dyDescent="0.3"/>
  <cols>
    <col min="1" max="1" width="14.6640625" customWidth="1"/>
    <col min="2" max="2" width="15.6640625" customWidth="1"/>
    <col min="3" max="5" width="12.6640625" customWidth="1"/>
    <col min="6" max="8" width="9.6640625" customWidth="1"/>
    <col min="9" max="10" width="11.6640625" customWidth="1"/>
    <col min="11" max="11" width="7.6640625" customWidth="1"/>
    <col min="12" max="12" width="42.6640625" customWidth="1"/>
    <col min="13" max="13" width="14.6640625" customWidth="1"/>
  </cols>
  <sheetData>
    <row r="1" spans="1:13" ht="42" customHeight="1" x14ac:dyDescent="0.3">
      <c r="A1" s="4" t="s">
        <v>41</v>
      </c>
      <c r="B1" s="4" t="s">
        <v>42</v>
      </c>
      <c r="C1" s="4" t="s">
        <v>43</v>
      </c>
      <c r="D1" s="4" t="s">
        <v>44</v>
      </c>
      <c r="E1" s="4" t="s">
        <v>45</v>
      </c>
      <c r="F1" s="4" t="s">
        <v>46</v>
      </c>
      <c r="G1" s="4" t="s">
        <v>47</v>
      </c>
      <c r="H1" s="4" t="s">
        <v>48</v>
      </c>
      <c r="I1" s="4" t="s">
        <v>49</v>
      </c>
      <c r="J1" s="4" t="s">
        <v>50</v>
      </c>
      <c r="K1" s="4" t="s">
        <v>51</v>
      </c>
      <c r="L1" s="4" t="s">
        <v>75</v>
      </c>
      <c r="M1" s="4" t="s">
        <v>72</v>
      </c>
    </row>
    <row r="2" spans="1:13" x14ac:dyDescent="0.3">
      <c r="A2" s="21">
        <v>0</v>
      </c>
      <c r="B2" s="22">
        <v>2.3349999999999999E-7</v>
      </c>
      <c r="C2" s="23">
        <f t="shared" ref="C2:C23" si="0">IF(ISNUMBER(A2),A2*conv,"")</f>
        <v>0</v>
      </c>
      <c r="D2" s="24">
        <f>IF(ISNUMBER(B2),AVERAGE(INDEX($B$2:$B$23,MAX(1,1-semi)):INDEX($B$2:$B$23,MIN($M$3,1+semi))),"")</f>
        <v>2.3349999999999999E-7</v>
      </c>
      <c r="E2" s="25">
        <f t="shared" ref="E2:E23" si="1">IF(AND(ISNUMBER(D2),ISNUMBER($M$4)),(D2-$M$4)/($M$5-$M$4),"")</f>
        <v>7.7892226697180342E-4</v>
      </c>
      <c r="F2" s="23" t="str">
        <f>IF(AND(ISNUMBER(E2),ISNUMBER(E3),ISNUMBER($M$6)),IF(AND(2&lt;$M$6,E2&lt;0.5,E3&gt;=0.5),2,""),"")</f>
        <v/>
      </c>
      <c r="G2" s="23" t="str">
        <f>IF(AND(ISNUMBER(E2),ISNUMBER(E3),ISNUMBER($M$6)),IF(AND(2&gt;=$M$6,E2&gt;=0.5,E3&lt;0.5),2,""),"")</f>
        <v/>
      </c>
      <c r="H2" s="23" t="str">
        <f t="shared" ref="H2:H23" si="2">IF(OR(ISNUMBER(F2),ISNUMBER(G2)),C2+(0.5-E2)*(C3-C2)/(E3-E2),"")</f>
        <v/>
      </c>
      <c r="I2" s="23">
        <f t="shared" ref="I2:I23" si="3">IF(AND(ISNUMBER(E2),ISNUMBER($M$15)),C2-$M$15,NA())</f>
        <v>-786.59615729710026</v>
      </c>
      <c r="J2" s="25">
        <f t="shared" ref="J2:J23" si="4">IF(ISNUMBER(E2),E2,NA())</f>
        <v>7.7892226697180342E-4</v>
      </c>
      <c r="K2" s="23">
        <f t="shared" ref="K2:K23" si="5">IF(AND(ISNUMBER(C2),ISNUMBER(C3)),SIGN(C3-C2),"")</f>
        <v>1</v>
      </c>
      <c r="L2" s="5" t="s">
        <v>52</v>
      </c>
      <c r="M2" s="10">
        <f>COUNT($A$2:$A$23)</f>
        <v>22</v>
      </c>
    </row>
    <row r="3" spans="1:13" x14ac:dyDescent="0.3">
      <c r="A3" s="21">
        <v>10</v>
      </c>
      <c r="B3" s="22">
        <v>9.3639999999999997E-8</v>
      </c>
      <c r="C3" s="23">
        <f t="shared" si="0"/>
        <v>66.712819039630403</v>
      </c>
      <c r="D3" s="24">
        <f>IF(ISNUMBER(B3),AVERAGE(INDEX($B$2:$B$23,MAX(1,2-semi)):INDEX($B$2:$B$23,MIN($M$3,2+semi))),"")</f>
        <v>9.3639999999999997E-8</v>
      </c>
      <c r="E3" s="25">
        <f t="shared" si="1"/>
        <v>-4.4111715042848137E-3</v>
      </c>
      <c r="F3" s="23" t="str">
        <f>IF(AND(ISNUMBER(E3),ISNUMBER(E4),ISNUMBER($M$6)),IF(AND(3&lt;$M$6,E3&lt;0.5,E4&gt;=0.5),3,""),"")</f>
        <v/>
      </c>
      <c r="G3" s="23" t="str">
        <f>IF(AND(ISNUMBER(E3),ISNUMBER(E4),ISNUMBER($M$6)),IF(AND(3&gt;=$M$6,E3&gt;=0.5,E4&lt;0.5),3,""),"")</f>
        <v/>
      </c>
      <c r="H3" s="23" t="str">
        <f t="shared" si="2"/>
        <v/>
      </c>
      <c r="I3" s="23">
        <f t="shared" si="3"/>
        <v>-719.88333825746986</v>
      </c>
      <c r="J3" s="25">
        <f t="shared" si="4"/>
        <v>-4.4111715042848137E-3</v>
      </c>
      <c r="K3" s="23">
        <f t="shared" si="5"/>
        <v>1</v>
      </c>
      <c r="L3" s="5" t="s">
        <v>53</v>
      </c>
      <c r="M3" s="10">
        <f>COUNT($B$2:$B$23)</f>
        <v>22</v>
      </c>
    </row>
    <row r="4" spans="1:13" x14ac:dyDescent="0.3">
      <c r="A4" s="21">
        <v>20</v>
      </c>
      <c r="B4" s="22">
        <v>4.7109999999999998E-7</v>
      </c>
      <c r="C4" s="23">
        <f t="shared" si="0"/>
        <v>133.42563807926081</v>
      </c>
      <c r="D4" s="24">
        <f>IF(ISNUMBER(B4),AVERAGE(INDEX($B$2:$B$23,MAX(1,3-semi)):INDEX($B$2:$B$23,MIN($M$3,3+semi))),"")</f>
        <v>4.7109999999999998E-7</v>
      </c>
      <c r="E4" s="25">
        <f t="shared" si="1"/>
        <v>9.5960699864811143E-3</v>
      </c>
      <c r="F4" s="23" t="str">
        <f>IF(AND(ISNUMBER(E4),ISNUMBER(E5),ISNUMBER($M$6)),IF(AND(4&lt;$M$6,E4&lt;0.5,E5&gt;=0.5),4,""),"")</f>
        <v/>
      </c>
      <c r="G4" s="23" t="str">
        <f>IF(AND(ISNUMBER(E4),ISNUMBER(E5),ISNUMBER($M$6)),IF(AND(4&gt;=$M$6,E4&gt;=0.5,E5&lt;0.5),4,""),"")</f>
        <v/>
      </c>
      <c r="H4" s="23" t="str">
        <f t="shared" si="2"/>
        <v/>
      </c>
      <c r="I4" s="23">
        <f t="shared" si="3"/>
        <v>-653.17051921783946</v>
      </c>
      <c r="J4" s="25">
        <f t="shared" si="4"/>
        <v>9.5960699864811143E-3</v>
      </c>
      <c r="K4" s="23">
        <f t="shared" si="5"/>
        <v>1</v>
      </c>
      <c r="L4" s="5" t="s">
        <v>54</v>
      </c>
      <c r="M4" s="26">
        <f>IF($M$3&lt;$M$2,"",(AVERAGE(INDEX($B$2:$B$23,1):INDEX($B$2:$B$23,n_fondo))+AVERAGE(INDEX($B$2:$B$23,$M$3-n_fondo+1):INDEX($B$2:$B$23,$M$3)))/2)</f>
        <v>2.1250999999999999E-7</v>
      </c>
    </row>
    <row r="5" spans="1:13" x14ac:dyDescent="0.3">
      <c r="A5" s="21">
        <v>30</v>
      </c>
      <c r="B5" s="22">
        <v>4.1520000000000001E-7</v>
      </c>
      <c r="C5" s="23">
        <f t="shared" si="0"/>
        <v>200.13845711889124</v>
      </c>
      <c r="D5" s="24">
        <f>IF(ISNUMBER(B5),AVERAGE(INDEX($B$2:$B$23,MAX(1,4-semi)):INDEX($B$2:$B$23,MIN($M$3,4+semi))),"")</f>
        <v>4.1520000000000001E-7</v>
      </c>
      <c r="E5" s="25">
        <f t="shared" si="1"/>
        <v>7.5216652831117115E-3</v>
      </c>
      <c r="F5" s="23" t="str">
        <f>IF(AND(ISNUMBER(E5),ISNUMBER(E6),ISNUMBER($M$6)),IF(AND(5&lt;$M$6,E5&lt;0.5,E6&gt;=0.5),5,""),"")</f>
        <v/>
      </c>
      <c r="G5" s="23" t="str">
        <f>IF(AND(ISNUMBER(E5),ISNUMBER(E6),ISNUMBER($M$6)),IF(AND(5&gt;=$M$6,E5&gt;=0.5,E6&lt;0.5),5,""),"")</f>
        <v/>
      </c>
      <c r="H5" s="23" t="str">
        <f t="shared" si="2"/>
        <v/>
      </c>
      <c r="I5" s="23">
        <f t="shared" si="3"/>
        <v>-586.45770017820905</v>
      </c>
      <c r="J5" s="25">
        <f t="shared" si="4"/>
        <v>7.5216652831117115E-3</v>
      </c>
      <c r="K5" s="23">
        <f t="shared" si="5"/>
        <v>1</v>
      </c>
      <c r="L5" s="5" t="s">
        <v>55</v>
      </c>
      <c r="M5" s="26">
        <f>IF($M$3&lt;$M$2,"",MAX($D$2:$D$23))</f>
        <v>2.7160000000000001E-5</v>
      </c>
    </row>
    <row r="6" spans="1:13" x14ac:dyDescent="0.3">
      <c r="A6" s="21">
        <v>40</v>
      </c>
      <c r="B6" s="22">
        <v>5.271E-7</v>
      </c>
      <c r="C6" s="23">
        <f t="shared" si="0"/>
        <v>266.85127615852161</v>
      </c>
      <c r="D6" s="24">
        <f>IF(ISNUMBER(B6),AVERAGE(INDEX($B$2:$B$23,MAX(1,5-semi)):INDEX($B$2:$B$23,MIN($M$3,5+semi))),"")</f>
        <v>5.271E-7</v>
      </c>
      <c r="E6" s="25">
        <f t="shared" si="1"/>
        <v>1.1674185610607889E-2</v>
      </c>
      <c r="F6" s="23" t="str">
        <f>IF(AND(ISNUMBER(E6),ISNUMBER(E7),ISNUMBER($M$6)),IF(AND(6&lt;$M$6,E6&lt;0.5,E7&gt;=0.5),6,""),"")</f>
        <v/>
      </c>
      <c r="G6" s="23" t="str">
        <f>IF(AND(ISNUMBER(E6),ISNUMBER(E7),ISNUMBER($M$6)),IF(AND(6&gt;=$M$6,E6&gt;=0.5,E7&lt;0.5),6,""),"")</f>
        <v/>
      </c>
      <c r="H6" s="23" t="str">
        <f t="shared" si="2"/>
        <v/>
      </c>
      <c r="I6" s="23">
        <f t="shared" si="3"/>
        <v>-519.74488113857865</v>
      </c>
      <c r="J6" s="25">
        <f t="shared" si="4"/>
        <v>1.1674185610607889E-2</v>
      </c>
      <c r="K6" s="23">
        <f t="shared" si="5"/>
        <v>1</v>
      </c>
      <c r="L6" s="5" t="s">
        <v>56</v>
      </c>
      <c r="M6" s="10">
        <f>IFERROR(MATCH($M$5,$D$2:$D$23,0)+1,"")</f>
        <v>14</v>
      </c>
    </row>
    <row r="7" spans="1:13" x14ac:dyDescent="0.3">
      <c r="A7" s="21">
        <v>50</v>
      </c>
      <c r="B7" s="22">
        <v>8.3679999999999998E-7</v>
      </c>
      <c r="C7" s="23">
        <f t="shared" si="0"/>
        <v>333.56409519815202</v>
      </c>
      <c r="D7" s="24">
        <f>IF(ISNUMBER(B7),AVERAGE(INDEX($B$2:$B$23,MAX(1,6-semi)):INDEX($B$2:$B$23,MIN($M$3,6+semi))),"")</f>
        <v>8.3679999999999998E-7</v>
      </c>
      <c r="E7" s="25">
        <f t="shared" si="1"/>
        <v>2.3166907196180423E-2</v>
      </c>
      <c r="F7" s="23" t="str">
        <f>IF(AND(ISNUMBER(E7),ISNUMBER(E8),ISNUMBER($M$6)),IF(AND(7&lt;$M$6,E7&lt;0.5,E8&gt;=0.5),7,""),"")</f>
        <v/>
      </c>
      <c r="G7" s="23" t="str">
        <f>IF(AND(ISNUMBER(E7),ISNUMBER(E8),ISNUMBER($M$6)),IF(AND(7&gt;=$M$6,E7&gt;=0.5,E8&lt;0.5),7,""),"")</f>
        <v/>
      </c>
      <c r="H7" s="23" t="str">
        <f t="shared" si="2"/>
        <v/>
      </c>
      <c r="I7" s="23">
        <f t="shared" si="3"/>
        <v>-453.03206209894824</v>
      </c>
      <c r="J7" s="25">
        <f t="shared" si="4"/>
        <v>2.3166907196180423E-2</v>
      </c>
      <c r="K7" s="23">
        <f t="shared" si="5"/>
        <v>1</v>
      </c>
      <c r="L7" s="5" t="s">
        <v>57</v>
      </c>
      <c r="M7" s="6">
        <f>IFERROR(INDEX($C$1:$C$23,$M$6),"")</f>
        <v>800.55382847556496</v>
      </c>
    </row>
    <row r="8" spans="1:13" x14ac:dyDescent="0.3">
      <c r="A8" s="21">
        <v>60</v>
      </c>
      <c r="B8" s="22">
        <v>1.6360000000000001E-6</v>
      </c>
      <c r="C8" s="23">
        <f t="shared" si="0"/>
        <v>400.27691423778248</v>
      </c>
      <c r="D8" s="24">
        <f>IF(ISNUMBER(B8),AVERAGE(INDEX($B$2:$B$23,MAX(1,7-semi)):INDEX($B$2:$B$23,MIN($M$3,7+semi))),"")</f>
        <v>1.6360000000000001E-6</v>
      </c>
      <c r="E8" s="25">
        <f t="shared" si="1"/>
        <v>5.2824585889075383E-2</v>
      </c>
      <c r="F8" s="23" t="str">
        <f>IF(AND(ISNUMBER(E8),ISNUMBER(E9),ISNUMBER($M$6)),IF(AND(8&lt;$M$6,E8&lt;0.5,E9&gt;=0.5),8,""),"")</f>
        <v/>
      </c>
      <c r="G8" s="23" t="str">
        <f>IF(AND(ISNUMBER(E8),ISNUMBER(E9),ISNUMBER($M$6)),IF(AND(8&gt;=$M$6,E8&gt;=0.5,E9&lt;0.5),8,""),"")</f>
        <v/>
      </c>
      <c r="H8" s="23" t="str">
        <f t="shared" si="2"/>
        <v/>
      </c>
      <c r="I8" s="23">
        <f t="shared" si="3"/>
        <v>-386.31924305931778</v>
      </c>
      <c r="J8" s="25">
        <f t="shared" si="4"/>
        <v>5.2824585889075383E-2</v>
      </c>
      <c r="K8" s="23">
        <f t="shared" si="5"/>
        <v>1</v>
      </c>
      <c r="L8" s="5" t="s">
        <v>58</v>
      </c>
      <c r="M8" s="10">
        <f>MAX($F$2:$F$23)</f>
        <v>11</v>
      </c>
    </row>
    <row r="9" spans="1:13" x14ac:dyDescent="0.3">
      <c r="A9" s="21">
        <v>70</v>
      </c>
      <c r="B9" s="22">
        <v>2.8679999999999999E-6</v>
      </c>
      <c r="C9" s="23">
        <f t="shared" si="0"/>
        <v>466.98973327741288</v>
      </c>
      <c r="D9" s="24">
        <f>IF(ISNUMBER(B9),AVERAGE(INDEX($B$2:$B$23,MAX(1,8-semi)):INDEX($B$2:$B$23,MIN($M$3,8+semi))),"")</f>
        <v>2.8679999999999999E-6</v>
      </c>
      <c r="E9" s="25">
        <f t="shared" si="1"/>
        <v>9.8543129619864403E-2</v>
      </c>
      <c r="F9" s="23" t="str">
        <f>IF(AND(ISNUMBER(E9),ISNUMBER(E10),ISNUMBER($M$6)),IF(AND(9&lt;$M$6,E9&lt;0.5,E10&gt;=0.5),9,""),"")</f>
        <v/>
      </c>
      <c r="G9" s="23" t="str">
        <f>IF(AND(ISNUMBER(E9),ISNUMBER(E10),ISNUMBER($M$6)),IF(AND(9&gt;=$M$6,E9&gt;=0.5,E10&lt;0.5),9,""),"")</f>
        <v/>
      </c>
      <c r="H9" s="23" t="str">
        <f t="shared" si="2"/>
        <v/>
      </c>
      <c r="I9" s="23">
        <f t="shared" si="3"/>
        <v>-319.60642401968738</v>
      </c>
      <c r="J9" s="25">
        <f t="shared" si="4"/>
        <v>9.8543129619864403E-2</v>
      </c>
      <c r="K9" s="23">
        <f t="shared" si="5"/>
        <v>1</v>
      </c>
      <c r="L9" s="5" t="s">
        <v>59</v>
      </c>
      <c r="M9" s="10">
        <f>MIN($G$2:$G$23)</f>
        <v>16</v>
      </c>
    </row>
    <row r="10" spans="1:13" x14ac:dyDescent="0.3">
      <c r="A10" s="21">
        <v>80</v>
      </c>
      <c r="B10" s="22">
        <v>5.587E-6</v>
      </c>
      <c r="C10" s="23">
        <f t="shared" si="0"/>
        <v>533.70255231704323</v>
      </c>
      <c r="D10" s="24">
        <f>IF(ISNUMBER(B10),AVERAGE(INDEX($B$2:$B$23,MAX(1,9-semi)):INDEX($B$2:$B$23,MIN($M$3,9+semi))),"")</f>
        <v>5.587E-6</v>
      </c>
      <c r="E10" s="25">
        <f t="shared" si="1"/>
        <v>0.19944306501273401</v>
      </c>
      <c r="F10" s="23" t="str">
        <f>IF(AND(ISNUMBER(E10),ISNUMBER(E11),ISNUMBER($M$6)),IF(AND(10&lt;$M$6,E10&lt;0.5,E11&gt;=0.5),10,""),"")</f>
        <v/>
      </c>
      <c r="G10" s="23" t="str">
        <f>IF(AND(ISNUMBER(E10),ISNUMBER(E11),ISNUMBER($M$6)),IF(AND(10&gt;=$M$6,E10&gt;=0.5,E11&lt;0.5),10,""),"")</f>
        <v/>
      </c>
      <c r="H10" s="23" t="str">
        <f t="shared" si="2"/>
        <v/>
      </c>
      <c r="I10" s="23">
        <f t="shared" si="3"/>
        <v>-252.89360498005703</v>
      </c>
      <c r="J10" s="25">
        <f t="shared" si="4"/>
        <v>0.19944306501273401</v>
      </c>
      <c r="K10" s="23">
        <f t="shared" si="5"/>
        <v>1</v>
      </c>
      <c r="L10" s="5" t="s">
        <v>60</v>
      </c>
      <c r="M10" s="6">
        <f>IF($M$8&gt;0,INDEX($H$1:$H$23,$M$8),"")</f>
        <v>618.86286318423299</v>
      </c>
    </row>
    <row r="11" spans="1:13" x14ac:dyDescent="0.3">
      <c r="A11" s="21">
        <v>90</v>
      </c>
      <c r="B11" s="22">
        <v>1.164E-5</v>
      </c>
      <c r="C11" s="23">
        <f t="shared" si="0"/>
        <v>600.41537135667363</v>
      </c>
      <c r="D11" s="24">
        <f>IF(ISNUMBER(B11),AVERAGE(INDEX($B$2:$B$23,MAX(1,10-semi)):INDEX($B$2:$B$23,MIN($M$3,10+semi))),"")</f>
        <v>1.164E-5</v>
      </c>
      <c r="E11" s="25">
        <f t="shared" si="1"/>
        <v>0.42406509845629403</v>
      </c>
      <c r="F11" s="23">
        <f>IF(AND(ISNUMBER(E11),ISNUMBER(E12),ISNUMBER($M$6)),IF(AND(11&lt;$M$6,E11&lt;0.5,E12&gt;=0.5),11,""),"")</f>
        <v>11</v>
      </c>
      <c r="G11" s="23" t="str">
        <f>IF(AND(ISNUMBER(E11),ISNUMBER(E12),ISNUMBER($M$6)),IF(AND(11&gt;=$M$6,E11&gt;=0.5,E12&lt;0.5),11,""),"")</f>
        <v/>
      </c>
      <c r="H11" s="23">
        <f t="shared" si="2"/>
        <v>618.86286318423299</v>
      </c>
      <c r="I11" s="23">
        <f t="shared" si="3"/>
        <v>-186.18078594042663</v>
      </c>
      <c r="J11" s="25">
        <f t="shared" si="4"/>
        <v>0.42406509845629403</v>
      </c>
      <c r="K11" s="23">
        <f t="shared" si="5"/>
        <v>1</v>
      </c>
      <c r="L11" s="5" t="s">
        <v>61</v>
      </c>
      <c r="M11" s="6">
        <f>IF($M$9&gt;0,INDEX($H$1:$H$23,$M$9),"")</f>
        <v>954.32945140996742</v>
      </c>
    </row>
    <row r="12" spans="1:13" ht="15.6" x14ac:dyDescent="0.3">
      <c r="A12" s="21">
        <v>100</v>
      </c>
      <c r="B12" s="22">
        <v>1.9040000000000001E-5</v>
      </c>
      <c r="C12" s="23">
        <f t="shared" si="0"/>
        <v>667.12819039630403</v>
      </c>
      <c r="D12" s="24">
        <f>IF(ISNUMBER(B12),AVERAGE(INDEX($B$2:$B$23,MAX(1,11-semi)):INDEX($B$2:$B$23,MIN($M$3,11+semi))),"")</f>
        <v>1.9040000000000001E-5</v>
      </c>
      <c r="E12" s="25">
        <f t="shared" si="1"/>
        <v>0.69867323450161778</v>
      </c>
      <c r="F12" s="23" t="str">
        <f>IF(AND(ISNUMBER(E12),ISNUMBER(E13),ISNUMBER($M$6)),IF(AND(12&lt;$M$6,E12&lt;0.5,E13&gt;=0.5),12,""),"")</f>
        <v/>
      </c>
      <c r="G12" s="23" t="str">
        <f>IF(AND(ISNUMBER(E12),ISNUMBER(E13),ISNUMBER($M$6)),IF(AND(12&gt;=$M$6,E12&gt;=0.5,E13&lt;0.5),12,""),"")</f>
        <v/>
      </c>
      <c r="H12" s="23" t="str">
        <f t="shared" si="2"/>
        <v/>
      </c>
      <c r="I12" s="23">
        <f t="shared" si="3"/>
        <v>-119.46796690079623</v>
      </c>
      <c r="J12" s="25">
        <f t="shared" si="4"/>
        <v>0.69867323450161778</v>
      </c>
      <c r="K12" s="23">
        <f t="shared" si="5"/>
        <v>1</v>
      </c>
      <c r="L12" s="5" t="s">
        <v>62</v>
      </c>
      <c r="M12" s="18">
        <f>IF(AND($M$8&gt;0,$M$9&gt;0),ABS($M$11-$M$10),"")</f>
        <v>335.46658822573443</v>
      </c>
    </row>
    <row r="13" spans="1:13" ht="15.6" x14ac:dyDescent="0.3">
      <c r="A13" s="21">
        <v>110</v>
      </c>
      <c r="B13" s="22">
        <v>2.493E-5</v>
      </c>
      <c r="C13" s="23">
        <f t="shared" si="0"/>
        <v>733.84100943593455</v>
      </c>
      <c r="D13" s="24">
        <f>IF(ISNUMBER(B13),AVERAGE(INDEX($B$2:$B$23,MAX(1,12-semi)):INDEX($B$2:$B$23,MIN($M$3,12+semi))),"")</f>
        <v>2.493E-5</v>
      </c>
      <c r="E13" s="25">
        <f t="shared" si="1"/>
        <v>0.91724646711066593</v>
      </c>
      <c r="F13" s="23" t="str">
        <f>IF(AND(ISNUMBER(E13),ISNUMBER(E14),ISNUMBER($M$6)),IF(AND(13&lt;$M$6,E13&lt;0.5,E14&gt;=0.5),13,""),"")</f>
        <v/>
      </c>
      <c r="G13" s="23" t="str">
        <f>IF(AND(ISNUMBER(E13),ISNUMBER(E14),ISNUMBER($M$6)),IF(AND(13&gt;=$M$6,E13&gt;=0.5,E14&lt;0.5),13,""),"")</f>
        <v/>
      </c>
      <c r="H13" s="23" t="str">
        <f t="shared" si="2"/>
        <v/>
      </c>
      <c r="I13" s="23">
        <f t="shared" si="3"/>
        <v>-52.75514786116571</v>
      </c>
      <c r="J13" s="25">
        <f t="shared" si="4"/>
        <v>0.91724646711066593</v>
      </c>
      <c r="K13" s="23">
        <f t="shared" si="5"/>
        <v>1</v>
      </c>
      <c r="L13" s="5" t="s">
        <v>63</v>
      </c>
      <c r="M13" s="18">
        <f>IF(ISNUMBER($M$12),factor_forma*$M$12,"")</f>
        <v>218.05328234672737</v>
      </c>
    </row>
    <row r="14" spans="1:13" x14ac:dyDescent="0.3">
      <c r="A14" s="21">
        <v>120</v>
      </c>
      <c r="B14" s="22">
        <v>2.7160000000000001E-5</v>
      </c>
      <c r="C14" s="23">
        <f t="shared" si="0"/>
        <v>800.55382847556496</v>
      </c>
      <c r="D14" s="24">
        <f>IF(ISNUMBER(B14),AVERAGE(INDEX($B$2:$B$23,MAX(1,13-semi)):INDEX($B$2:$B$23,MIN($M$3,13+semi))),"")</f>
        <v>2.7160000000000001E-5</v>
      </c>
      <c r="E14" s="25">
        <f t="shared" si="1"/>
        <v>1</v>
      </c>
      <c r="F14" s="23" t="str">
        <f>IF(AND(ISNUMBER(E14),ISNUMBER(E15),ISNUMBER($M$6)),IF(AND(14&lt;$M$6,E14&lt;0.5,E15&gt;=0.5),14,""),"")</f>
        <v/>
      </c>
      <c r="G14" s="23" t="str">
        <f>IF(AND(ISNUMBER(E14),ISNUMBER(E15),ISNUMBER($M$6)),IF(AND(14&gt;=$M$6,E14&gt;=0.5,E15&lt;0.5),14,""),"")</f>
        <v/>
      </c>
      <c r="H14" s="23" t="str">
        <f t="shared" si="2"/>
        <v/>
      </c>
      <c r="I14" s="23">
        <f t="shared" si="3"/>
        <v>13.957671178464693</v>
      </c>
      <c r="J14" s="25">
        <f t="shared" si="4"/>
        <v>1</v>
      </c>
      <c r="K14" s="23">
        <f t="shared" si="5"/>
        <v>1</v>
      </c>
      <c r="L14" s="5" t="s">
        <v>64</v>
      </c>
      <c r="M14" s="6">
        <f>IF(ISNUMBER($M$12),0.7071*$M$12,"")</f>
        <v>237.20842453441679</v>
      </c>
    </row>
    <row r="15" spans="1:13" x14ac:dyDescent="0.3">
      <c r="A15" s="21">
        <v>130</v>
      </c>
      <c r="B15" s="22">
        <v>2.3070000000000001E-5</v>
      </c>
      <c r="C15" s="23">
        <f t="shared" si="0"/>
        <v>867.26664751519536</v>
      </c>
      <c r="D15" s="24">
        <f>IF(ISNUMBER(B15),AVERAGE(INDEX($B$2:$B$23,MAX(1,14-semi)):INDEX($B$2:$B$23,MIN($M$3,14+semi))),"")</f>
        <v>2.3070000000000001E-5</v>
      </c>
      <c r="E15" s="25">
        <f t="shared" si="1"/>
        <v>0.84822334102359809</v>
      </c>
      <c r="F15" s="23" t="str">
        <f>IF(AND(ISNUMBER(E15),ISNUMBER(E16),ISNUMBER($M$6)),IF(AND(15&lt;$M$6,E15&lt;0.5,E16&gt;=0.5),15,""),"")</f>
        <v/>
      </c>
      <c r="G15" s="23" t="str">
        <f>IF(AND(ISNUMBER(E15),ISNUMBER(E16),ISNUMBER($M$6)),IF(AND(15&gt;=$M$6,E15&gt;=0.5,E16&lt;0.5),15,""),"")</f>
        <v/>
      </c>
      <c r="H15" s="23" t="str">
        <f t="shared" si="2"/>
        <v/>
      </c>
      <c r="I15" s="23">
        <f t="shared" si="3"/>
        <v>80.670490218095097</v>
      </c>
      <c r="J15" s="25">
        <f t="shared" si="4"/>
        <v>0.84822334102359809</v>
      </c>
      <c r="K15" s="23">
        <f t="shared" si="5"/>
        <v>1</v>
      </c>
      <c r="L15" s="5" t="s">
        <v>65</v>
      </c>
      <c r="M15" s="6">
        <f>IF(ISNUMBER($M$12),($M$10+$M$11)/2,$M$7)</f>
        <v>786.59615729710026</v>
      </c>
    </row>
    <row r="16" spans="1:13" x14ac:dyDescent="0.3">
      <c r="A16" s="21">
        <v>140</v>
      </c>
      <c r="B16" s="22">
        <v>1.5820000000000001E-5</v>
      </c>
      <c r="C16" s="23">
        <f t="shared" si="0"/>
        <v>933.97946655482576</v>
      </c>
      <c r="D16" s="24">
        <f>IF(ISNUMBER(B16),AVERAGE(INDEX($B$2:$B$23,MAX(1,15-semi)):INDEX($B$2:$B$23,MIN($M$3,15+semi))),"")</f>
        <v>1.5820000000000001E-5</v>
      </c>
      <c r="E16" s="25">
        <f t="shared" si="1"/>
        <v>0.57918158611432835</v>
      </c>
      <c r="F16" s="23" t="str">
        <f>IF(AND(ISNUMBER(E16),ISNUMBER(E17),ISNUMBER($M$6)),IF(AND(16&lt;$M$6,E16&lt;0.5,E17&gt;=0.5),16,""),"")</f>
        <v/>
      </c>
      <c r="G16" s="23">
        <f>IF(AND(ISNUMBER(E16),ISNUMBER(E17),ISNUMBER($M$6)),IF(AND(16&gt;=$M$6,E16&gt;=0.5,E17&lt;0.5),16,""),"")</f>
        <v>16</v>
      </c>
      <c r="H16" s="23">
        <f t="shared" si="2"/>
        <v>954.32945140996742</v>
      </c>
      <c r="I16" s="23">
        <f t="shared" si="3"/>
        <v>147.3833092577255</v>
      </c>
      <c r="J16" s="25">
        <f t="shared" si="4"/>
        <v>0.57918158611432835</v>
      </c>
      <c r="K16" s="23">
        <f t="shared" si="5"/>
        <v>1</v>
      </c>
      <c r="L16" s="5" t="s">
        <v>66</v>
      </c>
      <c r="M16" s="10">
        <f>COUNTIF($E$2:$E$23,"&gt;=0.5")</f>
        <v>5</v>
      </c>
    </row>
    <row r="17" spans="1:13" x14ac:dyDescent="0.3">
      <c r="A17" s="21">
        <v>150</v>
      </c>
      <c r="B17" s="22">
        <v>8.8249999999999994E-6</v>
      </c>
      <c r="C17" s="23">
        <f t="shared" si="0"/>
        <v>1000.6922855944562</v>
      </c>
      <c r="D17" s="24">
        <f>IF(ISNUMBER(B17),AVERAGE(INDEX($B$2:$B$23,MAX(1,16-semi)):INDEX($B$2:$B$23,MIN($M$3,16+semi))),"")</f>
        <v>8.8249999999999994E-6</v>
      </c>
      <c r="E17" s="25">
        <f t="shared" si="1"/>
        <v>0.31960267913634993</v>
      </c>
      <c r="F17" s="23" t="str">
        <f>IF(AND(ISNUMBER(E17),ISNUMBER(E18),ISNUMBER($M$6)),IF(AND(17&lt;$M$6,E17&lt;0.5,E18&gt;=0.5),17,""),"")</f>
        <v/>
      </c>
      <c r="G17" s="23" t="str">
        <f>IF(AND(ISNUMBER(E17),ISNUMBER(E18),ISNUMBER($M$6)),IF(AND(17&gt;=$M$6,E17&gt;=0.5,E18&lt;0.5),17,""),"")</f>
        <v/>
      </c>
      <c r="H17" s="23" t="str">
        <f t="shared" si="2"/>
        <v/>
      </c>
      <c r="I17" s="23">
        <f t="shared" si="3"/>
        <v>214.0961282973559</v>
      </c>
      <c r="J17" s="25">
        <f t="shared" si="4"/>
        <v>0.31960267913634993</v>
      </c>
      <c r="K17" s="23">
        <f t="shared" si="5"/>
        <v>1</v>
      </c>
      <c r="L17" s="5" t="s">
        <v>67</v>
      </c>
      <c r="M17" s="6">
        <f>IFERROR($M$15-MIN($C$2:$C$23),"")</f>
        <v>786.59615729710026</v>
      </c>
    </row>
    <row r="18" spans="1:13" x14ac:dyDescent="0.3">
      <c r="A18" s="21">
        <v>160</v>
      </c>
      <c r="B18" s="22">
        <v>4.3409999999999996E-6</v>
      </c>
      <c r="C18" s="23">
        <f t="shared" si="0"/>
        <v>1067.4051046340865</v>
      </c>
      <c r="D18" s="24">
        <f>IF(ISNUMBER(B18),AVERAGE(INDEX($B$2:$B$23,MAX(1,17-semi)):INDEX($B$2:$B$23,MIN($M$3,17+semi))),"")</f>
        <v>4.3409999999999996E-6</v>
      </c>
      <c r="E18" s="25">
        <f t="shared" si="1"/>
        <v>0.15320499237591328</v>
      </c>
      <c r="F18" s="23" t="str">
        <f>IF(AND(ISNUMBER(E18),ISNUMBER(E19),ISNUMBER($M$6)),IF(AND(18&lt;$M$6,E18&lt;0.5,E19&gt;=0.5),18,""),"")</f>
        <v/>
      </c>
      <c r="G18" s="23" t="str">
        <f>IF(AND(ISNUMBER(E18),ISNUMBER(E19),ISNUMBER($M$6)),IF(AND(18&gt;=$M$6,E18&gt;=0.5,E19&lt;0.5),18,""),"")</f>
        <v/>
      </c>
      <c r="H18" s="23" t="str">
        <f t="shared" si="2"/>
        <v/>
      </c>
      <c r="I18" s="23">
        <f t="shared" si="3"/>
        <v>280.80894733698619</v>
      </c>
      <c r="J18" s="25">
        <f t="shared" si="4"/>
        <v>0.15320499237591328</v>
      </c>
      <c r="K18" s="23">
        <f t="shared" si="5"/>
        <v>1</v>
      </c>
      <c r="L18" s="5" t="s">
        <v>68</v>
      </c>
      <c r="M18" s="6">
        <f>IFERROR(MAX($C$2:$C$23)-$M$15,"")</f>
        <v>614.37304253513821</v>
      </c>
    </row>
    <row r="19" spans="1:13" x14ac:dyDescent="0.3">
      <c r="A19" s="21">
        <v>170</v>
      </c>
      <c r="B19" s="22">
        <v>2.125E-6</v>
      </c>
      <c r="C19" s="23">
        <f t="shared" si="0"/>
        <v>1134.1179236737169</v>
      </c>
      <c r="D19" s="24">
        <f>IF(ISNUMBER(B19),AVERAGE(INDEX($B$2:$B$23,MAX(1,18-semi)):INDEX($B$2:$B$23,MIN($M$3,18+semi))),"")</f>
        <v>2.125E-6</v>
      </c>
      <c r="E19" s="25">
        <f t="shared" si="1"/>
        <v>7.0970988392610956E-2</v>
      </c>
      <c r="F19" s="23" t="str">
        <f>IF(AND(ISNUMBER(E19),ISNUMBER(E20),ISNUMBER($M$6)),IF(AND(19&lt;$M$6,E19&lt;0.5,E20&gt;=0.5),19,""),"")</f>
        <v/>
      </c>
      <c r="G19" s="23" t="str">
        <f>IF(AND(ISNUMBER(E19),ISNUMBER(E20),ISNUMBER($M$6)),IF(AND(19&gt;=$M$6,E19&gt;=0.5,E20&lt;0.5),19,""),"")</f>
        <v/>
      </c>
      <c r="H19" s="23" t="str">
        <f t="shared" si="2"/>
        <v/>
      </c>
      <c r="I19" s="23">
        <f t="shared" si="3"/>
        <v>347.5217663766166</v>
      </c>
      <c r="J19" s="25">
        <f t="shared" si="4"/>
        <v>7.0970988392610956E-2</v>
      </c>
      <c r="K19" s="23">
        <f t="shared" si="5"/>
        <v>1</v>
      </c>
      <c r="L19" s="5" t="s">
        <v>69</v>
      </c>
      <c r="M19" s="10">
        <f>IF($M$3&lt;$M$2,"",IFERROR(INDEX($A$1:$A$23,$M$6),""))</f>
        <v>120</v>
      </c>
    </row>
    <row r="20" spans="1:13" x14ac:dyDescent="0.3">
      <c r="A20" s="21">
        <v>180</v>
      </c>
      <c r="B20" s="22">
        <v>1.0049999999999999E-6</v>
      </c>
      <c r="C20" s="23">
        <f t="shared" si="0"/>
        <v>1200.8307427133473</v>
      </c>
      <c r="D20" s="24">
        <f>IF(ISNUMBER(B20),AVERAGE(INDEX($B$2:$B$23,MAX(1,19-semi)):INDEX($B$2:$B$23,MIN($M$3,19+semi))),"")</f>
        <v>1.0049999999999999E-6</v>
      </c>
      <c r="E20" s="25">
        <f t="shared" si="1"/>
        <v>2.9408675910075482E-2</v>
      </c>
      <c r="F20" s="23" t="str">
        <f>IF(AND(ISNUMBER(E20),ISNUMBER(E21),ISNUMBER($M$6)),IF(AND(20&lt;$M$6,E20&lt;0.5,E21&gt;=0.5),20,""),"")</f>
        <v/>
      </c>
      <c r="G20" s="23" t="str">
        <f>IF(AND(ISNUMBER(E20),ISNUMBER(E21),ISNUMBER($M$6)),IF(AND(20&gt;=$M$6,E20&gt;=0.5,E21&lt;0.5),20,""),"")</f>
        <v/>
      </c>
      <c r="H20" s="23" t="str">
        <f t="shared" si="2"/>
        <v/>
      </c>
      <c r="I20" s="23">
        <f t="shared" si="3"/>
        <v>414.234585416247</v>
      </c>
      <c r="J20" s="25">
        <f t="shared" si="4"/>
        <v>2.9408675910075482E-2</v>
      </c>
      <c r="K20" s="23">
        <f t="shared" si="5"/>
        <v>1</v>
      </c>
      <c r="L20" s="5" t="s">
        <v>70</v>
      </c>
      <c r="M20" s="20" t="str">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Aviso: el pico está corrido; el barrido no llega a una de las alas</v>
      </c>
    </row>
    <row r="21" spans="1:13" x14ac:dyDescent="0.3">
      <c r="A21" s="21">
        <v>190</v>
      </c>
      <c r="B21" s="22">
        <v>5.5499999999999998E-7</v>
      </c>
      <c r="C21" s="23">
        <f t="shared" si="0"/>
        <v>1267.5435617529777</v>
      </c>
      <c r="D21" s="24">
        <f>IF(ISNUMBER(B21),AVERAGE(INDEX($B$2:$B$23,MAX(1,20-semi)):INDEX($B$2:$B$23,MIN($M$3,20+semi))),"")</f>
        <v>5.5499999999999998E-7</v>
      </c>
      <c r="E21" s="25">
        <f t="shared" si="1"/>
        <v>1.2709532501913907E-2</v>
      </c>
      <c r="F21" s="23" t="str">
        <f>IF(AND(ISNUMBER(E21),ISNUMBER(E22),ISNUMBER($M$6)),IF(AND(21&lt;$M$6,E21&lt;0.5,E22&gt;=0.5),21,""),"")</f>
        <v/>
      </c>
      <c r="G21" s="23" t="str">
        <f>IF(AND(ISNUMBER(E21),ISNUMBER(E22),ISNUMBER($M$6)),IF(AND(21&gt;=$M$6,E21&gt;=0.5,E22&lt;0.5),21,""),"")</f>
        <v/>
      </c>
      <c r="H21" s="23" t="str">
        <f t="shared" si="2"/>
        <v/>
      </c>
      <c r="I21" s="23">
        <f t="shared" si="3"/>
        <v>480.9474044558774</v>
      </c>
      <c r="J21" s="25">
        <f t="shared" si="4"/>
        <v>1.2709532501913907E-2</v>
      </c>
      <c r="K21" s="23">
        <f t="shared" si="5"/>
        <v>1</v>
      </c>
    </row>
    <row r="22" spans="1:13" x14ac:dyDescent="0.3">
      <c r="A22" s="21">
        <v>200</v>
      </c>
      <c r="B22" s="22">
        <v>2.8939999999999998E-7</v>
      </c>
      <c r="C22" s="23">
        <f t="shared" si="0"/>
        <v>1334.2563807926081</v>
      </c>
      <c r="D22" s="24">
        <f>IF(ISNUMBER(B22),AVERAGE(INDEX($B$2:$B$23,MAX(1,21-semi)):INDEX($B$2:$B$23,MIN($M$3,21+semi))),"")</f>
        <v>2.8939999999999998E-7</v>
      </c>
      <c r="E22" s="25">
        <f t="shared" si="1"/>
        <v>2.8533269703412078E-3</v>
      </c>
      <c r="F22" s="23" t="str">
        <f>IF(AND(ISNUMBER(E22),ISNUMBER(E23),ISNUMBER($M$6)),IF(AND(22&lt;$M$6,E22&lt;0.5,E23&gt;=0.5),22,""),"")</f>
        <v/>
      </c>
      <c r="G22" s="23" t="str">
        <f>IF(AND(ISNUMBER(E22),ISNUMBER(E23),ISNUMBER($M$6)),IF(AND(22&gt;=$M$6,E22&gt;=0.5,E23&lt;0.5),22,""),"")</f>
        <v/>
      </c>
      <c r="H22" s="23" t="str">
        <f t="shared" si="2"/>
        <v/>
      </c>
      <c r="I22" s="23">
        <f t="shared" si="3"/>
        <v>547.66022349550781</v>
      </c>
      <c r="J22" s="25">
        <f t="shared" si="4"/>
        <v>2.8533269703412078E-3</v>
      </c>
      <c r="K22" s="23">
        <f t="shared" si="5"/>
        <v>1</v>
      </c>
      <c r="L22" s="2" t="s">
        <v>73</v>
      </c>
    </row>
    <row r="23" spans="1:13" x14ac:dyDescent="0.3">
      <c r="A23" s="21">
        <v>210</v>
      </c>
      <c r="B23" s="22">
        <v>2.3349999999999999E-7</v>
      </c>
      <c r="C23" s="23">
        <f t="shared" si="0"/>
        <v>1400.9691998322385</v>
      </c>
      <c r="D23" s="24">
        <f>IF(ISNUMBER(B23),AVERAGE(INDEX($B$2:$B$23,MAX(1,22-semi)):INDEX($B$2:$B$23,MIN($M$3,22+semi))),"")</f>
        <v>2.3349999999999999E-7</v>
      </c>
      <c r="E23" s="25">
        <f t="shared" si="1"/>
        <v>7.7892226697180342E-4</v>
      </c>
      <c r="F23" s="23" t="str">
        <f>IF(AND(ISNUMBER(E23),ISNUMBER(E24),ISNUMBER($M$6)),IF(AND(23&lt;$M$6,E23&lt;0.5,E24&gt;=0.5),23,""),"")</f>
        <v/>
      </c>
      <c r="G23" s="23" t="str">
        <f>IF(AND(ISNUMBER(E23),ISNUMBER(E24),ISNUMBER($M$6)),IF(AND(23&gt;=$M$6,E23&gt;=0.5,E24&lt;0.5),23,""),"")</f>
        <v/>
      </c>
      <c r="H23" s="23" t="str">
        <f t="shared" si="2"/>
        <v/>
      </c>
      <c r="I23" s="23">
        <f t="shared" si="3"/>
        <v>614.37304253513821</v>
      </c>
      <c r="J23" s="25">
        <f t="shared" si="4"/>
        <v>7.7892226697180342E-4</v>
      </c>
      <c r="K23" s="23" t="str">
        <f t="shared" si="5"/>
        <v/>
      </c>
      <c r="L23" s="23">
        <f>IF(ISNUMBER($M$12),$M$10-$M$15,NA())</f>
        <v>-167.73329411286727</v>
      </c>
      <c r="M23" s="23">
        <f>IF(ISNUMBER($M$12),0.5,NA())</f>
        <v>0.5</v>
      </c>
    </row>
    <row r="24" spans="1:13" x14ac:dyDescent="0.3">
      <c r="L24" s="23">
        <f>IF(ISNUMBER($M$12),$M$11-$M$15,NA())</f>
        <v>167.73329411286716</v>
      </c>
      <c r="M24" s="23">
        <f>IF(ISNUMBER($M$12),0.5,NA())</f>
        <v>0.5</v>
      </c>
    </row>
    <row r="26" spans="1:13" ht="26.4" x14ac:dyDescent="0.3">
      <c r="L26" s="7" t="s">
        <v>74</v>
      </c>
    </row>
  </sheetData>
  <sheetProtection sheet="1" objects="1" scenarios="1" formatColumns="0" formatRows="0"/>
  <conditionalFormatting sqref="I2:J23">
    <cfRule type="containsErrors" dxfId="54" priority="4">
      <formula>ISERROR(I2)</formula>
    </cfRule>
  </conditionalFormatting>
  <conditionalFormatting sqref="L23:M24">
    <cfRule type="containsErrors" dxfId="53" priority="5">
      <formula>ISERROR(L23)</formula>
    </cfRule>
  </conditionalFormatting>
  <conditionalFormatting sqref="M20">
    <cfRule type="cellIs" dxfId="52" priority="1" operator="equal">
      <formula>"OK"</formula>
    </cfRule>
    <cfRule type="beginsWith" dxfId="51" priority="2" operator="beginsWith" text="Aviso">
      <formula>LEFT(M20,5)="Aviso"</formula>
    </cfRule>
    <cfRule type="beginsWith" dxfId="50"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xr:uid="{00000000-0002-0000-0500-000000000000}">
      <formula1>-1</formula1>
      <formula2>1</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6"/>
  <sheetViews>
    <sheetView workbookViewId="0">
      <pane ySplit="1" topLeftCell="A2" activePane="bottomLeft" state="frozen"/>
      <selection pane="bottomLeft" activeCell="B24" sqref="B24"/>
    </sheetView>
  </sheetViews>
  <sheetFormatPr baseColWidth="10" defaultColWidth="8.88671875" defaultRowHeight="14.4" x14ac:dyDescent="0.3"/>
  <cols>
    <col min="1" max="1" width="14.6640625" customWidth="1"/>
    <col min="2" max="2" width="15.6640625" customWidth="1"/>
    <col min="3" max="5" width="12.6640625" customWidth="1"/>
    <col min="6" max="8" width="9.6640625" customWidth="1"/>
    <col min="9" max="10" width="11.6640625" customWidth="1"/>
    <col min="11" max="11" width="7.6640625" customWidth="1"/>
    <col min="12" max="12" width="42.6640625" customWidth="1"/>
    <col min="13" max="13" width="14.6640625" customWidth="1"/>
  </cols>
  <sheetData>
    <row r="1" spans="1:13" ht="42" customHeight="1" x14ac:dyDescent="0.3">
      <c r="A1" s="4" t="s">
        <v>41</v>
      </c>
      <c r="B1" s="4" t="s">
        <v>42</v>
      </c>
      <c r="C1" s="4" t="s">
        <v>43</v>
      </c>
      <c r="D1" s="4" t="s">
        <v>44</v>
      </c>
      <c r="E1" s="4" t="s">
        <v>45</v>
      </c>
      <c r="F1" s="4" t="s">
        <v>46</v>
      </c>
      <c r="G1" s="4" t="s">
        <v>47</v>
      </c>
      <c r="H1" s="4" t="s">
        <v>48</v>
      </c>
      <c r="I1" s="4" t="s">
        <v>49</v>
      </c>
      <c r="J1" s="4" t="s">
        <v>50</v>
      </c>
      <c r="K1" s="4" t="s">
        <v>51</v>
      </c>
      <c r="L1" s="4" t="s">
        <v>76</v>
      </c>
      <c r="M1" s="4" t="s">
        <v>72</v>
      </c>
    </row>
    <row r="2" spans="1:13" x14ac:dyDescent="0.3">
      <c r="A2" s="21">
        <v>0</v>
      </c>
      <c r="B2" s="22">
        <v>1.356E-7</v>
      </c>
      <c r="C2" s="23">
        <f t="shared" ref="C2:C23" si="0">IF(ISNUMBER(A2),A2*conv,"")</f>
        <v>0</v>
      </c>
      <c r="D2" s="24">
        <f>IF(ISNUMBER(B2),AVERAGE(INDEX($B$2:$B$23,MAX(1,1-semi)):INDEX($B$2:$B$23,MIN($M$3,1+semi))),"")</f>
        <v>1.356E-7</v>
      </c>
      <c r="E2" s="25">
        <f t="shared" ref="E2:E23" si="1">IF(AND(ISNUMBER(D2),ISNUMBER($M$4)),(D2-$M$4)/($M$5-$M$4),"")</f>
        <v>3.9348095739538073E-4</v>
      </c>
      <c r="F2" s="23" t="str">
        <f>IF(AND(ISNUMBER(E2),ISNUMBER(E3),ISNUMBER($M$6)),IF(AND(2&lt;$M$6,E2&lt;0.5,E3&gt;=0.5),2,""),"")</f>
        <v/>
      </c>
      <c r="G2" s="23" t="str">
        <f>IF(AND(ISNUMBER(E2),ISNUMBER(E3),ISNUMBER($M$6)),IF(AND(2&gt;=$M$6,E2&gt;=0.5,E3&lt;0.5),2,""),"")</f>
        <v/>
      </c>
      <c r="H2" s="23" t="str">
        <f t="shared" ref="H2:H23" si="2">IF(OR(ISNUMBER(F2),ISNUMBER(G2)),C2+(0.5-E2)*(C3-C2)/(E3-E2),"")</f>
        <v/>
      </c>
      <c r="I2" s="23">
        <f t="shared" ref="I2:I23" si="3">IF(AND(ISNUMBER(E2),ISNUMBER($M$15)),C2-$M$15,NA())</f>
        <v>-783.4129173678682</v>
      </c>
      <c r="J2" s="25">
        <f t="shared" ref="J2:J23" si="4">IF(ISNUMBER(E2),E2,NA())</f>
        <v>3.9348095739538073E-4</v>
      </c>
      <c r="K2" s="23">
        <f t="shared" ref="K2:K23" si="5">IF(AND(ISNUMBER(C2),ISNUMBER(C3)),SIGN(C3-C2),"")</f>
        <v>1</v>
      </c>
      <c r="L2" s="5" t="s">
        <v>52</v>
      </c>
      <c r="M2" s="10">
        <f>COUNT($A$2:$A$23)</f>
        <v>22</v>
      </c>
    </row>
    <row r="3" spans="1:13" x14ac:dyDescent="0.3">
      <c r="A3" s="21">
        <v>10</v>
      </c>
      <c r="B3" s="22">
        <v>1.076E-7</v>
      </c>
      <c r="C3" s="23">
        <f t="shared" si="0"/>
        <v>66.712819039630403</v>
      </c>
      <c r="D3" s="24">
        <f>IF(ISNUMBER(B3),AVERAGE(INDEX($B$2:$B$23,MAX(1,2-semi)):INDEX($B$2:$B$23,MIN($M$3,2+semi))),"")</f>
        <v>1.076E-7</v>
      </c>
      <c r="E3" s="25">
        <f t="shared" si="1"/>
        <v>-6.5580159565896835E-4</v>
      </c>
      <c r="F3" s="23" t="str">
        <f>IF(AND(ISNUMBER(E3),ISNUMBER(E4),ISNUMBER($M$6)),IF(AND(3&lt;$M$6,E3&lt;0.5,E4&gt;=0.5),3,""),"")</f>
        <v/>
      </c>
      <c r="G3" s="23" t="str">
        <f>IF(AND(ISNUMBER(E3),ISNUMBER(E4),ISNUMBER($M$6)),IF(AND(3&gt;=$M$6,E3&gt;=0.5,E4&lt;0.5),3,""),"")</f>
        <v/>
      </c>
      <c r="H3" s="23" t="str">
        <f t="shared" si="2"/>
        <v/>
      </c>
      <c r="I3" s="23">
        <f t="shared" si="3"/>
        <v>-716.7000983282378</v>
      </c>
      <c r="J3" s="25">
        <f t="shared" si="4"/>
        <v>-6.5580159565896835E-4</v>
      </c>
      <c r="K3" s="23">
        <f t="shared" si="5"/>
        <v>1</v>
      </c>
      <c r="L3" s="5" t="s">
        <v>53</v>
      </c>
      <c r="M3" s="10">
        <f>COUNT($B$2:$B$23)</f>
        <v>22</v>
      </c>
    </row>
    <row r="4" spans="1:13" x14ac:dyDescent="0.3">
      <c r="A4" s="21">
        <v>20</v>
      </c>
      <c r="B4" s="22">
        <v>1.356E-7</v>
      </c>
      <c r="C4" s="23">
        <f t="shared" si="0"/>
        <v>133.42563807926081</v>
      </c>
      <c r="D4" s="24">
        <f>IF(ISNUMBER(B4),AVERAGE(INDEX($B$2:$B$23,MAX(1,3-semi)):INDEX($B$2:$B$23,MIN($M$3,3+semi))),"")</f>
        <v>1.356E-7</v>
      </c>
      <c r="E4" s="25">
        <f t="shared" si="1"/>
        <v>3.9348095739538073E-4</v>
      </c>
      <c r="F4" s="23" t="str">
        <f>IF(AND(ISNUMBER(E4),ISNUMBER(E5),ISNUMBER($M$6)),IF(AND(4&lt;$M$6,E4&lt;0.5,E5&gt;=0.5),4,""),"")</f>
        <v/>
      </c>
      <c r="G4" s="23" t="str">
        <f>IF(AND(ISNUMBER(E4),ISNUMBER(E5),ISNUMBER($M$6)),IF(AND(4&gt;=$M$6,E4&gt;=0.5,E5&lt;0.5),4,""),"")</f>
        <v/>
      </c>
      <c r="H4" s="23" t="str">
        <f t="shared" si="2"/>
        <v/>
      </c>
      <c r="I4" s="23">
        <f t="shared" si="3"/>
        <v>-649.9872792886074</v>
      </c>
      <c r="J4" s="25">
        <f t="shared" si="4"/>
        <v>3.9348095739538073E-4</v>
      </c>
      <c r="K4" s="23">
        <f t="shared" si="5"/>
        <v>1</v>
      </c>
      <c r="L4" s="5" t="s">
        <v>54</v>
      </c>
      <c r="M4" s="26">
        <f>IF($M$3&lt;$M$2,"",(AVERAGE(INDEX($B$2:$B$23,1):INDEX($B$2:$B$23,n_fondo))+AVERAGE(INDEX($B$2:$B$23,$M$3-n_fondo+1):INDEX($B$2:$B$23,$M$3)))/2)</f>
        <v>1.251E-7</v>
      </c>
    </row>
    <row r="5" spans="1:13" x14ac:dyDescent="0.3">
      <c r="A5" s="21">
        <v>30</v>
      </c>
      <c r="B5" s="22">
        <v>3.0339999999999998E-7</v>
      </c>
      <c r="C5" s="23">
        <f t="shared" si="0"/>
        <v>200.13845711889124</v>
      </c>
      <c r="D5" s="24">
        <f>IF(ISNUMBER(B5),AVERAGE(INDEX($B$2:$B$23,MAX(1,4-semi)):INDEX($B$2:$B$23,MIN($M$3,4+semi))),"")</f>
        <v>3.0339999999999998E-7</v>
      </c>
      <c r="E5" s="25">
        <f t="shared" si="1"/>
        <v>6.6816814003425153E-3</v>
      </c>
      <c r="F5" s="23" t="str">
        <f>IF(AND(ISNUMBER(E5),ISNUMBER(E6),ISNUMBER($M$6)),IF(AND(5&lt;$M$6,E5&lt;0.5,E6&gt;=0.5),5,""),"")</f>
        <v/>
      </c>
      <c r="G5" s="23" t="str">
        <f>IF(AND(ISNUMBER(E5),ISNUMBER(E6),ISNUMBER($M$6)),IF(AND(5&gt;=$M$6,E5&gt;=0.5,E6&lt;0.5),5,""),"")</f>
        <v/>
      </c>
      <c r="H5" s="23" t="str">
        <f t="shared" si="2"/>
        <v/>
      </c>
      <c r="I5" s="23">
        <f t="shared" si="3"/>
        <v>-583.27446024897699</v>
      </c>
      <c r="J5" s="25">
        <f t="shared" si="4"/>
        <v>6.6816814003425153E-3</v>
      </c>
      <c r="K5" s="23">
        <f t="shared" si="5"/>
        <v>1</v>
      </c>
      <c r="L5" s="5" t="s">
        <v>55</v>
      </c>
      <c r="M5" s="26">
        <f>IF($M$3&lt;$M$2,"",MAX($D$2:$D$23))</f>
        <v>2.6809999999999999E-5</v>
      </c>
    </row>
    <row r="6" spans="1:13" x14ac:dyDescent="0.3">
      <c r="A6" s="21">
        <v>40</v>
      </c>
      <c r="B6" s="22">
        <v>4.0120000000000002E-7</v>
      </c>
      <c r="C6" s="23">
        <f t="shared" si="0"/>
        <v>266.85127615852161</v>
      </c>
      <c r="D6" s="24">
        <f>IF(ISNUMBER(B6),AVERAGE(INDEX($B$2:$B$23,MAX(1,5-semi)):INDEX($B$2:$B$23,MIN($M$3,5+semi))),"")</f>
        <v>4.0120000000000002E-7</v>
      </c>
      <c r="E6" s="25">
        <f t="shared" si="1"/>
        <v>1.0346675460653779E-2</v>
      </c>
      <c r="F6" s="23" t="str">
        <f>IF(AND(ISNUMBER(E6),ISNUMBER(E7),ISNUMBER($M$6)),IF(AND(6&lt;$M$6,E6&lt;0.5,E7&gt;=0.5),6,""),"")</f>
        <v/>
      </c>
      <c r="G6" s="23" t="str">
        <f>IF(AND(ISNUMBER(E6),ISNUMBER(E7),ISNUMBER($M$6)),IF(AND(6&gt;=$M$6,E6&gt;=0.5,E7&lt;0.5),6,""),"")</f>
        <v/>
      </c>
      <c r="H6" s="23" t="str">
        <f t="shared" si="2"/>
        <v/>
      </c>
      <c r="I6" s="23">
        <f t="shared" si="3"/>
        <v>-516.56164120934659</v>
      </c>
      <c r="J6" s="25">
        <f t="shared" si="4"/>
        <v>1.0346675460653779E-2</v>
      </c>
      <c r="K6" s="23">
        <f t="shared" si="5"/>
        <v>1</v>
      </c>
      <c r="L6" s="5" t="s">
        <v>56</v>
      </c>
      <c r="M6" s="10">
        <f>IFERROR(MATCH($M$5,$D$2:$D$23,0)+1,"")</f>
        <v>14</v>
      </c>
    </row>
    <row r="7" spans="1:13" x14ac:dyDescent="0.3">
      <c r="A7" s="21">
        <v>50</v>
      </c>
      <c r="B7" s="22">
        <v>8.0879999999999999E-7</v>
      </c>
      <c r="C7" s="23">
        <f t="shared" si="0"/>
        <v>333.56409519815202</v>
      </c>
      <c r="D7" s="24">
        <f>IF(ISNUMBER(B7),AVERAGE(INDEX($B$2:$B$23,MAX(1,6-semi)):INDEX($B$2:$B$23,MIN($M$3,6+semi))),"")</f>
        <v>8.0879999999999999E-7</v>
      </c>
      <c r="E7" s="25">
        <f t="shared" si="1"/>
        <v>2.5621231482973517E-2</v>
      </c>
      <c r="F7" s="23" t="str">
        <f>IF(AND(ISNUMBER(E7),ISNUMBER(E8),ISNUMBER($M$6)),IF(AND(7&lt;$M$6,E7&lt;0.5,E8&gt;=0.5),7,""),"")</f>
        <v/>
      </c>
      <c r="G7" s="23" t="str">
        <f>IF(AND(ISNUMBER(E7),ISNUMBER(E8),ISNUMBER($M$6)),IF(AND(7&gt;=$M$6,E7&gt;=0.5,E8&lt;0.5),7,""),"")</f>
        <v/>
      </c>
      <c r="H7" s="23" t="str">
        <f t="shared" si="2"/>
        <v/>
      </c>
      <c r="I7" s="23">
        <f t="shared" si="3"/>
        <v>-449.84882216971619</v>
      </c>
      <c r="J7" s="25">
        <f t="shared" si="4"/>
        <v>2.5621231482973517E-2</v>
      </c>
      <c r="K7" s="23">
        <f t="shared" si="5"/>
        <v>1</v>
      </c>
      <c r="L7" s="5" t="s">
        <v>57</v>
      </c>
      <c r="M7" s="6">
        <f>IFERROR(INDEX($C$1:$C$23,$M$6),"")</f>
        <v>800.55382847556496</v>
      </c>
    </row>
    <row r="8" spans="1:13" x14ac:dyDescent="0.3">
      <c r="A8" s="21">
        <v>60</v>
      </c>
      <c r="B8" s="22">
        <v>1.5379999999999999E-6</v>
      </c>
      <c r="C8" s="23">
        <f t="shared" si="0"/>
        <v>400.27691423778248</v>
      </c>
      <c r="D8" s="24">
        <f>IF(ISNUMBER(B8),AVERAGE(INDEX($B$2:$B$23,MAX(1,7-semi)):INDEX($B$2:$B$23,MIN($M$3,7+semi))),"")</f>
        <v>1.5379999999999999E-6</v>
      </c>
      <c r="E8" s="25">
        <f t="shared" si="1"/>
        <v>5.2947547114660348E-2</v>
      </c>
      <c r="F8" s="23" t="str">
        <f>IF(AND(ISNUMBER(E8),ISNUMBER(E9),ISNUMBER($M$6)),IF(AND(8&lt;$M$6,E8&lt;0.5,E9&gt;=0.5),8,""),"")</f>
        <v/>
      </c>
      <c r="G8" s="23" t="str">
        <f>IF(AND(ISNUMBER(E8),ISNUMBER(E9),ISNUMBER($M$6)),IF(AND(8&gt;=$M$6,E8&gt;=0.5,E9&lt;0.5),8,""),"")</f>
        <v/>
      </c>
      <c r="H8" s="23" t="str">
        <f t="shared" si="2"/>
        <v/>
      </c>
      <c r="I8" s="23">
        <f t="shared" si="3"/>
        <v>-383.13600313008573</v>
      </c>
      <c r="J8" s="25">
        <f t="shared" si="4"/>
        <v>5.2947547114660348E-2</v>
      </c>
      <c r="K8" s="23">
        <f t="shared" si="5"/>
        <v>1</v>
      </c>
      <c r="L8" s="5" t="s">
        <v>58</v>
      </c>
      <c r="M8" s="10">
        <f>MAX($F$2:$F$23)</f>
        <v>11</v>
      </c>
    </row>
    <row r="9" spans="1:13" x14ac:dyDescent="0.3">
      <c r="A9" s="21">
        <v>70</v>
      </c>
      <c r="B9" s="22">
        <v>2.8119999999999999E-6</v>
      </c>
      <c r="C9" s="23">
        <f t="shared" si="0"/>
        <v>466.98973327741288</v>
      </c>
      <c r="D9" s="24">
        <f>IF(ISNUMBER(B9),AVERAGE(INDEX($B$2:$B$23,MAX(1,8-semi)):INDEX($B$2:$B$23,MIN($M$3,8+semi))),"")</f>
        <v>2.8119999999999999E-6</v>
      </c>
      <c r="E9" s="25">
        <f t="shared" si="1"/>
        <v>0.10068990327863324</v>
      </c>
      <c r="F9" s="23" t="str">
        <f>IF(AND(ISNUMBER(E9),ISNUMBER(E10),ISNUMBER($M$6)),IF(AND(9&lt;$M$6,E9&lt;0.5,E10&gt;=0.5),9,""),"")</f>
        <v/>
      </c>
      <c r="G9" s="23" t="str">
        <f>IF(AND(ISNUMBER(E9),ISNUMBER(E10),ISNUMBER($M$6)),IF(AND(9&gt;=$M$6,E9&gt;=0.5,E10&lt;0.5),9,""),"")</f>
        <v/>
      </c>
      <c r="H9" s="23" t="str">
        <f t="shared" si="2"/>
        <v/>
      </c>
      <c r="I9" s="23">
        <f t="shared" si="3"/>
        <v>-316.42318409045532</v>
      </c>
      <c r="J9" s="25">
        <f t="shared" si="4"/>
        <v>0.10068990327863324</v>
      </c>
      <c r="K9" s="23">
        <f t="shared" si="5"/>
        <v>1</v>
      </c>
      <c r="L9" s="5" t="s">
        <v>59</v>
      </c>
      <c r="M9" s="10">
        <f>MIN($G$2:$G$23)</f>
        <v>16</v>
      </c>
    </row>
    <row r="10" spans="1:13" x14ac:dyDescent="0.3">
      <c r="A10" s="21">
        <v>80</v>
      </c>
      <c r="B10" s="22">
        <v>6.1630000000000001E-6</v>
      </c>
      <c r="C10" s="23">
        <f t="shared" si="0"/>
        <v>533.70255231704323</v>
      </c>
      <c r="D10" s="24">
        <f>IF(ISNUMBER(B10),AVERAGE(INDEX($B$2:$B$23,MAX(1,9-semi)):INDEX($B$2:$B$23,MIN($M$3,9+semi))),"")</f>
        <v>6.1630000000000001E-6</v>
      </c>
      <c r="E10" s="25">
        <f t="shared" si="1"/>
        <v>0.22626654025310194</v>
      </c>
      <c r="F10" s="23" t="str">
        <f>IF(AND(ISNUMBER(E10),ISNUMBER(E11),ISNUMBER($M$6)),IF(AND(10&lt;$M$6,E10&lt;0.5,E11&gt;=0.5),10,""),"")</f>
        <v/>
      </c>
      <c r="G10" s="23" t="str">
        <f>IF(AND(ISNUMBER(E10),ISNUMBER(E11),ISNUMBER($M$6)),IF(AND(10&gt;=$M$6,E10&gt;=0.5,E11&lt;0.5),10,""),"")</f>
        <v/>
      </c>
      <c r="H10" s="23" t="str">
        <f t="shared" si="2"/>
        <v/>
      </c>
      <c r="I10" s="23">
        <f t="shared" si="3"/>
        <v>-249.71036505082498</v>
      </c>
      <c r="J10" s="25">
        <f t="shared" si="4"/>
        <v>0.22626654025310194</v>
      </c>
      <c r="K10" s="23">
        <f t="shared" si="5"/>
        <v>1</v>
      </c>
      <c r="L10" s="5" t="s">
        <v>60</v>
      </c>
      <c r="M10" s="6">
        <f>IF($M$8&gt;0,INDEX($H$1:$H$23,$M$8),"")</f>
        <v>616.27209434847907</v>
      </c>
    </row>
    <row r="11" spans="1:13" x14ac:dyDescent="0.3">
      <c r="A11" s="21">
        <v>90</v>
      </c>
      <c r="B11" s="22">
        <v>1.149E-5</v>
      </c>
      <c r="C11" s="23">
        <f t="shared" si="0"/>
        <v>600.41537135667363</v>
      </c>
      <c r="D11" s="24">
        <f>IF(ISNUMBER(B11),AVERAGE(INDEX($B$2:$B$23,MAX(1,10-semi)):INDEX($B$2:$B$23,MIN($M$3,10+semi))),"")</f>
        <v>1.149E-5</v>
      </c>
      <c r="E11" s="25">
        <f t="shared" si="1"/>
        <v>0.42589254597169185</v>
      </c>
      <c r="F11" s="23">
        <f>IF(AND(ISNUMBER(E11),ISNUMBER(E12),ISNUMBER($M$6)),IF(AND(11&lt;$M$6,E11&lt;0.5,E12&gt;=0.5),11,""),"")</f>
        <v>11</v>
      </c>
      <c r="G11" s="23" t="str">
        <f>IF(AND(ISNUMBER(E11),ISNUMBER(E12),ISNUMBER($M$6)),IF(AND(11&gt;=$M$6,E11&gt;=0.5,E12&lt;0.5),11,""),"")</f>
        <v/>
      </c>
      <c r="H11" s="23">
        <f t="shared" si="2"/>
        <v>616.27209434847907</v>
      </c>
      <c r="I11" s="23">
        <f t="shared" si="3"/>
        <v>-182.99754601119457</v>
      </c>
      <c r="J11" s="25">
        <f t="shared" si="4"/>
        <v>0.42589254597169185</v>
      </c>
      <c r="K11" s="23">
        <f t="shared" si="5"/>
        <v>1</v>
      </c>
      <c r="L11" s="5" t="s">
        <v>61</v>
      </c>
      <c r="M11" s="6">
        <f>IF($M$9&gt;0,INDEX($H$1:$H$23,$M$9),"")</f>
        <v>950.55374038725733</v>
      </c>
    </row>
    <row r="12" spans="1:13" ht="15.6" x14ac:dyDescent="0.3">
      <c r="A12" s="21">
        <v>100</v>
      </c>
      <c r="B12" s="22">
        <v>1.9809999999999998E-5</v>
      </c>
      <c r="C12" s="23">
        <f t="shared" si="0"/>
        <v>667.12819039630403</v>
      </c>
      <c r="D12" s="24">
        <f>IF(ISNUMBER(B12),AVERAGE(INDEX($B$2:$B$23,MAX(1,11-semi)):INDEX($B$2:$B$23,MIN($M$3,11+semi))),"")</f>
        <v>1.9809999999999998E-5</v>
      </c>
      <c r="E12" s="25">
        <f t="shared" si="1"/>
        <v>0.73767936173641269</v>
      </c>
      <c r="F12" s="23" t="str">
        <f>IF(AND(ISNUMBER(E12),ISNUMBER(E13),ISNUMBER($M$6)),IF(AND(12&lt;$M$6,E12&lt;0.5,E13&gt;=0.5),12,""),"")</f>
        <v/>
      </c>
      <c r="G12" s="23" t="str">
        <f>IF(AND(ISNUMBER(E12),ISNUMBER(E13),ISNUMBER($M$6)),IF(AND(12&gt;=$M$6,E12&gt;=0.5,E13&lt;0.5),12,""),"")</f>
        <v/>
      </c>
      <c r="H12" s="23" t="str">
        <f t="shared" si="2"/>
        <v/>
      </c>
      <c r="I12" s="23">
        <f t="shared" si="3"/>
        <v>-116.28472697156417</v>
      </c>
      <c r="J12" s="25">
        <f t="shared" si="4"/>
        <v>0.73767936173641269</v>
      </c>
      <c r="K12" s="23">
        <f t="shared" si="5"/>
        <v>1</v>
      </c>
      <c r="L12" s="5" t="s">
        <v>62</v>
      </c>
      <c r="M12" s="18">
        <f>IF(AND($M$8&gt;0,$M$9&gt;0),ABS($M$11-$M$10),"")</f>
        <v>334.28164603877826</v>
      </c>
    </row>
    <row r="13" spans="1:13" ht="15.6" x14ac:dyDescent="0.3">
      <c r="A13" s="21">
        <v>110</v>
      </c>
      <c r="B13" s="22">
        <v>2.544E-5</v>
      </c>
      <c r="C13" s="23">
        <f t="shared" si="0"/>
        <v>733.84100943593455</v>
      </c>
      <c r="D13" s="24">
        <f>IF(ISNUMBER(B13),AVERAGE(INDEX($B$2:$B$23,MAX(1,12-semi)):INDEX($B$2:$B$23,MIN($M$3,12+semi))),"")</f>
        <v>2.544E-5</v>
      </c>
      <c r="E13" s="25">
        <f t="shared" si="1"/>
        <v>0.94866010365412656</v>
      </c>
      <c r="F13" s="23" t="str">
        <f>IF(AND(ISNUMBER(E13),ISNUMBER(E14),ISNUMBER($M$6)),IF(AND(13&lt;$M$6,E13&lt;0.5,E14&gt;=0.5),13,""),"")</f>
        <v/>
      </c>
      <c r="G13" s="23" t="str">
        <f>IF(AND(ISNUMBER(E13),ISNUMBER(E14),ISNUMBER($M$6)),IF(AND(13&gt;=$M$6,E13&gt;=0.5,E14&lt;0.5),13,""),"")</f>
        <v/>
      </c>
      <c r="H13" s="23" t="str">
        <f t="shared" si="2"/>
        <v/>
      </c>
      <c r="I13" s="23">
        <f t="shared" si="3"/>
        <v>-49.571907931933652</v>
      </c>
      <c r="J13" s="25">
        <f t="shared" si="4"/>
        <v>0.94866010365412656</v>
      </c>
      <c r="K13" s="23">
        <f t="shared" si="5"/>
        <v>1</v>
      </c>
      <c r="L13" s="5" t="s">
        <v>63</v>
      </c>
      <c r="M13" s="18">
        <f>IF(ISNUMBER($M$12),factor_forma*$M$12,"")</f>
        <v>217.28306992520587</v>
      </c>
    </row>
    <row r="14" spans="1:13" x14ac:dyDescent="0.3">
      <c r="A14" s="21">
        <v>120</v>
      </c>
      <c r="B14" s="22">
        <v>2.6809999999999999E-5</v>
      </c>
      <c r="C14" s="23">
        <f t="shared" si="0"/>
        <v>800.55382847556496</v>
      </c>
      <c r="D14" s="24">
        <f>IF(ISNUMBER(B14),AVERAGE(INDEX($B$2:$B$23,MAX(1,13-semi)):INDEX($B$2:$B$23,MIN($M$3,13+semi))),"")</f>
        <v>2.6809999999999999E-5</v>
      </c>
      <c r="E14" s="25">
        <f t="shared" si="1"/>
        <v>1</v>
      </c>
      <c r="F14" s="23" t="str">
        <f>IF(AND(ISNUMBER(E14),ISNUMBER(E15),ISNUMBER($M$6)),IF(AND(14&lt;$M$6,E14&lt;0.5,E15&gt;=0.5),14,""),"")</f>
        <v/>
      </c>
      <c r="G14" s="23" t="str">
        <f>IF(AND(ISNUMBER(E14),ISNUMBER(E15),ISNUMBER($M$6)),IF(AND(14&gt;=$M$6,E14&gt;=0.5,E15&lt;0.5),14,""),"")</f>
        <v/>
      </c>
      <c r="H14" s="23" t="str">
        <f t="shared" si="2"/>
        <v/>
      </c>
      <c r="I14" s="23">
        <f t="shared" si="3"/>
        <v>17.140911107696752</v>
      </c>
      <c r="J14" s="25">
        <f t="shared" si="4"/>
        <v>1</v>
      </c>
      <c r="K14" s="23">
        <f t="shared" si="5"/>
        <v>1</v>
      </c>
      <c r="L14" s="5" t="s">
        <v>64</v>
      </c>
      <c r="M14" s="6">
        <f>IF(ISNUMBER($M$12),0.7071*$M$12,"")</f>
        <v>236.3705519140201</v>
      </c>
    </row>
    <row r="15" spans="1:13" x14ac:dyDescent="0.3">
      <c r="A15" s="21">
        <v>130</v>
      </c>
      <c r="B15" s="22">
        <v>2.3289999999999999E-5</v>
      </c>
      <c r="C15" s="23">
        <f t="shared" si="0"/>
        <v>867.26664751519536</v>
      </c>
      <c r="D15" s="24">
        <f>IF(ISNUMBER(B15),AVERAGE(INDEX($B$2:$B$23,MAX(1,14-semi)):INDEX($B$2:$B$23,MIN($M$3,14+semi))),"")</f>
        <v>2.3289999999999999E-5</v>
      </c>
      <c r="E15" s="25">
        <f t="shared" si="1"/>
        <v>0.86809019333031034</v>
      </c>
      <c r="F15" s="23" t="str">
        <f>IF(AND(ISNUMBER(E15),ISNUMBER(E16),ISNUMBER($M$6)),IF(AND(15&lt;$M$6,E15&lt;0.5,E16&gt;=0.5),15,""),"")</f>
        <v/>
      </c>
      <c r="G15" s="23" t="str">
        <f>IF(AND(ISNUMBER(E15),ISNUMBER(E16),ISNUMBER($M$6)),IF(AND(15&gt;=$M$6,E15&gt;=0.5,E16&lt;0.5),15,""),"")</f>
        <v/>
      </c>
      <c r="H15" s="23" t="str">
        <f t="shared" si="2"/>
        <v/>
      </c>
      <c r="I15" s="23">
        <f t="shared" si="3"/>
        <v>83.853730147327155</v>
      </c>
      <c r="J15" s="25">
        <f t="shared" si="4"/>
        <v>0.86809019333031034</v>
      </c>
      <c r="K15" s="23">
        <f t="shared" si="5"/>
        <v>1</v>
      </c>
      <c r="L15" s="5" t="s">
        <v>65</v>
      </c>
      <c r="M15" s="6">
        <f>IF(ISNUMBER($M$12),($M$10+$M$11)/2,$M$7)</f>
        <v>783.4129173678682</v>
      </c>
    </row>
    <row r="16" spans="1:13" x14ac:dyDescent="0.3">
      <c r="A16" s="21">
        <v>140</v>
      </c>
      <c r="B16" s="22">
        <v>1.5150000000000001E-5</v>
      </c>
      <c r="C16" s="23">
        <f t="shared" si="0"/>
        <v>933.97946655482576</v>
      </c>
      <c r="D16" s="24">
        <f>IF(ISNUMBER(B16),AVERAGE(INDEX($B$2:$B$23,MAX(1,15-semi)):INDEX($B$2:$B$23,MIN($M$3,15+semi))),"")</f>
        <v>1.5150000000000001E-5</v>
      </c>
      <c r="E16" s="25">
        <f t="shared" si="1"/>
        <v>0.56304876540665327</v>
      </c>
      <c r="F16" s="23" t="str">
        <f>IF(AND(ISNUMBER(E16),ISNUMBER(E17),ISNUMBER($M$6)),IF(AND(16&lt;$M$6,E16&lt;0.5,E17&gt;=0.5),16,""),"")</f>
        <v/>
      </c>
      <c r="G16" s="23">
        <f>IF(AND(ISNUMBER(E16),ISNUMBER(E17),ISNUMBER($M$6)),IF(AND(16&gt;=$M$6,E16&gt;=0.5,E17&lt;0.5),16,""),"")</f>
        <v>16</v>
      </c>
      <c r="H16" s="23">
        <f t="shared" si="2"/>
        <v>950.55374038725733</v>
      </c>
      <c r="I16" s="23">
        <f t="shared" si="3"/>
        <v>150.56654918695756</v>
      </c>
      <c r="J16" s="25">
        <f t="shared" si="4"/>
        <v>0.56304876540665327</v>
      </c>
      <c r="K16" s="23">
        <f t="shared" si="5"/>
        <v>1</v>
      </c>
      <c r="L16" s="5" t="s">
        <v>66</v>
      </c>
      <c r="M16" s="10">
        <f>COUNTIF($E$2:$E$23,"&gt;=0.5")</f>
        <v>5</v>
      </c>
    </row>
    <row r="17" spans="1:13" x14ac:dyDescent="0.3">
      <c r="A17" s="21">
        <v>150</v>
      </c>
      <c r="B17" s="22">
        <v>8.3780000000000001E-6</v>
      </c>
      <c r="C17" s="23">
        <f t="shared" si="0"/>
        <v>1000.6922855944562</v>
      </c>
      <c r="D17" s="24">
        <f>IF(ISNUMBER(B17),AVERAGE(INDEX($B$2:$B$23,MAX(1,16-semi)):INDEX($B$2:$B$23,MIN($M$3,16+semi))),"")</f>
        <v>8.3780000000000001E-6</v>
      </c>
      <c r="E17" s="25">
        <f t="shared" si="1"/>
        <v>0.30927228507507992</v>
      </c>
      <c r="F17" s="23" t="str">
        <f>IF(AND(ISNUMBER(E17),ISNUMBER(E18),ISNUMBER($M$6)),IF(AND(17&lt;$M$6,E17&lt;0.5,E18&gt;=0.5),17,""),"")</f>
        <v/>
      </c>
      <c r="G17" s="23" t="str">
        <f>IF(AND(ISNUMBER(E17),ISNUMBER(E18),ISNUMBER($M$6)),IF(AND(17&gt;=$M$6,E17&gt;=0.5,E18&lt;0.5),17,""),"")</f>
        <v/>
      </c>
      <c r="H17" s="23" t="str">
        <f t="shared" si="2"/>
        <v/>
      </c>
      <c r="I17" s="23">
        <f t="shared" si="3"/>
        <v>217.27936822658796</v>
      </c>
      <c r="J17" s="25">
        <f t="shared" si="4"/>
        <v>0.30927228507507992</v>
      </c>
      <c r="K17" s="23">
        <f t="shared" si="5"/>
        <v>1</v>
      </c>
      <c r="L17" s="5" t="s">
        <v>67</v>
      </c>
      <c r="M17" s="6">
        <f>IFERROR($M$15-MIN($C$2:$C$23),"")</f>
        <v>783.4129173678682</v>
      </c>
    </row>
    <row r="18" spans="1:13" x14ac:dyDescent="0.3">
      <c r="A18" s="21">
        <v>160</v>
      </c>
      <c r="B18" s="22">
        <v>3.9620000000000004E-6</v>
      </c>
      <c r="C18" s="23">
        <f t="shared" si="0"/>
        <v>1067.4051046340865</v>
      </c>
      <c r="D18" s="24">
        <f>IF(ISNUMBER(B18),AVERAGE(INDEX($B$2:$B$23,MAX(1,17-semi)):INDEX($B$2:$B$23,MIN($M$3,17+semi))),"")</f>
        <v>3.9620000000000004E-6</v>
      </c>
      <c r="E18" s="25">
        <f t="shared" si="1"/>
        <v>0.14378543670765118</v>
      </c>
      <c r="F18" s="23" t="str">
        <f>IF(AND(ISNUMBER(E18),ISNUMBER(E19),ISNUMBER($M$6)),IF(AND(18&lt;$M$6,E18&lt;0.5,E19&gt;=0.5),18,""),"")</f>
        <v/>
      </c>
      <c r="G18" s="23" t="str">
        <f>IF(AND(ISNUMBER(E18),ISNUMBER(E19),ISNUMBER($M$6)),IF(AND(18&gt;=$M$6,E18&gt;=0.5,E19&lt;0.5),18,""),"")</f>
        <v/>
      </c>
      <c r="H18" s="23" t="str">
        <f t="shared" si="2"/>
        <v/>
      </c>
      <c r="I18" s="23">
        <f t="shared" si="3"/>
        <v>283.99218726621825</v>
      </c>
      <c r="J18" s="25">
        <f t="shared" si="4"/>
        <v>0.14378543670765118</v>
      </c>
      <c r="K18" s="23">
        <f t="shared" si="5"/>
        <v>1</v>
      </c>
      <c r="L18" s="5" t="s">
        <v>68</v>
      </c>
      <c r="M18" s="6">
        <f>IFERROR(MAX($C$2:$C$23)-$M$15,"")</f>
        <v>617.55628246437027</v>
      </c>
    </row>
    <row r="19" spans="1:13" x14ac:dyDescent="0.3">
      <c r="A19" s="21">
        <v>170</v>
      </c>
      <c r="B19" s="22">
        <v>2.013E-6</v>
      </c>
      <c r="C19" s="23">
        <f t="shared" si="0"/>
        <v>1134.1179236737169</v>
      </c>
      <c r="D19" s="24">
        <f>IF(ISNUMBER(B19),AVERAGE(INDEX($B$2:$B$23,MAX(1,18-semi)):INDEX($B$2:$B$23,MIN($M$3,18+semi))),"")</f>
        <v>2.013E-6</v>
      </c>
      <c r="E19" s="25">
        <f t="shared" si="1"/>
        <v>7.0747876139689483E-2</v>
      </c>
      <c r="F19" s="23" t="str">
        <f>IF(AND(ISNUMBER(E19),ISNUMBER(E20),ISNUMBER($M$6)),IF(AND(19&lt;$M$6,E19&lt;0.5,E20&gt;=0.5),19,""),"")</f>
        <v/>
      </c>
      <c r="G19" s="23" t="str">
        <f>IF(AND(ISNUMBER(E19),ISNUMBER(E20),ISNUMBER($M$6)),IF(AND(19&gt;=$M$6,E19&gt;=0.5,E20&lt;0.5),19,""),"")</f>
        <v/>
      </c>
      <c r="H19" s="23" t="str">
        <f t="shared" si="2"/>
        <v/>
      </c>
      <c r="I19" s="23">
        <f t="shared" si="3"/>
        <v>350.70500630584866</v>
      </c>
      <c r="J19" s="25">
        <f t="shared" si="4"/>
        <v>7.0747876139689483E-2</v>
      </c>
      <c r="K19" s="23">
        <f t="shared" si="5"/>
        <v>1</v>
      </c>
      <c r="L19" s="5" t="s">
        <v>69</v>
      </c>
      <c r="M19" s="10">
        <f>IF($M$3&lt;$M$2,"",IFERROR(INDEX($A$1:$A$23,$M$6),""))</f>
        <v>120</v>
      </c>
    </row>
    <row r="20" spans="1:13" x14ac:dyDescent="0.3">
      <c r="A20" s="21">
        <v>180</v>
      </c>
      <c r="B20" s="22">
        <v>9.4860000000000001E-7</v>
      </c>
      <c r="C20" s="23">
        <f t="shared" si="0"/>
        <v>1200.8307427133473</v>
      </c>
      <c r="D20" s="24">
        <f>IF(ISNUMBER(B20),AVERAGE(INDEX($B$2:$B$23,MAX(1,19-semi)):INDEX($B$2:$B$23,MIN($M$3,19+semi))),"")</f>
        <v>9.4860000000000001E-7</v>
      </c>
      <c r="E20" s="25">
        <f t="shared" si="1"/>
        <v>3.0860149372866304E-2</v>
      </c>
      <c r="F20" s="23" t="str">
        <f>IF(AND(ISNUMBER(E20),ISNUMBER(E21),ISNUMBER($M$6)),IF(AND(20&lt;$M$6,E20&lt;0.5,E21&gt;=0.5),20,""),"")</f>
        <v/>
      </c>
      <c r="G20" s="23" t="str">
        <f>IF(AND(ISNUMBER(E20),ISNUMBER(E21),ISNUMBER($M$6)),IF(AND(20&gt;=$M$6,E20&gt;=0.5,E21&lt;0.5),20,""),"")</f>
        <v/>
      </c>
      <c r="H20" s="23" t="str">
        <f t="shared" si="2"/>
        <v/>
      </c>
      <c r="I20" s="23">
        <f t="shared" si="3"/>
        <v>417.41782534547906</v>
      </c>
      <c r="J20" s="25">
        <f t="shared" si="4"/>
        <v>3.0860149372866304E-2</v>
      </c>
      <c r="K20" s="23">
        <f t="shared" si="5"/>
        <v>1</v>
      </c>
      <c r="L20" s="5" t="s">
        <v>70</v>
      </c>
      <c r="M20" s="20" t="str">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Aviso: el pico está corrido; el barrido no llega a una de las alas</v>
      </c>
    </row>
    <row r="21" spans="1:13" x14ac:dyDescent="0.3">
      <c r="A21" s="21">
        <v>190</v>
      </c>
      <c r="B21" s="22">
        <v>2.7539999999999999E-7</v>
      </c>
      <c r="C21" s="23">
        <f t="shared" si="0"/>
        <v>1267.5435617529777</v>
      </c>
      <c r="D21" s="24">
        <f>IF(ISNUMBER(B21),AVERAGE(INDEX($B$2:$B$23,MAX(1,20-semi)):INDEX($B$2:$B$23,MIN($M$3,20+semi))),"")</f>
        <v>2.7539999999999999E-7</v>
      </c>
      <c r="E21" s="25">
        <f t="shared" si="1"/>
        <v>5.6323988472881661E-3</v>
      </c>
      <c r="F21" s="23" t="str">
        <f>IF(AND(ISNUMBER(E21),ISNUMBER(E22),ISNUMBER($M$6)),IF(AND(21&lt;$M$6,E21&lt;0.5,E22&gt;=0.5),21,""),"")</f>
        <v/>
      </c>
      <c r="G21" s="23" t="str">
        <f>IF(AND(ISNUMBER(E21),ISNUMBER(E22),ISNUMBER($M$6)),IF(AND(21&gt;=$M$6,E21&gt;=0.5,E22&lt;0.5),21,""),"")</f>
        <v/>
      </c>
      <c r="H21" s="23" t="str">
        <f t="shared" si="2"/>
        <v/>
      </c>
      <c r="I21" s="23">
        <f t="shared" si="3"/>
        <v>484.13064438510946</v>
      </c>
      <c r="J21" s="25">
        <f t="shared" si="4"/>
        <v>5.6323988472881661E-3</v>
      </c>
      <c r="K21" s="23">
        <f t="shared" si="5"/>
        <v>1</v>
      </c>
    </row>
    <row r="22" spans="1:13" x14ac:dyDescent="0.3">
      <c r="A22" s="21">
        <v>200</v>
      </c>
      <c r="B22" s="22">
        <v>1.216E-7</v>
      </c>
      <c r="C22" s="23">
        <f t="shared" si="0"/>
        <v>1334.2563807926081</v>
      </c>
      <c r="D22" s="24">
        <f>IF(ISNUMBER(B22),AVERAGE(INDEX($B$2:$B$23,MAX(1,21-semi)):INDEX($B$2:$B$23,MIN($M$3,21+semi))),"")</f>
        <v>1.216E-7</v>
      </c>
      <c r="E22" s="25">
        <f t="shared" si="1"/>
        <v>-1.3116031913179357E-4</v>
      </c>
      <c r="F22" s="23" t="str">
        <f>IF(AND(ISNUMBER(E22),ISNUMBER(E23),ISNUMBER($M$6)),IF(AND(22&lt;$M$6,E22&lt;0.5,E23&gt;=0.5),22,""),"")</f>
        <v/>
      </c>
      <c r="G22" s="23" t="str">
        <f>IF(AND(ISNUMBER(E22),ISNUMBER(E23),ISNUMBER($M$6)),IF(AND(22&gt;=$M$6,E22&gt;=0.5,E23&lt;0.5),22,""),"")</f>
        <v/>
      </c>
      <c r="H22" s="23" t="str">
        <f t="shared" si="2"/>
        <v/>
      </c>
      <c r="I22" s="23">
        <f t="shared" si="3"/>
        <v>550.84346342473987</v>
      </c>
      <c r="J22" s="25">
        <f t="shared" si="4"/>
        <v>-1.3116031913179357E-4</v>
      </c>
      <c r="K22" s="23">
        <f t="shared" si="5"/>
        <v>1</v>
      </c>
      <c r="L22" s="2" t="s">
        <v>73</v>
      </c>
    </row>
    <row r="23" spans="1:13" x14ac:dyDescent="0.3">
      <c r="A23" s="21">
        <v>210</v>
      </c>
      <c r="B23" s="22">
        <v>1.356E-7</v>
      </c>
      <c r="C23" s="23">
        <f t="shared" si="0"/>
        <v>1400.9691998322385</v>
      </c>
      <c r="D23" s="24">
        <f>IF(ISNUMBER(B23),AVERAGE(INDEX($B$2:$B$23,MAX(1,22-semi)):INDEX($B$2:$B$23,MIN($M$3,22+semi))),"")</f>
        <v>1.356E-7</v>
      </c>
      <c r="E23" s="25">
        <f t="shared" si="1"/>
        <v>3.9348095739538073E-4</v>
      </c>
      <c r="F23" s="23" t="str">
        <f>IF(AND(ISNUMBER(E23),ISNUMBER(E24),ISNUMBER($M$6)),IF(AND(23&lt;$M$6,E23&lt;0.5,E24&gt;=0.5),23,""),"")</f>
        <v/>
      </c>
      <c r="G23" s="23" t="str">
        <f>IF(AND(ISNUMBER(E23),ISNUMBER(E24),ISNUMBER($M$6)),IF(AND(23&gt;=$M$6,E23&gt;=0.5,E24&lt;0.5),23,""),"")</f>
        <v/>
      </c>
      <c r="H23" s="23" t="str">
        <f t="shared" si="2"/>
        <v/>
      </c>
      <c r="I23" s="23">
        <f t="shared" si="3"/>
        <v>617.55628246437027</v>
      </c>
      <c r="J23" s="25">
        <f t="shared" si="4"/>
        <v>3.9348095739538073E-4</v>
      </c>
      <c r="K23" s="23" t="str">
        <f t="shared" si="5"/>
        <v/>
      </c>
      <c r="L23" s="23">
        <f>IF(ISNUMBER($M$12),$M$10-$M$15,NA())</f>
        <v>-167.14082301938913</v>
      </c>
      <c r="M23" s="23">
        <f>IF(ISNUMBER($M$12),0.5,NA())</f>
        <v>0.5</v>
      </c>
    </row>
    <row r="24" spans="1:13" x14ac:dyDescent="0.3">
      <c r="L24" s="23">
        <f>IF(ISNUMBER($M$12),$M$11-$M$15,NA())</f>
        <v>167.14082301938913</v>
      </c>
      <c r="M24" s="23">
        <f>IF(ISNUMBER($M$12),0.5,NA())</f>
        <v>0.5</v>
      </c>
    </row>
    <row r="26" spans="1:13" ht="26.4" x14ac:dyDescent="0.3">
      <c r="L26" s="7" t="s">
        <v>74</v>
      </c>
    </row>
  </sheetData>
  <sheetProtection sheet="1" objects="1" scenarios="1" formatColumns="0" formatRows="0"/>
  <conditionalFormatting sqref="I2:J23">
    <cfRule type="containsErrors" dxfId="49" priority="4">
      <formula>ISERROR(I2)</formula>
    </cfRule>
  </conditionalFormatting>
  <conditionalFormatting sqref="L23:M24">
    <cfRule type="containsErrors" dxfId="48" priority="5">
      <formula>ISERROR(L23)</formula>
    </cfRule>
  </conditionalFormatting>
  <conditionalFormatting sqref="M20">
    <cfRule type="cellIs" dxfId="47" priority="1" operator="equal">
      <formula>"OK"</formula>
    </cfRule>
    <cfRule type="beginsWith" dxfId="46" priority="2" operator="beginsWith" text="Aviso">
      <formula>LEFT(M20,5)="Aviso"</formula>
    </cfRule>
    <cfRule type="beginsWith" dxfId="45"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xr:uid="{00000000-0002-0000-0600-000000000000}">
      <formula1>-1</formula1>
      <formula2>1</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6"/>
  <sheetViews>
    <sheetView workbookViewId="0">
      <pane ySplit="1" topLeftCell="A2" activePane="bottomLeft" state="frozen"/>
      <selection pane="bottomLeft" activeCell="B24" sqref="B24"/>
    </sheetView>
  </sheetViews>
  <sheetFormatPr baseColWidth="10" defaultColWidth="8.88671875" defaultRowHeight="14.4" x14ac:dyDescent="0.3"/>
  <cols>
    <col min="1" max="1" width="14.6640625" customWidth="1"/>
    <col min="2" max="2" width="15.6640625" customWidth="1"/>
    <col min="3" max="5" width="12.6640625" customWidth="1"/>
    <col min="6" max="8" width="9.6640625" customWidth="1"/>
    <col min="9" max="10" width="11.6640625" customWidth="1"/>
    <col min="11" max="11" width="7.6640625" customWidth="1"/>
    <col min="12" max="12" width="42.6640625" customWidth="1"/>
    <col min="13" max="13" width="14.6640625" customWidth="1"/>
  </cols>
  <sheetData>
    <row r="1" spans="1:13" ht="42" customHeight="1" x14ac:dyDescent="0.3">
      <c r="A1" s="4" t="s">
        <v>41</v>
      </c>
      <c r="B1" s="4" t="s">
        <v>42</v>
      </c>
      <c r="C1" s="4" t="s">
        <v>43</v>
      </c>
      <c r="D1" s="4" t="s">
        <v>44</v>
      </c>
      <c r="E1" s="4" t="s">
        <v>45</v>
      </c>
      <c r="F1" s="4" t="s">
        <v>46</v>
      </c>
      <c r="G1" s="4" t="s">
        <v>47</v>
      </c>
      <c r="H1" s="4" t="s">
        <v>48</v>
      </c>
      <c r="I1" s="4" t="s">
        <v>49</v>
      </c>
      <c r="J1" s="4" t="s">
        <v>50</v>
      </c>
      <c r="K1" s="4" t="s">
        <v>51</v>
      </c>
      <c r="L1" s="4" t="s">
        <v>77</v>
      </c>
      <c r="M1" s="4" t="s">
        <v>72</v>
      </c>
    </row>
    <row r="2" spans="1:13" x14ac:dyDescent="0.3">
      <c r="A2" s="21">
        <v>0</v>
      </c>
      <c r="B2" s="22">
        <v>-1.3010000000000001E-7</v>
      </c>
      <c r="C2" s="23">
        <f t="shared" ref="C2:C23" si="0">IF(ISNUMBER(A2),A2*conv,"")</f>
        <v>0</v>
      </c>
      <c r="D2" s="24">
        <f>IF(ISNUMBER(B2),AVERAGE(INDEX($B$2:$B$23,MAX(1,1-semi)):INDEX($B$2:$B$23,MIN($M$3,1+semi))),"")</f>
        <v>-1.3010000000000001E-7</v>
      </c>
      <c r="E2" s="25">
        <f t="shared" ref="E2:E23" si="1">IF(AND(ISNUMBER(D2),ISNUMBER($M$4)),(D2-$M$4)/($M$5-$M$4),"")</f>
        <v>9.2397613647057682E-3</v>
      </c>
      <c r="F2" s="23" t="str">
        <f>IF(AND(ISNUMBER(E2),ISNUMBER(E3),ISNUMBER($M$6)),IF(AND(2&lt;$M$6,E2&lt;0.5,E3&gt;=0.5),2,""),"")</f>
        <v/>
      </c>
      <c r="G2" s="23" t="str">
        <f>IF(AND(ISNUMBER(E2),ISNUMBER(E3),ISNUMBER($M$6)),IF(AND(2&gt;=$M$6,E2&gt;=0.5,E3&lt;0.5),2,""),"")</f>
        <v/>
      </c>
      <c r="H2" s="23" t="str">
        <f t="shared" ref="H2:H23" si="2">IF(OR(ISNUMBER(F2),ISNUMBER(G2)),C2+(0.5-E2)*(C3-C2)/(E3-E2),"")</f>
        <v/>
      </c>
      <c r="I2" s="23">
        <f t="shared" ref="I2:I23" si="3">IF(AND(ISNUMBER(E2),ISNUMBER($M$15)),C2-$M$15,NA())</f>
        <v>-782.64258892190753</v>
      </c>
      <c r="J2" s="25">
        <f t="shared" ref="J2:J23" si="4">IF(ISNUMBER(E2),E2,NA())</f>
        <v>9.2397613647057682E-3</v>
      </c>
      <c r="K2" s="23">
        <f t="shared" ref="K2:K23" si="5">IF(AND(ISNUMBER(C2),ISNUMBER(C3)),SIGN(C3-C2),"")</f>
        <v>1</v>
      </c>
      <c r="L2" s="5" t="s">
        <v>52</v>
      </c>
      <c r="M2" s="10">
        <f>COUNT($A$2:$A$23)</f>
        <v>22</v>
      </c>
    </row>
    <row r="3" spans="1:13" x14ac:dyDescent="0.3">
      <c r="A3" s="21">
        <v>10</v>
      </c>
      <c r="B3" s="22">
        <v>-4.2370000000000002E-9</v>
      </c>
      <c r="C3" s="23">
        <f t="shared" si="0"/>
        <v>66.712819039630403</v>
      </c>
      <c r="D3" s="24">
        <f>IF(ISNUMBER(B3),AVERAGE(INDEX($B$2:$B$23,MAX(1,2-semi)):INDEX($B$2:$B$23,MIN($M$3,2+semi))),"")</f>
        <v>-4.2370000000000002E-9</v>
      </c>
      <c r="E3" s="25">
        <f t="shared" si="1"/>
        <v>1.3779244508755265E-2</v>
      </c>
      <c r="F3" s="23" t="str">
        <f>IF(AND(ISNUMBER(E3),ISNUMBER(E4),ISNUMBER($M$6)),IF(AND(3&lt;$M$6,E3&lt;0.5,E4&gt;=0.5),3,""),"")</f>
        <v/>
      </c>
      <c r="G3" s="23" t="str">
        <f>IF(AND(ISNUMBER(E3),ISNUMBER(E4),ISNUMBER($M$6)),IF(AND(3&gt;=$M$6,E3&gt;=0.5,E4&lt;0.5),3,""),"")</f>
        <v/>
      </c>
      <c r="H3" s="23" t="str">
        <f t="shared" si="2"/>
        <v/>
      </c>
      <c r="I3" s="23">
        <f t="shared" si="3"/>
        <v>-715.92976988227713</v>
      </c>
      <c r="J3" s="25">
        <f t="shared" si="4"/>
        <v>1.3779244508755265E-2</v>
      </c>
      <c r="K3" s="23">
        <f t="shared" si="5"/>
        <v>1</v>
      </c>
      <c r="L3" s="5" t="s">
        <v>53</v>
      </c>
      <c r="M3" s="10">
        <f>COUNT($B$2:$B$23)</f>
        <v>22</v>
      </c>
    </row>
    <row r="4" spans="1:13" x14ac:dyDescent="0.3">
      <c r="A4" s="21">
        <v>20</v>
      </c>
      <c r="B4" s="22">
        <v>-4.2370000000000002E-9</v>
      </c>
      <c r="C4" s="23">
        <f t="shared" si="0"/>
        <v>133.42563807926081</v>
      </c>
      <c r="D4" s="24">
        <f>IF(ISNUMBER(B4),AVERAGE(INDEX($B$2:$B$23,MAX(1,3-semi)):INDEX($B$2:$B$23,MIN($M$3,3+semi))),"")</f>
        <v>-4.2370000000000002E-9</v>
      </c>
      <c r="E4" s="25">
        <f t="shared" si="1"/>
        <v>1.3779244508755265E-2</v>
      </c>
      <c r="F4" s="23" t="str">
        <f>IF(AND(ISNUMBER(E4),ISNUMBER(E5),ISNUMBER($M$6)),IF(AND(4&lt;$M$6,E4&lt;0.5,E5&gt;=0.5),4,""),"")</f>
        <v/>
      </c>
      <c r="G4" s="23" t="str">
        <f>IF(AND(ISNUMBER(E4),ISNUMBER(E5),ISNUMBER($M$6)),IF(AND(4&gt;=$M$6,E4&gt;=0.5,E5&lt;0.5),4,""),"")</f>
        <v/>
      </c>
      <c r="H4" s="23" t="str">
        <f t="shared" si="2"/>
        <v/>
      </c>
      <c r="I4" s="23">
        <f t="shared" si="3"/>
        <v>-649.21695084264672</v>
      </c>
      <c r="J4" s="25">
        <f t="shared" si="4"/>
        <v>1.3779244508755265E-2</v>
      </c>
      <c r="K4" s="23">
        <f t="shared" si="5"/>
        <v>1</v>
      </c>
      <c r="L4" s="5" t="s">
        <v>54</v>
      </c>
      <c r="M4" s="26">
        <f>IF($M$3&lt;$M$2,"",(AVERAGE(INDEX($B$2:$B$23,1):INDEX($B$2:$B$23,n_fondo))+AVERAGE(INDEX($B$2:$B$23,$M$3-n_fondo+1):INDEX($B$2:$B$23,$M$3)))/2)</f>
        <v>-3.8628425000000005E-7</v>
      </c>
    </row>
    <row r="5" spans="1:13" x14ac:dyDescent="0.3">
      <c r="A5" s="21">
        <v>30</v>
      </c>
      <c r="B5" s="22">
        <v>1.356E-7</v>
      </c>
      <c r="C5" s="23">
        <f t="shared" si="0"/>
        <v>200.13845711889124</v>
      </c>
      <c r="D5" s="24">
        <f>IF(ISNUMBER(B5),AVERAGE(INDEX($B$2:$B$23,MAX(1,4-semi)):INDEX($B$2:$B$23,MIN($M$3,4+semi))),"")</f>
        <v>1.356E-7</v>
      </c>
      <c r="E5" s="25">
        <f t="shared" si="1"/>
        <v>1.8822725948212844E-2</v>
      </c>
      <c r="F5" s="23" t="str">
        <f>IF(AND(ISNUMBER(E5),ISNUMBER(E6),ISNUMBER($M$6)),IF(AND(5&lt;$M$6,E5&lt;0.5,E6&gt;=0.5),5,""),"")</f>
        <v/>
      </c>
      <c r="G5" s="23" t="str">
        <f>IF(AND(ISNUMBER(E5),ISNUMBER(E6),ISNUMBER($M$6)),IF(AND(5&gt;=$M$6,E5&gt;=0.5,E6&lt;0.5),5,""),"")</f>
        <v/>
      </c>
      <c r="H5" s="23" t="str">
        <f t="shared" si="2"/>
        <v/>
      </c>
      <c r="I5" s="23">
        <f t="shared" si="3"/>
        <v>-582.50413180301632</v>
      </c>
      <c r="J5" s="25">
        <f t="shared" si="4"/>
        <v>1.8822725948212844E-2</v>
      </c>
      <c r="K5" s="23">
        <f t="shared" si="5"/>
        <v>1</v>
      </c>
      <c r="L5" s="5" t="s">
        <v>55</v>
      </c>
      <c r="M5" s="26">
        <f>IF($M$3&lt;$M$2,"",MAX($D$2:$D$23))</f>
        <v>2.7339999999999999E-5</v>
      </c>
    </row>
    <row r="6" spans="1:13" x14ac:dyDescent="0.3">
      <c r="A6" s="21">
        <v>40</v>
      </c>
      <c r="B6" s="22">
        <v>2.7539999999999999E-7</v>
      </c>
      <c r="C6" s="23">
        <f t="shared" si="0"/>
        <v>266.85127615852161</v>
      </c>
      <c r="D6" s="24">
        <f>IF(ISNUMBER(B6),AVERAGE(INDEX($B$2:$B$23,MAX(1,5-semi)):INDEX($B$2:$B$23,MIN($M$3,5+semi))),"")</f>
        <v>2.7539999999999999E-7</v>
      </c>
      <c r="E6" s="25">
        <f t="shared" si="1"/>
        <v>2.3864872913866922E-2</v>
      </c>
      <c r="F6" s="23" t="str">
        <f>IF(AND(ISNUMBER(E6),ISNUMBER(E7),ISNUMBER($M$6)),IF(AND(6&lt;$M$6,E6&lt;0.5,E7&gt;=0.5),6,""),"")</f>
        <v/>
      </c>
      <c r="G6" s="23" t="str">
        <f>IF(AND(ISNUMBER(E6),ISNUMBER(E7),ISNUMBER($M$6)),IF(AND(6&gt;=$M$6,E6&gt;=0.5,E7&lt;0.5),6,""),"")</f>
        <v/>
      </c>
      <c r="H6" s="23" t="str">
        <f t="shared" si="2"/>
        <v/>
      </c>
      <c r="I6" s="23">
        <f t="shared" si="3"/>
        <v>-515.79131276338592</v>
      </c>
      <c r="J6" s="25">
        <f t="shared" si="4"/>
        <v>2.3864872913866922E-2</v>
      </c>
      <c r="K6" s="23">
        <f t="shared" si="5"/>
        <v>1</v>
      </c>
      <c r="L6" s="5" t="s">
        <v>56</v>
      </c>
      <c r="M6" s="10">
        <f>IFERROR(MATCH($M$5,$D$2:$D$23,0)+1,"")</f>
        <v>14</v>
      </c>
    </row>
    <row r="7" spans="1:13" x14ac:dyDescent="0.3">
      <c r="A7" s="21">
        <v>50</v>
      </c>
      <c r="B7" s="22">
        <v>8.3679999999999998E-7</v>
      </c>
      <c r="C7" s="23">
        <f t="shared" si="0"/>
        <v>333.56409519815202</v>
      </c>
      <c r="D7" s="24">
        <f>IF(ISNUMBER(B7),AVERAGE(INDEX($B$2:$B$23,MAX(1,6-semi)):INDEX($B$2:$B$23,MIN($M$3,6+semi))),"")</f>
        <v>8.3679999999999998E-7</v>
      </c>
      <c r="E7" s="25">
        <f t="shared" si="1"/>
        <v>4.4112807867502123E-2</v>
      </c>
      <c r="F7" s="23" t="str">
        <f>IF(AND(ISNUMBER(E7),ISNUMBER(E8),ISNUMBER($M$6)),IF(AND(7&lt;$M$6,E7&lt;0.5,E8&gt;=0.5),7,""),"")</f>
        <v/>
      </c>
      <c r="G7" s="23" t="str">
        <f>IF(AND(ISNUMBER(E7),ISNUMBER(E8),ISNUMBER($M$6)),IF(AND(7&gt;=$M$6,E7&gt;=0.5,E8&lt;0.5),7,""),"")</f>
        <v/>
      </c>
      <c r="H7" s="23" t="str">
        <f t="shared" si="2"/>
        <v/>
      </c>
      <c r="I7" s="23">
        <f t="shared" si="3"/>
        <v>-449.07849372375551</v>
      </c>
      <c r="J7" s="25">
        <f t="shared" si="4"/>
        <v>4.4112807867502123E-2</v>
      </c>
      <c r="K7" s="23">
        <f t="shared" si="5"/>
        <v>1</v>
      </c>
      <c r="L7" s="5" t="s">
        <v>57</v>
      </c>
      <c r="M7" s="6">
        <f>IFERROR(INDEX($C$1:$C$23,$M$6),"")</f>
        <v>800.55382847556496</v>
      </c>
    </row>
    <row r="8" spans="1:13" x14ac:dyDescent="0.3">
      <c r="A8" s="21">
        <v>60</v>
      </c>
      <c r="B8" s="22">
        <v>1.2559999999999999E-6</v>
      </c>
      <c r="C8" s="23">
        <f t="shared" si="0"/>
        <v>400.27691423778248</v>
      </c>
      <c r="D8" s="24">
        <f>IF(ISNUMBER(B8),AVERAGE(INDEX($B$2:$B$23,MAX(1,7-semi)):INDEX($B$2:$B$23,MIN($M$3,7+semi))),"")</f>
        <v>1.2559999999999999E-6</v>
      </c>
      <c r="E8" s="25">
        <f t="shared" si="1"/>
        <v>5.9232035392553554E-2</v>
      </c>
      <c r="F8" s="23" t="str">
        <f>IF(AND(ISNUMBER(E8),ISNUMBER(E9),ISNUMBER($M$6)),IF(AND(8&lt;$M$6,E8&lt;0.5,E9&gt;=0.5),8,""),"")</f>
        <v/>
      </c>
      <c r="G8" s="23" t="str">
        <f>IF(AND(ISNUMBER(E8),ISNUMBER(E9),ISNUMBER($M$6)),IF(AND(8&gt;=$M$6,E8&gt;=0.5,E9&lt;0.5),8,""),"")</f>
        <v/>
      </c>
      <c r="H8" s="23" t="str">
        <f t="shared" si="2"/>
        <v/>
      </c>
      <c r="I8" s="23">
        <f t="shared" si="3"/>
        <v>-382.36567468412505</v>
      </c>
      <c r="J8" s="25">
        <f t="shared" si="4"/>
        <v>5.9232035392553554E-2</v>
      </c>
      <c r="K8" s="23">
        <f t="shared" si="5"/>
        <v>1</v>
      </c>
      <c r="L8" s="5" t="s">
        <v>58</v>
      </c>
      <c r="M8" s="10">
        <f>MAX($F$2:$F$23)</f>
        <v>11</v>
      </c>
    </row>
    <row r="9" spans="1:13" x14ac:dyDescent="0.3">
      <c r="A9" s="21">
        <v>70</v>
      </c>
      <c r="B9" s="22">
        <v>2.8119999999999999E-6</v>
      </c>
      <c r="C9" s="23">
        <f t="shared" si="0"/>
        <v>466.98973327741288</v>
      </c>
      <c r="D9" s="24">
        <f>IF(ISNUMBER(B9),AVERAGE(INDEX($B$2:$B$23,MAX(1,8-semi)):INDEX($B$2:$B$23,MIN($M$3,8+semi))),"")</f>
        <v>2.8119999999999999E-6</v>
      </c>
      <c r="E9" s="25">
        <f t="shared" si="1"/>
        <v>0.11535206885863186</v>
      </c>
      <c r="F9" s="23" t="str">
        <f>IF(AND(ISNUMBER(E9),ISNUMBER(E10),ISNUMBER($M$6)),IF(AND(9&lt;$M$6,E9&lt;0.5,E10&gt;=0.5),9,""),"")</f>
        <v/>
      </c>
      <c r="G9" s="23" t="str">
        <f>IF(AND(ISNUMBER(E9),ISNUMBER(E10),ISNUMBER($M$6)),IF(AND(9&gt;=$M$6,E9&gt;=0.5,E10&lt;0.5),9,""),"")</f>
        <v/>
      </c>
      <c r="H9" s="23" t="str">
        <f t="shared" si="2"/>
        <v/>
      </c>
      <c r="I9" s="23">
        <f t="shared" si="3"/>
        <v>-315.65285564449465</v>
      </c>
      <c r="J9" s="25">
        <f t="shared" si="4"/>
        <v>0.11535206885863186</v>
      </c>
      <c r="K9" s="23">
        <f t="shared" si="5"/>
        <v>1</v>
      </c>
      <c r="L9" s="5" t="s">
        <v>59</v>
      </c>
      <c r="M9" s="10">
        <f>MIN($G$2:$G$23)</f>
        <v>16</v>
      </c>
    </row>
    <row r="10" spans="1:13" x14ac:dyDescent="0.3">
      <c r="A10" s="21">
        <v>80</v>
      </c>
      <c r="B10" s="22">
        <v>5.6149999999999996E-6</v>
      </c>
      <c r="C10" s="23">
        <f t="shared" si="0"/>
        <v>533.70255231704323</v>
      </c>
      <c r="D10" s="24">
        <f>IF(ISNUMBER(B10),AVERAGE(INDEX($B$2:$B$23,MAX(1,9-semi)):INDEX($B$2:$B$23,MIN($M$3,9+semi))),"")</f>
        <v>5.6149999999999996E-6</v>
      </c>
      <c r="E10" s="25">
        <f t="shared" si="1"/>
        <v>0.2164474761885917</v>
      </c>
      <c r="F10" s="23" t="str">
        <f>IF(AND(ISNUMBER(E10),ISNUMBER(E11),ISNUMBER($M$6)),IF(AND(10&lt;$M$6,E10&lt;0.5,E11&gt;=0.5),10,""),"")</f>
        <v/>
      </c>
      <c r="G10" s="23" t="str">
        <f>IF(AND(ISNUMBER(E10),ISNUMBER(E11),ISNUMBER($M$6)),IF(AND(10&gt;=$M$6,E10&gt;=0.5,E11&lt;0.5),10,""),"")</f>
        <v/>
      </c>
      <c r="H10" s="23" t="str">
        <f t="shared" si="2"/>
        <v/>
      </c>
      <c r="I10" s="23">
        <f t="shared" si="3"/>
        <v>-248.9400366048643</v>
      </c>
      <c r="J10" s="25">
        <f t="shared" si="4"/>
        <v>0.2164474761885917</v>
      </c>
      <c r="K10" s="23">
        <f t="shared" si="5"/>
        <v>1</v>
      </c>
      <c r="L10" s="5" t="s">
        <v>60</v>
      </c>
      <c r="M10" s="6">
        <f>IF($M$8&gt;0,INDEX($H$1:$H$23,$M$8),"")</f>
        <v>615.10865277350752</v>
      </c>
    </row>
    <row r="11" spans="1:13" x14ac:dyDescent="0.3">
      <c r="A11" s="21">
        <v>90</v>
      </c>
      <c r="B11" s="22">
        <v>1.164E-5</v>
      </c>
      <c r="C11" s="23">
        <f t="shared" si="0"/>
        <v>600.41537135667363</v>
      </c>
      <c r="D11" s="24">
        <f>IF(ISNUMBER(B11),AVERAGE(INDEX($B$2:$B$23,MAX(1,10-semi)):INDEX($B$2:$B$23,MIN($M$3,10+semi))),"")</f>
        <v>1.164E-5</v>
      </c>
      <c r="E11" s="25">
        <f t="shared" si="1"/>
        <v>0.43375030500165207</v>
      </c>
      <c r="F11" s="23">
        <f>IF(AND(ISNUMBER(E11),ISNUMBER(E12),ISNUMBER($M$6)),IF(AND(11&lt;$M$6,E11&lt;0.5,E12&gt;=0.5),11,""),"")</f>
        <v>11</v>
      </c>
      <c r="G11" s="23" t="str">
        <f>IF(AND(ISNUMBER(E11),ISNUMBER(E12),ISNUMBER($M$6)),IF(AND(11&gt;=$M$6,E11&gt;=0.5,E12&lt;0.5),11,""),"")</f>
        <v/>
      </c>
      <c r="H11" s="23">
        <f t="shared" si="2"/>
        <v>615.10865277350752</v>
      </c>
      <c r="I11" s="23">
        <f t="shared" si="3"/>
        <v>-182.2272175652339</v>
      </c>
      <c r="J11" s="25">
        <f t="shared" si="4"/>
        <v>0.43375030500165207</v>
      </c>
      <c r="K11" s="23">
        <f t="shared" si="5"/>
        <v>1</v>
      </c>
      <c r="L11" s="5" t="s">
        <v>61</v>
      </c>
      <c r="M11" s="6">
        <f>IF($M$9&gt;0,INDEX($H$1:$H$23,$M$9),"")</f>
        <v>950.17652507030755</v>
      </c>
    </row>
    <row r="12" spans="1:13" ht="15.6" x14ac:dyDescent="0.3">
      <c r="A12" s="21">
        <v>100</v>
      </c>
      <c r="B12" s="22">
        <v>1.9979999999999998E-5</v>
      </c>
      <c r="C12" s="23">
        <f t="shared" si="0"/>
        <v>667.12819039630403</v>
      </c>
      <c r="D12" s="24">
        <f>IF(ISNUMBER(B12),AVERAGE(INDEX($B$2:$B$23,MAX(1,11-semi)):INDEX($B$2:$B$23,MIN($M$3,11+semi))),"")</f>
        <v>1.9979999999999998E-5</v>
      </c>
      <c r="E12" s="25">
        <f t="shared" si="1"/>
        <v>0.7345479136823031</v>
      </c>
      <c r="F12" s="23" t="str">
        <f>IF(AND(ISNUMBER(E12),ISNUMBER(E13),ISNUMBER($M$6)),IF(AND(12&lt;$M$6,E12&lt;0.5,E13&gt;=0.5),12,""),"")</f>
        <v/>
      </c>
      <c r="G12" s="23" t="str">
        <f>IF(AND(ISNUMBER(E12),ISNUMBER(E13),ISNUMBER($M$6)),IF(AND(12&gt;=$M$6,E12&gt;=0.5,E13&lt;0.5),12,""),"")</f>
        <v/>
      </c>
      <c r="H12" s="23" t="str">
        <f t="shared" si="2"/>
        <v/>
      </c>
      <c r="I12" s="23">
        <f t="shared" si="3"/>
        <v>-115.5143985256035</v>
      </c>
      <c r="J12" s="25">
        <f t="shared" si="4"/>
        <v>0.7345479136823031</v>
      </c>
      <c r="K12" s="23">
        <f t="shared" si="5"/>
        <v>1</v>
      </c>
      <c r="L12" s="5" t="s">
        <v>62</v>
      </c>
      <c r="M12" s="18">
        <f>IF(AND($M$8&gt;0,$M$9&gt;0),ABS($M$11-$M$10),"")</f>
        <v>335.06787229680003</v>
      </c>
    </row>
    <row r="13" spans="1:13" ht="15.6" x14ac:dyDescent="0.3">
      <c r="A13" s="21">
        <v>110</v>
      </c>
      <c r="B13" s="22">
        <v>2.5510000000000001E-5</v>
      </c>
      <c r="C13" s="23">
        <f t="shared" si="0"/>
        <v>733.84100943593455</v>
      </c>
      <c r="D13" s="24">
        <f>IF(ISNUMBER(B13),AVERAGE(INDEX($B$2:$B$23,MAX(1,12-semi)):INDEX($B$2:$B$23,MIN($M$3,12+semi))),"")</f>
        <v>2.5510000000000001E-5</v>
      </c>
      <c r="E13" s="25">
        <f t="shared" si="1"/>
        <v>0.93399764701611621</v>
      </c>
      <c r="F13" s="23" t="str">
        <f>IF(AND(ISNUMBER(E13),ISNUMBER(E14),ISNUMBER($M$6)),IF(AND(13&lt;$M$6,E13&lt;0.5,E14&gt;=0.5),13,""),"")</f>
        <v/>
      </c>
      <c r="G13" s="23" t="str">
        <f>IF(AND(ISNUMBER(E13),ISNUMBER(E14),ISNUMBER($M$6)),IF(AND(13&gt;=$M$6,E13&gt;=0.5,E14&lt;0.5),13,""),"")</f>
        <v/>
      </c>
      <c r="H13" s="23" t="str">
        <f t="shared" si="2"/>
        <v/>
      </c>
      <c r="I13" s="23">
        <f t="shared" si="3"/>
        <v>-48.801579485972979</v>
      </c>
      <c r="J13" s="25">
        <f t="shared" si="4"/>
        <v>0.93399764701611621</v>
      </c>
      <c r="K13" s="23">
        <f t="shared" si="5"/>
        <v>1</v>
      </c>
      <c r="L13" s="5" t="s">
        <v>63</v>
      </c>
      <c r="M13" s="18">
        <f>IF(ISNUMBER($M$12),factor_forma*$M$12,"")</f>
        <v>217.79411699292004</v>
      </c>
    </row>
    <row r="14" spans="1:13" x14ac:dyDescent="0.3">
      <c r="A14" s="21">
        <v>120</v>
      </c>
      <c r="B14" s="22">
        <v>2.7339999999999999E-5</v>
      </c>
      <c r="C14" s="23">
        <f t="shared" si="0"/>
        <v>800.55382847556496</v>
      </c>
      <c r="D14" s="24">
        <f>IF(ISNUMBER(B14),AVERAGE(INDEX($B$2:$B$23,MAX(1,13-semi)):INDEX($B$2:$B$23,MIN($M$3,13+semi))),"")</f>
        <v>2.7339999999999999E-5</v>
      </c>
      <c r="E14" s="25">
        <f t="shared" si="1"/>
        <v>1</v>
      </c>
      <c r="F14" s="23" t="str">
        <f>IF(AND(ISNUMBER(E14),ISNUMBER(E15),ISNUMBER($M$6)),IF(AND(14&lt;$M$6,E14&lt;0.5,E15&gt;=0.5),14,""),"")</f>
        <v/>
      </c>
      <c r="G14" s="23" t="str">
        <f>IF(AND(ISNUMBER(E14),ISNUMBER(E15),ISNUMBER($M$6)),IF(AND(14&gt;=$M$6,E14&gt;=0.5,E15&lt;0.5),14,""),"")</f>
        <v/>
      </c>
      <c r="H14" s="23" t="str">
        <f t="shared" si="2"/>
        <v/>
      </c>
      <c r="I14" s="23">
        <f t="shared" si="3"/>
        <v>17.911239553657424</v>
      </c>
      <c r="J14" s="25">
        <f t="shared" si="4"/>
        <v>1</v>
      </c>
      <c r="K14" s="23">
        <f t="shared" si="5"/>
        <v>1</v>
      </c>
      <c r="L14" s="5" t="s">
        <v>64</v>
      </c>
      <c r="M14" s="6">
        <f>IF(ISNUMBER($M$12),0.7071*$M$12,"")</f>
        <v>236.92649250106729</v>
      </c>
    </row>
    <row r="15" spans="1:13" x14ac:dyDescent="0.3">
      <c r="A15" s="21">
        <v>130</v>
      </c>
      <c r="B15" s="22">
        <v>2.2419999999999999E-5</v>
      </c>
      <c r="C15" s="23">
        <f t="shared" si="0"/>
        <v>867.26664751519536</v>
      </c>
      <c r="D15" s="24">
        <f>IF(ISNUMBER(B15),AVERAGE(INDEX($B$2:$B$23,MAX(1,14-semi)):INDEX($B$2:$B$23,MIN($M$3,14+semi))),"")</f>
        <v>2.2419999999999999E-5</v>
      </c>
      <c r="E15" s="25">
        <f t="shared" si="1"/>
        <v>0.82255105099414827</v>
      </c>
      <c r="F15" s="23" t="str">
        <f>IF(AND(ISNUMBER(E15),ISNUMBER(E16),ISNUMBER($M$6)),IF(AND(15&lt;$M$6,E15&lt;0.5,E16&gt;=0.5),15,""),"")</f>
        <v/>
      </c>
      <c r="G15" s="23" t="str">
        <f>IF(AND(ISNUMBER(E15),ISNUMBER(E16),ISNUMBER($M$6)),IF(AND(15&gt;=$M$6,E15&gt;=0.5,E16&lt;0.5),15,""),"")</f>
        <v/>
      </c>
      <c r="H15" s="23" t="str">
        <f t="shared" si="2"/>
        <v/>
      </c>
      <c r="I15" s="23">
        <f t="shared" si="3"/>
        <v>84.624058593287828</v>
      </c>
      <c r="J15" s="25">
        <f t="shared" si="4"/>
        <v>0.82255105099414827</v>
      </c>
      <c r="K15" s="23">
        <f t="shared" si="5"/>
        <v>1</v>
      </c>
      <c r="L15" s="5" t="s">
        <v>65</v>
      </c>
      <c r="M15" s="6">
        <f>IF(ISNUMBER($M$12),($M$10+$M$11)/2,$M$7)</f>
        <v>782.64258892190753</v>
      </c>
    </row>
    <row r="16" spans="1:13" x14ac:dyDescent="0.3">
      <c r="A16" s="21">
        <v>140</v>
      </c>
      <c r="B16" s="22">
        <v>1.5130000000000001E-5</v>
      </c>
      <c r="C16" s="23">
        <f t="shared" si="0"/>
        <v>933.97946655482576</v>
      </c>
      <c r="D16" s="24">
        <f>IF(ISNUMBER(B16),AVERAGE(INDEX($B$2:$B$23,MAX(1,15-semi)):INDEX($B$2:$B$23,MIN($M$3,15+semi))),"")</f>
        <v>1.5130000000000001E-5</v>
      </c>
      <c r="E16" s="25">
        <f t="shared" si="1"/>
        <v>0.55962364484523386</v>
      </c>
      <c r="F16" s="23" t="str">
        <f>IF(AND(ISNUMBER(E16),ISNUMBER(E17),ISNUMBER($M$6)),IF(AND(16&lt;$M$6,E16&lt;0.5,E17&gt;=0.5),16,""),"")</f>
        <v/>
      </c>
      <c r="G16" s="23">
        <f>IF(AND(ISNUMBER(E16),ISNUMBER(E17),ISNUMBER($M$6)),IF(AND(16&gt;=$M$6,E16&gt;=0.5,E17&lt;0.5),16,""),"")</f>
        <v>16</v>
      </c>
      <c r="H16" s="23">
        <f t="shared" si="2"/>
        <v>950.17652507030755</v>
      </c>
      <c r="I16" s="23">
        <f t="shared" si="3"/>
        <v>151.33687763291823</v>
      </c>
      <c r="J16" s="25">
        <f t="shared" si="4"/>
        <v>0.55962364484523386</v>
      </c>
      <c r="K16" s="23">
        <f t="shared" si="5"/>
        <v>1</v>
      </c>
      <c r="L16" s="5" t="s">
        <v>66</v>
      </c>
      <c r="M16" s="10">
        <f>COUNTIF($E$2:$E$23,"&gt;=0.5")</f>
        <v>5</v>
      </c>
    </row>
    <row r="17" spans="1:13" x14ac:dyDescent="0.3">
      <c r="A17" s="21">
        <v>150</v>
      </c>
      <c r="B17" s="22">
        <v>8.3210000000000005E-6</v>
      </c>
      <c r="C17" s="23">
        <f t="shared" si="0"/>
        <v>1000.6922855944562</v>
      </c>
      <c r="D17" s="24">
        <f>IF(ISNUMBER(B17),AVERAGE(INDEX($B$2:$B$23,MAX(1,16-semi)):INDEX($B$2:$B$23,MIN($M$3,16+semi))),"")</f>
        <v>8.3210000000000005E-6</v>
      </c>
      <c r="E17" s="25">
        <f t="shared" si="1"/>
        <v>0.31404439814181018</v>
      </c>
      <c r="F17" s="23" t="str">
        <f>IF(AND(ISNUMBER(E17),ISNUMBER(E18),ISNUMBER($M$6)),IF(AND(17&lt;$M$6,E17&lt;0.5,E18&gt;=0.5),17,""),"")</f>
        <v/>
      </c>
      <c r="G17" s="23" t="str">
        <f>IF(AND(ISNUMBER(E17),ISNUMBER(E18),ISNUMBER($M$6)),IF(AND(17&gt;=$M$6,E17&gt;=0.5,E18&lt;0.5),17,""),"")</f>
        <v/>
      </c>
      <c r="H17" s="23" t="str">
        <f t="shared" si="2"/>
        <v/>
      </c>
      <c r="I17" s="23">
        <f t="shared" si="3"/>
        <v>218.04969667254863</v>
      </c>
      <c r="J17" s="25">
        <f t="shared" si="4"/>
        <v>0.31404439814181018</v>
      </c>
      <c r="K17" s="23">
        <f t="shared" si="5"/>
        <v>1</v>
      </c>
      <c r="L17" s="5" t="s">
        <v>67</v>
      </c>
      <c r="M17" s="6">
        <f>IFERROR($M$15-MIN($C$2:$C$23),"")</f>
        <v>782.64258892190753</v>
      </c>
    </row>
    <row r="18" spans="1:13" x14ac:dyDescent="0.3">
      <c r="A18" s="21">
        <v>160</v>
      </c>
      <c r="B18" s="22">
        <v>4.0609999999999997E-6</v>
      </c>
      <c r="C18" s="23">
        <f t="shared" si="0"/>
        <v>1067.4051046340865</v>
      </c>
      <c r="D18" s="24">
        <f>IF(ISNUMBER(B18),AVERAGE(INDEX($B$2:$B$23,MAX(1,17-semi)):INDEX($B$2:$B$23,MIN($M$3,17+semi))),"")</f>
        <v>4.0609999999999997E-6</v>
      </c>
      <c r="E18" s="25">
        <f t="shared" si="1"/>
        <v>0.16039957644162148</v>
      </c>
      <c r="F18" s="23" t="str">
        <f>IF(AND(ISNUMBER(E18),ISNUMBER(E19),ISNUMBER($M$6)),IF(AND(18&lt;$M$6,E18&lt;0.5,E19&gt;=0.5),18,""),"")</f>
        <v/>
      </c>
      <c r="G18" s="23" t="str">
        <f>IF(AND(ISNUMBER(E18),ISNUMBER(E19),ISNUMBER($M$6)),IF(AND(18&gt;=$M$6,E18&gt;=0.5,E19&lt;0.5),18,""),"")</f>
        <v/>
      </c>
      <c r="H18" s="23" t="str">
        <f t="shared" si="2"/>
        <v/>
      </c>
      <c r="I18" s="23">
        <f t="shared" si="3"/>
        <v>284.76251571217892</v>
      </c>
      <c r="J18" s="25">
        <f t="shared" si="4"/>
        <v>0.16039957644162148</v>
      </c>
      <c r="K18" s="23">
        <f t="shared" si="5"/>
        <v>1</v>
      </c>
      <c r="L18" s="5" t="s">
        <v>68</v>
      </c>
      <c r="M18" s="6">
        <f>IFERROR(MAX($C$2:$C$23)-$M$15,"")</f>
        <v>618.32661091033094</v>
      </c>
    </row>
    <row r="19" spans="1:13" x14ac:dyDescent="0.3">
      <c r="A19" s="21">
        <v>170</v>
      </c>
      <c r="B19" s="22">
        <v>1.116E-6</v>
      </c>
      <c r="C19" s="23">
        <f t="shared" si="0"/>
        <v>1134.1179236737169</v>
      </c>
      <c r="D19" s="24">
        <f>IF(ISNUMBER(B19),AVERAGE(INDEX($B$2:$B$23,MAX(1,18-semi)):INDEX($B$2:$B$23,MIN($M$3,18+semi))),"")</f>
        <v>1.116E-6</v>
      </c>
      <c r="E19" s="25">
        <f t="shared" si="1"/>
        <v>5.4182675054988666E-2</v>
      </c>
      <c r="F19" s="23" t="str">
        <f>IF(AND(ISNUMBER(E19),ISNUMBER(E20),ISNUMBER($M$6)),IF(AND(19&lt;$M$6,E19&lt;0.5,E20&gt;=0.5),19,""),"")</f>
        <v/>
      </c>
      <c r="G19" s="23" t="str">
        <f>IF(AND(ISNUMBER(E19),ISNUMBER(E20),ISNUMBER($M$6)),IF(AND(19&gt;=$M$6,E19&gt;=0.5,E20&lt;0.5),19,""),"")</f>
        <v/>
      </c>
      <c r="H19" s="23" t="str">
        <f t="shared" si="2"/>
        <v/>
      </c>
      <c r="I19" s="23">
        <f t="shared" si="3"/>
        <v>351.47533475180933</v>
      </c>
      <c r="J19" s="25">
        <f t="shared" si="4"/>
        <v>5.4182675054988666E-2</v>
      </c>
      <c r="K19" s="23">
        <f t="shared" si="5"/>
        <v>1</v>
      </c>
      <c r="L19" s="5" t="s">
        <v>69</v>
      </c>
      <c r="M19" s="10">
        <f>IF($M$3&lt;$M$2,"",IFERROR(INDEX($A$1:$A$23,$M$6),""))</f>
        <v>120</v>
      </c>
    </row>
    <row r="20" spans="1:13" x14ac:dyDescent="0.3">
      <c r="A20" s="21">
        <v>180</v>
      </c>
      <c r="B20" s="22">
        <v>2.3730000000000001E-8</v>
      </c>
      <c r="C20" s="23">
        <f t="shared" si="0"/>
        <v>1200.8307427133473</v>
      </c>
      <c r="D20" s="24">
        <f>IF(ISNUMBER(B20),AVERAGE(INDEX($B$2:$B$23,MAX(1,19-semi)):INDEX($B$2:$B$23,MIN($M$3,19+semi))),"")</f>
        <v>2.3730000000000001E-8</v>
      </c>
      <c r="E20" s="25">
        <f t="shared" si="1"/>
        <v>1.4787926369902959E-2</v>
      </c>
      <c r="F20" s="23" t="str">
        <f>IF(AND(ISNUMBER(E20),ISNUMBER(E21),ISNUMBER($M$6)),IF(AND(20&lt;$M$6,E20&lt;0.5,E21&gt;=0.5),20,""),"")</f>
        <v/>
      </c>
      <c r="G20" s="23" t="str">
        <f>IF(AND(ISNUMBER(E20),ISNUMBER(E21),ISNUMBER($M$6)),IF(AND(20&gt;=$M$6,E20&gt;=0.5,E21&lt;0.5),20,""),"")</f>
        <v/>
      </c>
      <c r="H20" s="23" t="str">
        <f t="shared" si="2"/>
        <v/>
      </c>
      <c r="I20" s="23">
        <f t="shared" si="3"/>
        <v>418.18815379143973</v>
      </c>
      <c r="J20" s="25">
        <f t="shared" si="4"/>
        <v>1.4787926369902959E-2</v>
      </c>
      <c r="K20" s="23">
        <f t="shared" si="5"/>
        <v>1</v>
      </c>
      <c r="L20" s="5" t="s">
        <v>70</v>
      </c>
      <c r="M20" s="20" t="str">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Aviso: el pico está corrido; el barrido no llega a una de las alas</v>
      </c>
    </row>
    <row r="21" spans="1:13" x14ac:dyDescent="0.3">
      <c r="A21" s="21">
        <v>190</v>
      </c>
      <c r="B21" s="22">
        <v>-3.2790000000000002E-7</v>
      </c>
      <c r="C21" s="23">
        <f t="shared" si="0"/>
        <v>1267.5435617529777</v>
      </c>
      <c r="D21" s="24">
        <f>IF(ISNUMBER(B21),AVERAGE(INDEX($B$2:$B$23,MAX(1,20-semi)):INDEX($B$2:$B$23,MIN($M$3,20+semi))),"")</f>
        <v>-3.2790000000000002E-7</v>
      </c>
      <c r="E21" s="25">
        <f t="shared" si="1"/>
        <v>2.1057365449176639E-3</v>
      </c>
      <c r="F21" s="23" t="str">
        <f>IF(AND(ISNUMBER(E21),ISNUMBER(E22),ISNUMBER($M$6)),IF(AND(21&lt;$M$6,E21&lt;0.5,E22&gt;=0.5),21,""),"")</f>
        <v/>
      </c>
      <c r="G21" s="23" t="str">
        <f>IF(AND(ISNUMBER(E21),ISNUMBER(E22),ISNUMBER($M$6)),IF(AND(21&gt;=$M$6,E21&gt;=0.5,E22&lt;0.5),21,""),"")</f>
        <v/>
      </c>
      <c r="H21" s="23" t="str">
        <f t="shared" si="2"/>
        <v/>
      </c>
      <c r="I21" s="23">
        <f t="shared" si="3"/>
        <v>484.90097283107013</v>
      </c>
      <c r="J21" s="25">
        <f t="shared" si="4"/>
        <v>2.1057365449176639E-3</v>
      </c>
      <c r="K21" s="23">
        <f t="shared" si="5"/>
        <v>1</v>
      </c>
    </row>
    <row r="22" spans="1:13" x14ac:dyDescent="0.3">
      <c r="A22" s="21">
        <v>200</v>
      </c>
      <c r="B22" s="22">
        <v>-6.4949999999999999E-7</v>
      </c>
      <c r="C22" s="23">
        <f t="shared" si="0"/>
        <v>1334.2563807926081</v>
      </c>
      <c r="D22" s="24">
        <f>IF(ISNUMBER(B22),AVERAGE(INDEX($B$2:$B$23,MAX(1,21-semi)):INDEX($B$2:$B$23,MIN($M$3,21+semi))),"")</f>
        <v>-6.4949999999999999E-7</v>
      </c>
      <c r="E22" s="25">
        <f t="shared" si="1"/>
        <v>-9.4933654876599612E-3</v>
      </c>
      <c r="F22" s="23" t="str">
        <f>IF(AND(ISNUMBER(E22),ISNUMBER(E23),ISNUMBER($M$6)),IF(AND(22&lt;$M$6,E22&lt;0.5,E23&gt;=0.5),22,""),"")</f>
        <v/>
      </c>
      <c r="G22" s="23" t="str">
        <f>IF(AND(ISNUMBER(E22),ISNUMBER(E23),ISNUMBER($M$6)),IF(AND(22&gt;=$M$6,E22&gt;=0.5,E23&lt;0.5),22,""),"")</f>
        <v/>
      </c>
      <c r="H22" s="23" t="str">
        <f t="shared" si="2"/>
        <v/>
      </c>
      <c r="I22" s="23">
        <f t="shared" si="3"/>
        <v>551.61379187070054</v>
      </c>
      <c r="J22" s="25">
        <f t="shared" si="4"/>
        <v>-9.4933654876599612E-3</v>
      </c>
      <c r="K22" s="23">
        <f t="shared" si="5"/>
        <v>1</v>
      </c>
      <c r="L22" s="2" t="s">
        <v>73</v>
      </c>
    </row>
    <row r="23" spans="1:13" x14ac:dyDescent="0.3">
      <c r="A23" s="21">
        <v>210</v>
      </c>
      <c r="B23" s="22">
        <v>-7.6130000000000002E-7</v>
      </c>
      <c r="C23" s="23">
        <f t="shared" si="0"/>
        <v>1400.9691998322385</v>
      </c>
      <c r="D23" s="24">
        <f>IF(ISNUMBER(B23),AVERAGE(INDEX($B$2:$B$23,MAX(1,22-semi)):INDEX($B$2:$B$23,MIN($M$3,22+semi))),"")</f>
        <v>-7.6130000000000002E-7</v>
      </c>
      <c r="E23" s="25">
        <f t="shared" si="1"/>
        <v>-1.3525640385801065E-2</v>
      </c>
      <c r="F23" s="23" t="str">
        <f>IF(AND(ISNUMBER(E23),ISNUMBER(E24),ISNUMBER($M$6)),IF(AND(23&lt;$M$6,E23&lt;0.5,E24&gt;=0.5),23,""),"")</f>
        <v/>
      </c>
      <c r="G23" s="23" t="str">
        <f>IF(AND(ISNUMBER(E23),ISNUMBER(E24),ISNUMBER($M$6)),IF(AND(23&gt;=$M$6,E23&gt;=0.5,E24&lt;0.5),23,""),"")</f>
        <v/>
      </c>
      <c r="H23" s="23" t="str">
        <f t="shared" si="2"/>
        <v/>
      </c>
      <c r="I23" s="23">
        <f t="shared" si="3"/>
        <v>618.32661091033094</v>
      </c>
      <c r="J23" s="25">
        <f t="shared" si="4"/>
        <v>-1.3525640385801065E-2</v>
      </c>
      <c r="K23" s="23" t="str">
        <f t="shared" si="5"/>
        <v/>
      </c>
      <c r="L23" s="23">
        <f>IF(ISNUMBER($M$12),$M$10-$M$15,NA())</f>
        <v>-167.53393614840002</v>
      </c>
      <c r="M23" s="23">
        <f>IF(ISNUMBER($M$12),0.5,NA())</f>
        <v>0.5</v>
      </c>
    </row>
    <row r="24" spans="1:13" x14ac:dyDescent="0.3">
      <c r="L24" s="23">
        <f>IF(ISNUMBER($M$12),$M$11-$M$15,NA())</f>
        <v>167.53393614840002</v>
      </c>
      <c r="M24" s="23">
        <f>IF(ISNUMBER($M$12),0.5,NA())</f>
        <v>0.5</v>
      </c>
    </row>
    <row r="26" spans="1:13" ht="26.4" x14ac:dyDescent="0.3">
      <c r="L26" s="7" t="s">
        <v>74</v>
      </c>
    </row>
  </sheetData>
  <sheetProtection sheet="1" objects="1" scenarios="1" formatColumns="0" formatRows="0"/>
  <conditionalFormatting sqref="I2:J23">
    <cfRule type="containsErrors" dxfId="44" priority="4">
      <formula>ISERROR(I2)</formula>
    </cfRule>
  </conditionalFormatting>
  <conditionalFormatting sqref="L23:M24">
    <cfRule type="containsErrors" dxfId="43" priority="5">
      <formula>ISERROR(L23)</formula>
    </cfRule>
  </conditionalFormatting>
  <conditionalFormatting sqref="M20">
    <cfRule type="cellIs" dxfId="42" priority="1" operator="equal">
      <formula>"OK"</formula>
    </cfRule>
    <cfRule type="beginsWith" dxfId="41" priority="2" operator="beginsWith" text="Aviso">
      <formula>LEFT(M20,5)="Aviso"</formula>
    </cfRule>
    <cfRule type="beginsWith" dxfId="40"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xr:uid="{00000000-0002-0000-0700-000000000000}">
      <formula1>-1</formula1>
      <formula2>1</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6"/>
  <sheetViews>
    <sheetView workbookViewId="0">
      <pane ySplit="1" topLeftCell="A41" activePane="bottomLeft" state="frozen"/>
      <selection pane="bottomLeft" activeCell="A24" sqref="A24"/>
    </sheetView>
  </sheetViews>
  <sheetFormatPr baseColWidth="10" defaultColWidth="8.88671875" defaultRowHeight="14.4" x14ac:dyDescent="0.3"/>
  <cols>
    <col min="1" max="1" width="14.6640625" customWidth="1"/>
    <col min="2" max="2" width="15.6640625" customWidth="1"/>
    <col min="3" max="5" width="12.6640625" customWidth="1"/>
    <col min="6" max="8" width="9.6640625" customWidth="1"/>
    <col min="9" max="10" width="11.6640625" customWidth="1"/>
    <col min="11" max="11" width="7.6640625" customWidth="1"/>
    <col min="12" max="12" width="42.6640625" customWidth="1"/>
    <col min="13" max="13" width="14.6640625" customWidth="1"/>
  </cols>
  <sheetData>
    <row r="1" spans="1:13" ht="42" customHeight="1" x14ac:dyDescent="0.3">
      <c r="A1" s="4" t="s">
        <v>41</v>
      </c>
      <c r="B1" s="4" t="s">
        <v>42</v>
      </c>
      <c r="C1" s="4" t="s">
        <v>43</v>
      </c>
      <c r="D1" s="4" t="s">
        <v>44</v>
      </c>
      <c r="E1" s="4" t="s">
        <v>45</v>
      </c>
      <c r="F1" s="4" t="s">
        <v>46</v>
      </c>
      <c r="G1" s="4" t="s">
        <v>47</v>
      </c>
      <c r="H1" s="4" t="s">
        <v>48</v>
      </c>
      <c r="I1" s="4" t="s">
        <v>49</v>
      </c>
      <c r="J1" s="4" t="s">
        <v>50</v>
      </c>
      <c r="K1" s="4" t="s">
        <v>51</v>
      </c>
      <c r="L1" s="4" t="s">
        <v>78</v>
      </c>
      <c r="M1" s="4" t="s">
        <v>72</v>
      </c>
    </row>
    <row r="2" spans="1:13" x14ac:dyDescent="0.3">
      <c r="A2" s="21">
        <v>0</v>
      </c>
      <c r="B2" s="22">
        <v>0</v>
      </c>
      <c r="C2" s="23">
        <f t="shared" ref="C2:C23" si="0">IF(ISNUMBER(A2),A2*conv,"")</f>
        <v>0</v>
      </c>
      <c r="D2" s="24">
        <f>IF(ISNUMBER(B2),AVERAGE(INDEX($B$2:$B$23,MAX(1,1-semi)):INDEX($B$2:$B$23,MIN($M$3,1+semi))),"")</f>
        <v>0</v>
      </c>
      <c r="E2" s="25">
        <f t="shared" ref="E2:E23" si="1">IF(AND(ISNUMBER(D2),ISNUMBER($M$4)),(D2-$M$4)/($M$5-$M$4),"")</f>
        <v>-6.7133247006518175E-3</v>
      </c>
      <c r="F2" s="23" t="str">
        <f>IF(AND(ISNUMBER(E2),ISNUMBER(E3),ISNUMBER($M$6)),IF(AND(2&lt;$M$6,E2&lt;0.5,E3&gt;=0.5),2,""),"")</f>
        <v/>
      </c>
      <c r="G2" s="23" t="str">
        <f>IF(AND(ISNUMBER(E2),ISNUMBER(E3),ISNUMBER($M$6)),IF(AND(2&gt;=$M$6,E2&gt;=0.5,E3&lt;0.5),2,""),"")</f>
        <v/>
      </c>
      <c r="H2" s="23" t="str">
        <f t="shared" ref="H2:H23" si="2">IF(OR(ISNUMBER(F2),ISNUMBER(G2)),C2+(0.5-E2)*(C3-C2)/(E3-E2),"")</f>
        <v/>
      </c>
      <c r="I2" s="23">
        <f t="shared" ref="I2:I23" si="3">IF(AND(ISNUMBER(E2),ISNUMBER($M$15)),C2-$M$15,NA())</f>
        <v>-785.86778998864565</v>
      </c>
      <c r="J2" s="25">
        <f t="shared" ref="J2:J23" si="4">IF(ISNUMBER(E2),E2,NA())</f>
        <v>-6.7133247006518175E-3</v>
      </c>
      <c r="K2" s="23">
        <f t="shared" ref="K2:K23" si="5">IF(AND(ISNUMBER(C2),ISNUMBER(C3)),SIGN(C3-C2),"")</f>
        <v>1</v>
      </c>
      <c r="L2" s="5" t="s">
        <v>52</v>
      </c>
      <c r="M2" s="10">
        <f>COUNT($A$2:$A$23)</f>
        <v>22</v>
      </c>
    </row>
    <row r="3" spans="1:13" x14ac:dyDescent="0.3">
      <c r="A3" s="21">
        <v>10</v>
      </c>
      <c r="B3" s="22">
        <v>6.9909999999999995E-8</v>
      </c>
      <c r="C3" s="23">
        <f t="shared" si="0"/>
        <v>66.712819039630403</v>
      </c>
      <c r="D3" s="24">
        <f>IF(ISNUMBER(B3),AVERAGE(INDEX($B$2:$B$23,MAX(1,2-semi)):INDEX($B$2:$B$23,MIN($M$3,2+semi))),"")</f>
        <v>6.9909999999999995E-8</v>
      </c>
      <c r="E3" s="25">
        <f t="shared" si="1"/>
        <v>-4.1798715498302715E-3</v>
      </c>
      <c r="F3" s="23" t="str">
        <f>IF(AND(ISNUMBER(E3),ISNUMBER(E4),ISNUMBER($M$6)),IF(AND(3&lt;$M$6,E3&lt;0.5,E4&gt;=0.5),3,""),"")</f>
        <v/>
      </c>
      <c r="G3" s="23" t="str">
        <f>IF(AND(ISNUMBER(E3),ISNUMBER(E4),ISNUMBER($M$6)),IF(AND(3&gt;=$M$6,E3&gt;=0.5,E4&lt;0.5),3,""),"")</f>
        <v/>
      </c>
      <c r="H3" s="23" t="str">
        <f t="shared" si="2"/>
        <v/>
      </c>
      <c r="I3" s="23">
        <f t="shared" si="3"/>
        <v>-719.15497094901525</v>
      </c>
      <c r="J3" s="25">
        <f t="shared" si="4"/>
        <v>-4.1798715498302715E-3</v>
      </c>
      <c r="K3" s="23">
        <f t="shared" si="5"/>
        <v>1</v>
      </c>
      <c r="L3" s="5" t="s">
        <v>53</v>
      </c>
      <c r="M3" s="10">
        <f>COUNT($B$2:$B$23)</f>
        <v>22</v>
      </c>
    </row>
    <row r="4" spans="1:13" x14ac:dyDescent="0.3">
      <c r="A4" s="21">
        <v>20</v>
      </c>
      <c r="B4" s="22">
        <v>1.6780000000000001E-7</v>
      </c>
      <c r="C4" s="23">
        <f t="shared" si="0"/>
        <v>133.42563807926081</v>
      </c>
      <c r="D4" s="24">
        <f>IF(ISNUMBER(B4),AVERAGE(INDEX($B$2:$B$23,MAX(1,3-semi)):INDEX($B$2:$B$23,MIN($M$3,3+semi))),"")</f>
        <v>1.6780000000000001E-7</v>
      </c>
      <c r="E4" s="25">
        <f t="shared" si="1"/>
        <v>-6.3245731819071738E-4</v>
      </c>
      <c r="F4" s="23" t="str">
        <f>IF(AND(ISNUMBER(E4),ISNUMBER(E5),ISNUMBER($M$6)),IF(AND(4&lt;$M$6,E4&lt;0.5,E5&gt;=0.5),4,""),"")</f>
        <v/>
      </c>
      <c r="G4" s="23" t="str">
        <f>IF(AND(ISNUMBER(E4),ISNUMBER(E5),ISNUMBER($M$6)),IF(AND(4&gt;=$M$6,E4&gt;=0.5,E5&lt;0.5),4,""),"")</f>
        <v/>
      </c>
      <c r="H4" s="23" t="str">
        <f t="shared" si="2"/>
        <v/>
      </c>
      <c r="I4" s="23">
        <f t="shared" si="3"/>
        <v>-652.44215190938485</v>
      </c>
      <c r="J4" s="25">
        <f t="shared" si="4"/>
        <v>-6.3245731819071738E-4</v>
      </c>
      <c r="K4" s="23">
        <f t="shared" si="5"/>
        <v>1</v>
      </c>
      <c r="L4" s="5" t="s">
        <v>54</v>
      </c>
      <c r="M4" s="26">
        <f>IF($M$3&lt;$M$2,"",(AVERAGE(INDEX($B$2:$B$23,1):INDEX($B$2:$B$23,n_fondo))+AVERAGE(INDEX($B$2:$B$23,$M$3-n_fondo+1):INDEX($B$2:$B$23,$M$3)))/2)</f>
        <v>1.8525250000000001E-7</v>
      </c>
    </row>
    <row r="5" spans="1:13" x14ac:dyDescent="0.3">
      <c r="A5" s="21">
        <v>30</v>
      </c>
      <c r="B5" s="22">
        <v>2.7959999999999999E-7</v>
      </c>
      <c r="C5" s="23">
        <f t="shared" si="0"/>
        <v>200.13845711889124</v>
      </c>
      <c r="D5" s="24">
        <f>IF(ISNUMBER(B5),AVERAGE(INDEX($B$2:$B$23,MAX(1,4-semi)):INDEX($B$2:$B$23,MIN($M$3,4+semi))),"")</f>
        <v>2.7959999999999999E-7</v>
      </c>
      <c r="E5" s="25">
        <f t="shared" si="1"/>
        <v>3.419038351410897E-3</v>
      </c>
      <c r="F5" s="23" t="str">
        <f>IF(AND(ISNUMBER(E5),ISNUMBER(E6),ISNUMBER($M$6)),IF(AND(5&lt;$M$6,E5&lt;0.5,E6&gt;=0.5),5,""),"")</f>
        <v/>
      </c>
      <c r="G5" s="23" t="str">
        <f>IF(AND(ISNUMBER(E5),ISNUMBER(E6),ISNUMBER($M$6)),IF(AND(5&gt;=$M$6,E5&gt;=0.5,E6&lt;0.5),5,""),"")</f>
        <v/>
      </c>
      <c r="H5" s="23" t="str">
        <f t="shared" si="2"/>
        <v/>
      </c>
      <c r="I5" s="23">
        <f t="shared" si="3"/>
        <v>-585.72933286975444</v>
      </c>
      <c r="J5" s="25">
        <f t="shared" si="4"/>
        <v>3.419038351410897E-3</v>
      </c>
      <c r="K5" s="23">
        <f t="shared" si="5"/>
        <v>1</v>
      </c>
      <c r="L5" s="5" t="s">
        <v>55</v>
      </c>
      <c r="M5" s="26">
        <f>IF($M$3&lt;$M$2,"",MAX($D$2:$D$23))</f>
        <v>2.7780000000000002E-5</v>
      </c>
    </row>
    <row r="6" spans="1:13" x14ac:dyDescent="0.3">
      <c r="A6" s="21">
        <v>40</v>
      </c>
      <c r="B6" s="22">
        <v>4.0550000000000002E-7</v>
      </c>
      <c r="C6" s="23">
        <f t="shared" si="0"/>
        <v>266.85127615852161</v>
      </c>
      <c r="D6" s="24">
        <f>IF(ISNUMBER(B6),AVERAGE(INDEX($B$2:$B$23,MAX(1,5-semi)):INDEX($B$2:$B$23,MIN($M$3,5+semi))),"")</f>
        <v>4.0550000000000002E-7</v>
      </c>
      <c r="E6" s="25">
        <f t="shared" si="1"/>
        <v>7.9815008272860616E-3</v>
      </c>
      <c r="F6" s="23" t="str">
        <f>IF(AND(ISNUMBER(E6),ISNUMBER(E7),ISNUMBER($M$6)),IF(AND(6&lt;$M$6,E6&lt;0.5,E7&gt;=0.5),6,""),"")</f>
        <v/>
      </c>
      <c r="G6" s="23" t="str">
        <f>IF(AND(ISNUMBER(E6),ISNUMBER(E7),ISNUMBER($M$6)),IF(AND(6&gt;=$M$6,E6&gt;=0.5,E7&lt;0.5),6,""),"")</f>
        <v/>
      </c>
      <c r="H6" s="23" t="str">
        <f t="shared" si="2"/>
        <v/>
      </c>
      <c r="I6" s="23">
        <f t="shared" si="3"/>
        <v>-519.01651383012404</v>
      </c>
      <c r="J6" s="25">
        <f t="shared" si="4"/>
        <v>7.9815008272860616E-3</v>
      </c>
      <c r="K6" s="23">
        <f t="shared" si="5"/>
        <v>1</v>
      </c>
      <c r="L6" s="5" t="s">
        <v>56</v>
      </c>
      <c r="M6" s="10">
        <f>IFERROR(MATCH($M$5,$D$2:$D$23,0)+1,"")</f>
        <v>14</v>
      </c>
    </row>
    <row r="7" spans="1:13" x14ac:dyDescent="0.3">
      <c r="A7" s="21">
        <v>50</v>
      </c>
      <c r="B7" s="22">
        <v>6.8700000000000005E-7</v>
      </c>
      <c r="C7" s="23">
        <f t="shared" si="0"/>
        <v>333.56409519815202</v>
      </c>
      <c r="D7" s="24">
        <f>IF(ISNUMBER(B7),AVERAGE(INDEX($B$2:$B$23,MAX(1,6-semi)):INDEX($B$2:$B$23,MIN($M$3,6+semi))),"")</f>
        <v>6.8700000000000005E-7</v>
      </c>
      <c r="E7" s="25">
        <f t="shared" si="1"/>
        <v>1.8182717562463653E-2</v>
      </c>
      <c r="F7" s="23" t="str">
        <f>IF(AND(ISNUMBER(E7),ISNUMBER(E8),ISNUMBER($M$6)),IF(AND(7&lt;$M$6,E7&lt;0.5,E8&gt;=0.5),7,""),"")</f>
        <v/>
      </c>
      <c r="G7" s="23" t="str">
        <f>IF(AND(ISNUMBER(E7),ISNUMBER(E8),ISNUMBER($M$6)),IF(AND(7&gt;=$M$6,E7&gt;=0.5,E8&lt;0.5),7,""),"")</f>
        <v/>
      </c>
      <c r="H7" s="23" t="str">
        <f t="shared" si="2"/>
        <v/>
      </c>
      <c r="I7" s="23">
        <f t="shared" si="3"/>
        <v>-452.30369479049364</v>
      </c>
      <c r="J7" s="25">
        <f t="shared" si="4"/>
        <v>1.8182717562463653E-2</v>
      </c>
      <c r="K7" s="23">
        <f t="shared" si="5"/>
        <v>1</v>
      </c>
      <c r="L7" s="5" t="s">
        <v>57</v>
      </c>
      <c r="M7" s="6">
        <f>IFERROR(INDEX($C$1:$C$23,$M$6),"")</f>
        <v>800.55382847556496</v>
      </c>
    </row>
    <row r="8" spans="1:13" x14ac:dyDescent="0.3">
      <c r="A8" s="21">
        <v>60</v>
      </c>
      <c r="B8" s="22">
        <v>1.3999999999999999E-6</v>
      </c>
      <c r="C8" s="23">
        <f t="shared" si="0"/>
        <v>400.27691423778248</v>
      </c>
      <c r="D8" s="24">
        <f>IF(ISNUMBER(B8),AVERAGE(INDEX($B$2:$B$23,MAX(1,7-semi)):INDEX($B$2:$B$23,MIN($M$3,7+semi))),"")</f>
        <v>1.3999999999999999E-6</v>
      </c>
      <c r="E8" s="25">
        <f t="shared" si="1"/>
        <v>4.4020968120835308E-2</v>
      </c>
      <c r="F8" s="23" t="str">
        <f>IF(AND(ISNUMBER(E8),ISNUMBER(E9),ISNUMBER($M$6)),IF(AND(8&lt;$M$6,E8&lt;0.5,E9&gt;=0.5),8,""),"")</f>
        <v/>
      </c>
      <c r="G8" s="23" t="str">
        <f>IF(AND(ISNUMBER(E8),ISNUMBER(E9),ISNUMBER($M$6)),IF(AND(8&gt;=$M$6,E8&gt;=0.5,E9&lt;0.5),8,""),"")</f>
        <v/>
      </c>
      <c r="H8" s="23" t="str">
        <f t="shared" si="2"/>
        <v/>
      </c>
      <c r="I8" s="23">
        <f t="shared" si="3"/>
        <v>-385.59087575086318</v>
      </c>
      <c r="J8" s="25">
        <f t="shared" si="4"/>
        <v>4.4020968120835308E-2</v>
      </c>
      <c r="K8" s="23">
        <f t="shared" si="5"/>
        <v>1</v>
      </c>
      <c r="L8" s="5" t="s">
        <v>58</v>
      </c>
      <c r="M8" s="10">
        <f>MAX($F$2:$F$23)</f>
        <v>11</v>
      </c>
    </row>
    <row r="9" spans="1:13" x14ac:dyDescent="0.3">
      <c r="A9" s="21">
        <v>70</v>
      </c>
      <c r="B9" s="22">
        <v>3.0680000000000001E-6</v>
      </c>
      <c r="C9" s="23">
        <f t="shared" si="0"/>
        <v>466.98973327741288</v>
      </c>
      <c r="D9" s="24">
        <f>IF(ISNUMBER(B9),AVERAGE(INDEX($B$2:$B$23,MAX(1,8-semi)):INDEX($B$2:$B$23,MIN($M$3,8+semi))),"")</f>
        <v>3.0680000000000001E-6</v>
      </c>
      <c r="E9" s="25">
        <f t="shared" si="1"/>
        <v>0.10446725413957857</v>
      </c>
      <c r="F9" s="23" t="str">
        <f>IF(AND(ISNUMBER(E9),ISNUMBER(E10),ISNUMBER($M$6)),IF(AND(9&lt;$M$6,E9&lt;0.5,E10&gt;=0.5),9,""),"")</f>
        <v/>
      </c>
      <c r="G9" s="23" t="str">
        <f>IF(AND(ISNUMBER(E9),ISNUMBER(E10),ISNUMBER($M$6)),IF(AND(9&gt;=$M$6,E9&gt;=0.5,E10&lt;0.5),9,""),"")</f>
        <v/>
      </c>
      <c r="H9" s="23" t="str">
        <f t="shared" si="2"/>
        <v/>
      </c>
      <c r="I9" s="23">
        <f t="shared" si="3"/>
        <v>-318.87805671123277</v>
      </c>
      <c r="J9" s="25">
        <f t="shared" si="4"/>
        <v>0.10446725413957857</v>
      </c>
      <c r="K9" s="23">
        <f t="shared" si="5"/>
        <v>1</v>
      </c>
      <c r="L9" s="5" t="s">
        <v>59</v>
      </c>
      <c r="M9" s="10">
        <f>MIN($G$2:$G$23)</f>
        <v>16</v>
      </c>
    </row>
    <row r="10" spans="1:13" x14ac:dyDescent="0.3">
      <c r="A10" s="21">
        <v>80</v>
      </c>
      <c r="B10" s="22">
        <v>6.1670000000000004E-6</v>
      </c>
      <c r="C10" s="23">
        <f t="shared" si="0"/>
        <v>533.70255231704323</v>
      </c>
      <c r="D10" s="24">
        <f>IF(ISNUMBER(B10),AVERAGE(INDEX($B$2:$B$23,MAX(1,9-semi)):INDEX($B$2:$B$23,MIN($M$3,9+semi))),"")</f>
        <v>6.1670000000000004E-6</v>
      </c>
      <c r="E10" s="25">
        <f t="shared" si="1"/>
        <v>0.21677123517799901</v>
      </c>
      <c r="F10" s="23" t="str">
        <f>IF(AND(ISNUMBER(E10),ISNUMBER(E11),ISNUMBER($M$6)),IF(AND(10&lt;$M$6,E10&lt;0.5,E11&gt;=0.5),10,""),"")</f>
        <v/>
      </c>
      <c r="G10" s="23" t="str">
        <f>IF(AND(ISNUMBER(E10),ISNUMBER(E11),ISNUMBER($M$6)),IF(AND(10&gt;=$M$6,E10&gt;=0.5,E11&lt;0.5),10,""),"")</f>
        <v/>
      </c>
      <c r="H10" s="23" t="str">
        <f t="shared" si="2"/>
        <v/>
      </c>
      <c r="I10" s="23">
        <f t="shared" si="3"/>
        <v>-252.16523767160243</v>
      </c>
      <c r="J10" s="25">
        <f t="shared" si="4"/>
        <v>0.21677123517799901</v>
      </c>
      <c r="K10" s="23">
        <f t="shared" si="5"/>
        <v>1</v>
      </c>
      <c r="L10" s="5" t="s">
        <v>60</v>
      </c>
      <c r="M10" s="6">
        <f>IF($M$8&gt;0,INDEX($H$1:$H$23,$M$8),"")</f>
        <v>616.49336437446868</v>
      </c>
    </row>
    <row r="11" spans="1:13" x14ac:dyDescent="0.3">
      <c r="A11" s="21">
        <v>90</v>
      </c>
      <c r="B11" s="22">
        <v>1.1909999999999999E-5</v>
      </c>
      <c r="C11" s="23">
        <f t="shared" si="0"/>
        <v>600.41537135667363</v>
      </c>
      <c r="D11" s="24">
        <f>IF(ISNUMBER(B11),AVERAGE(INDEX($B$2:$B$23,MAX(1,10-semi)):INDEX($B$2:$B$23,MIN($M$3,10+semi))),"")</f>
        <v>1.1909999999999999E-5</v>
      </c>
      <c r="E11" s="25">
        <f t="shared" si="1"/>
        <v>0.42489055208785653</v>
      </c>
      <c r="F11" s="23">
        <f>IF(AND(ISNUMBER(E11),ISNUMBER(E12),ISNUMBER($M$6)),IF(AND(11&lt;$M$6,E11&lt;0.5,E12&gt;=0.5),11,""),"")</f>
        <v>11</v>
      </c>
      <c r="G11" s="23" t="str">
        <f>IF(AND(ISNUMBER(E11),ISNUMBER(E12),ISNUMBER($M$6)),IF(AND(11&gt;=$M$6,E11&gt;=0.5,E12&lt;0.5),11,""),"")</f>
        <v/>
      </c>
      <c r="H11" s="23">
        <f t="shared" si="2"/>
        <v>616.49336437446868</v>
      </c>
      <c r="I11" s="23">
        <f t="shared" si="3"/>
        <v>-185.45241863197202</v>
      </c>
      <c r="J11" s="25">
        <f t="shared" si="4"/>
        <v>0.42489055208785653</v>
      </c>
      <c r="K11" s="23">
        <f t="shared" si="5"/>
        <v>1</v>
      </c>
      <c r="L11" s="5" t="s">
        <v>61</v>
      </c>
      <c r="M11" s="6">
        <f>IF($M$9&gt;0,INDEX($H$1:$H$23,$M$9),"")</f>
        <v>955.24221560282274</v>
      </c>
    </row>
    <row r="12" spans="1:13" ht="15.6" x14ac:dyDescent="0.3">
      <c r="A12" s="21">
        <v>100</v>
      </c>
      <c r="B12" s="22">
        <v>2.0509999999999998E-5</v>
      </c>
      <c r="C12" s="23">
        <f t="shared" si="0"/>
        <v>667.12819039630403</v>
      </c>
      <c r="D12" s="24">
        <f>IF(ISNUMBER(B12),AVERAGE(INDEX($B$2:$B$23,MAX(1,11-semi)):INDEX($B$2:$B$23,MIN($M$3,11+semi))),"")</f>
        <v>2.0509999999999998E-5</v>
      </c>
      <c r="E12" s="25">
        <f t="shared" si="1"/>
        <v>0.73654406513413462</v>
      </c>
      <c r="F12" s="23" t="str">
        <f>IF(AND(ISNUMBER(E12),ISNUMBER(E13),ISNUMBER($M$6)),IF(AND(12&lt;$M$6,E12&lt;0.5,E13&gt;=0.5),12,""),"")</f>
        <v/>
      </c>
      <c r="G12" s="23" t="str">
        <f>IF(AND(ISNUMBER(E12),ISNUMBER(E13),ISNUMBER($M$6)),IF(AND(12&gt;=$M$6,E12&gt;=0.5,E13&lt;0.5),12,""),"")</f>
        <v/>
      </c>
      <c r="H12" s="23" t="str">
        <f t="shared" si="2"/>
        <v/>
      </c>
      <c r="I12" s="23">
        <f t="shared" si="3"/>
        <v>-118.73959959234162</v>
      </c>
      <c r="J12" s="25">
        <f t="shared" si="4"/>
        <v>0.73654406513413462</v>
      </c>
      <c r="K12" s="23">
        <f t="shared" si="5"/>
        <v>1</v>
      </c>
      <c r="L12" s="5" t="s">
        <v>62</v>
      </c>
      <c r="M12" s="18">
        <f>IF(AND($M$8&gt;0,$M$9&gt;0),ABS($M$11-$M$10),"")</f>
        <v>338.74885122835406</v>
      </c>
    </row>
    <row r="13" spans="1:13" ht="15.6" x14ac:dyDescent="0.3">
      <c r="A13" s="21">
        <v>110</v>
      </c>
      <c r="B13" s="22">
        <v>2.6769999999999999E-5</v>
      </c>
      <c r="C13" s="23">
        <f t="shared" si="0"/>
        <v>733.84100943593455</v>
      </c>
      <c r="D13" s="24">
        <f>IF(ISNUMBER(B13),AVERAGE(INDEX($B$2:$B$23,MAX(1,12-semi)):INDEX($B$2:$B$23,MIN($M$3,12+semi))),"")</f>
        <v>2.6769999999999999E-5</v>
      </c>
      <c r="E13" s="25">
        <f t="shared" si="1"/>
        <v>0.96339883160735562</v>
      </c>
      <c r="F13" s="23" t="str">
        <f>IF(AND(ISNUMBER(E13),ISNUMBER(E14),ISNUMBER($M$6)),IF(AND(13&lt;$M$6,E13&lt;0.5,E14&gt;=0.5),13,""),"")</f>
        <v/>
      </c>
      <c r="G13" s="23" t="str">
        <f>IF(AND(ISNUMBER(E13),ISNUMBER(E14),ISNUMBER($M$6)),IF(AND(13&gt;=$M$6,E13&gt;=0.5,E14&lt;0.5),13,""),"")</f>
        <v/>
      </c>
      <c r="H13" s="23" t="str">
        <f t="shared" si="2"/>
        <v/>
      </c>
      <c r="I13" s="23">
        <f t="shared" si="3"/>
        <v>-52.026780552711102</v>
      </c>
      <c r="J13" s="25">
        <f t="shared" si="4"/>
        <v>0.96339883160735562</v>
      </c>
      <c r="K13" s="23">
        <f t="shared" si="5"/>
        <v>1</v>
      </c>
      <c r="L13" s="5" t="s">
        <v>63</v>
      </c>
      <c r="M13" s="18">
        <f>IF(ISNUMBER($M$12),factor_forma*$M$12,"")</f>
        <v>220.18675329843015</v>
      </c>
    </row>
    <row r="14" spans="1:13" x14ac:dyDescent="0.3">
      <c r="A14" s="21">
        <v>120</v>
      </c>
      <c r="B14" s="22">
        <v>2.7780000000000002E-5</v>
      </c>
      <c r="C14" s="23">
        <f t="shared" si="0"/>
        <v>800.55382847556496</v>
      </c>
      <c r="D14" s="24">
        <f>IF(ISNUMBER(B14),AVERAGE(INDEX($B$2:$B$23,MAX(1,13-semi)):INDEX($B$2:$B$23,MIN($M$3,13+semi))),"")</f>
        <v>2.7780000000000002E-5</v>
      </c>
      <c r="E14" s="25">
        <f t="shared" si="1"/>
        <v>1</v>
      </c>
      <c r="F14" s="23" t="str">
        <f>IF(AND(ISNUMBER(E14),ISNUMBER(E15),ISNUMBER($M$6)),IF(AND(14&lt;$M$6,E14&lt;0.5,E15&gt;=0.5),14,""),"")</f>
        <v/>
      </c>
      <c r="G14" s="23" t="str">
        <f>IF(AND(ISNUMBER(E14),ISNUMBER(E15),ISNUMBER($M$6)),IF(AND(14&gt;=$M$6,E14&gt;=0.5,E15&lt;0.5),14,""),"")</f>
        <v/>
      </c>
      <c r="H14" s="23" t="str">
        <f t="shared" si="2"/>
        <v/>
      </c>
      <c r="I14" s="23">
        <f t="shared" si="3"/>
        <v>14.686038486919301</v>
      </c>
      <c r="J14" s="25">
        <f t="shared" si="4"/>
        <v>1</v>
      </c>
      <c r="K14" s="23">
        <f t="shared" si="5"/>
        <v>1</v>
      </c>
      <c r="L14" s="5" t="s">
        <v>64</v>
      </c>
      <c r="M14" s="6">
        <f>IF(ISNUMBER($M$12),0.7071*$M$12,"")</f>
        <v>239.52931270356913</v>
      </c>
    </row>
    <row r="15" spans="1:13" x14ac:dyDescent="0.3">
      <c r="A15" s="21">
        <v>130</v>
      </c>
      <c r="B15" s="22">
        <v>2.3949999999999999E-5</v>
      </c>
      <c r="C15" s="23">
        <f t="shared" si="0"/>
        <v>867.26664751519536</v>
      </c>
      <c r="D15" s="24">
        <f>IF(ISNUMBER(B15),AVERAGE(INDEX($B$2:$B$23,MAX(1,14-semi)):INDEX($B$2:$B$23,MIN($M$3,14+semi))),"")</f>
        <v>2.3949999999999999E-5</v>
      </c>
      <c r="E15" s="25">
        <f t="shared" si="1"/>
        <v>0.86120547035264583</v>
      </c>
      <c r="F15" s="23" t="str">
        <f>IF(AND(ISNUMBER(E15),ISNUMBER(E16),ISNUMBER($M$6)),IF(AND(15&lt;$M$6,E15&lt;0.5,E16&gt;=0.5),15,""),"")</f>
        <v/>
      </c>
      <c r="G15" s="23" t="str">
        <f>IF(AND(ISNUMBER(E15),ISNUMBER(E16),ISNUMBER($M$6)),IF(AND(15&gt;=$M$6,E15&gt;=0.5,E16&lt;0.5),15,""),"")</f>
        <v/>
      </c>
      <c r="H15" s="23" t="str">
        <f t="shared" si="2"/>
        <v/>
      </c>
      <c r="I15" s="23">
        <f t="shared" si="3"/>
        <v>81.398857526549705</v>
      </c>
      <c r="J15" s="25">
        <f t="shared" si="4"/>
        <v>0.86120547035264583</v>
      </c>
      <c r="K15" s="23">
        <f t="shared" si="5"/>
        <v>1</v>
      </c>
      <c r="L15" s="5" t="s">
        <v>65</v>
      </c>
      <c r="M15" s="6">
        <f>IF(ISNUMBER($M$12),($M$10+$M$11)/2,$M$7)</f>
        <v>785.86778998864565</v>
      </c>
    </row>
    <row r="16" spans="1:13" x14ac:dyDescent="0.3">
      <c r="A16" s="21">
        <v>140</v>
      </c>
      <c r="B16" s="22">
        <v>1.6569999999999999E-5</v>
      </c>
      <c r="C16" s="23">
        <f t="shared" si="0"/>
        <v>933.97946655482576</v>
      </c>
      <c r="D16" s="24">
        <f>IF(ISNUMBER(B16),AVERAGE(INDEX($B$2:$B$23,MAX(1,15-semi)):INDEX($B$2:$B$23,MIN($M$3,15+semi))),"")</f>
        <v>1.6569999999999999E-5</v>
      </c>
      <c r="E16" s="25">
        <f t="shared" si="1"/>
        <v>0.59376326962223513</v>
      </c>
      <c r="F16" s="23" t="str">
        <f>IF(AND(ISNUMBER(E16),ISNUMBER(E17),ISNUMBER($M$6)),IF(AND(16&lt;$M$6,E16&lt;0.5,E17&gt;=0.5),16,""),"")</f>
        <v/>
      </c>
      <c r="G16" s="23">
        <f>IF(AND(ISNUMBER(E16),ISNUMBER(E17),ISNUMBER($M$6)),IF(AND(16&gt;=$M$6,E16&gt;=0.5,E17&lt;0.5),16,""),"")</f>
        <v>16</v>
      </c>
      <c r="H16" s="23">
        <f t="shared" si="2"/>
        <v>955.24221560282274</v>
      </c>
      <c r="I16" s="23">
        <f t="shared" si="3"/>
        <v>148.11167656618011</v>
      </c>
      <c r="J16" s="25">
        <f t="shared" si="4"/>
        <v>0.59376326962223513</v>
      </c>
      <c r="K16" s="23">
        <f t="shared" si="5"/>
        <v>1</v>
      </c>
      <c r="L16" s="5" t="s">
        <v>66</v>
      </c>
      <c r="M16" s="10">
        <f>COUNTIF($E$2:$E$23,"&gt;=0.5")</f>
        <v>5</v>
      </c>
    </row>
    <row r="17" spans="1:13" x14ac:dyDescent="0.3">
      <c r="A17" s="21">
        <v>150</v>
      </c>
      <c r="B17" s="22">
        <v>8.4519999999999997E-6</v>
      </c>
      <c r="C17" s="23">
        <f t="shared" si="0"/>
        <v>1000.6922855944562</v>
      </c>
      <c r="D17" s="24">
        <f>IF(ISNUMBER(B17),AVERAGE(INDEX($B$2:$B$23,MAX(1,16-semi)):INDEX($B$2:$B$23,MIN($M$3,16+semi))),"")</f>
        <v>8.4519999999999997E-6</v>
      </c>
      <c r="E17" s="25">
        <f t="shared" si="1"/>
        <v>0.29957684881878333</v>
      </c>
      <c r="F17" s="23" t="str">
        <f>IF(AND(ISNUMBER(E17),ISNUMBER(E18),ISNUMBER($M$6)),IF(AND(17&lt;$M$6,E17&lt;0.5,E18&gt;=0.5),17,""),"")</f>
        <v/>
      </c>
      <c r="G17" s="23" t="str">
        <f>IF(AND(ISNUMBER(E17),ISNUMBER(E18),ISNUMBER($M$6)),IF(AND(17&gt;=$M$6,E17&gt;=0.5,E18&lt;0.5),17,""),"")</f>
        <v/>
      </c>
      <c r="H17" s="23" t="str">
        <f t="shared" si="2"/>
        <v/>
      </c>
      <c r="I17" s="23">
        <f t="shared" si="3"/>
        <v>214.82449560581051</v>
      </c>
      <c r="J17" s="25">
        <f t="shared" si="4"/>
        <v>0.29957684881878333</v>
      </c>
      <c r="K17" s="23">
        <f t="shared" si="5"/>
        <v>1</v>
      </c>
      <c r="L17" s="5" t="s">
        <v>67</v>
      </c>
      <c r="M17" s="6">
        <f>IFERROR($M$15-MIN($C$2:$C$23),"")</f>
        <v>785.86778998864565</v>
      </c>
    </row>
    <row r="18" spans="1:13" x14ac:dyDescent="0.3">
      <c r="A18" s="21">
        <v>160</v>
      </c>
      <c r="B18" s="22">
        <v>4.3170000000000003E-6</v>
      </c>
      <c r="C18" s="23">
        <f t="shared" si="0"/>
        <v>1067.4051046340865</v>
      </c>
      <c r="D18" s="24">
        <f>IF(ISNUMBER(B18),AVERAGE(INDEX($B$2:$B$23,MAX(1,17-semi)):INDEX($B$2:$B$23,MIN($M$3,17+semi))),"")</f>
        <v>4.3170000000000003E-6</v>
      </c>
      <c r="E18" s="25">
        <f t="shared" si="1"/>
        <v>0.14972949109246245</v>
      </c>
      <c r="F18" s="23" t="str">
        <f>IF(AND(ISNUMBER(E18),ISNUMBER(E19),ISNUMBER($M$6)),IF(AND(18&lt;$M$6,E18&lt;0.5,E19&gt;=0.5),18,""),"")</f>
        <v/>
      </c>
      <c r="G18" s="23" t="str">
        <f>IF(AND(ISNUMBER(E18),ISNUMBER(E19),ISNUMBER($M$6)),IF(AND(18&gt;=$M$6,E18&gt;=0.5,E19&lt;0.5),18,""),"")</f>
        <v/>
      </c>
      <c r="H18" s="23" t="str">
        <f t="shared" si="2"/>
        <v/>
      </c>
      <c r="I18" s="23">
        <f t="shared" si="3"/>
        <v>281.5373146454408</v>
      </c>
      <c r="J18" s="25">
        <f t="shared" si="4"/>
        <v>0.14972949109246245</v>
      </c>
      <c r="K18" s="23">
        <f t="shared" si="5"/>
        <v>1</v>
      </c>
      <c r="L18" s="5" t="s">
        <v>68</v>
      </c>
      <c r="M18" s="6">
        <f>IFERROR(MAX($C$2:$C$23)-$M$15,"")</f>
        <v>615.10140984359282</v>
      </c>
    </row>
    <row r="19" spans="1:13" x14ac:dyDescent="0.3">
      <c r="A19" s="21">
        <v>170</v>
      </c>
      <c r="B19" s="22">
        <v>2.1019999999999999E-6</v>
      </c>
      <c r="C19" s="23">
        <f t="shared" si="0"/>
        <v>1134.1179236737169</v>
      </c>
      <c r="D19" s="24">
        <f>IF(ISNUMBER(B19),AVERAGE(INDEX($B$2:$B$23,MAX(1,18-semi)):INDEX($B$2:$B$23,MIN($M$3,18+semi))),"")</f>
        <v>2.1019999999999999E-6</v>
      </c>
      <c r="E19" s="25">
        <f t="shared" si="1"/>
        <v>6.9460592092752418E-2</v>
      </c>
      <c r="F19" s="23" t="str">
        <f>IF(AND(ISNUMBER(E19),ISNUMBER(E20),ISNUMBER($M$6)),IF(AND(19&lt;$M$6,E19&lt;0.5,E20&gt;=0.5),19,""),"")</f>
        <v/>
      </c>
      <c r="G19" s="23" t="str">
        <f>IF(AND(ISNUMBER(E19),ISNUMBER(E20),ISNUMBER($M$6)),IF(AND(19&gt;=$M$6,E19&gt;=0.5,E20&lt;0.5),19,""),"")</f>
        <v/>
      </c>
      <c r="H19" s="23" t="str">
        <f t="shared" si="2"/>
        <v/>
      </c>
      <c r="I19" s="23">
        <f t="shared" si="3"/>
        <v>348.25013368507121</v>
      </c>
      <c r="J19" s="25">
        <f t="shared" si="4"/>
        <v>6.9460592092752418E-2</v>
      </c>
      <c r="K19" s="23">
        <f t="shared" si="5"/>
        <v>1</v>
      </c>
      <c r="L19" s="5" t="s">
        <v>69</v>
      </c>
      <c r="M19" s="10">
        <f>IF($M$3&lt;$M$2,"",IFERROR(INDEX($A$1:$A$23,$M$6),""))</f>
        <v>120</v>
      </c>
    </row>
    <row r="20" spans="1:13" x14ac:dyDescent="0.3">
      <c r="A20" s="21">
        <v>180</v>
      </c>
      <c r="B20" s="22">
        <v>1.1349999999999999E-6</v>
      </c>
      <c r="C20" s="23">
        <f t="shared" si="0"/>
        <v>1200.8307427133473</v>
      </c>
      <c r="D20" s="24">
        <f>IF(ISNUMBER(B20),AVERAGE(INDEX($B$2:$B$23,MAX(1,19-semi)):INDEX($B$2:$B$23,MIN($M$3,19+semi))),"")</f>
        <v>1.1349999999999999E-6</v>
      </c>
      <c r="E20" s="25">
        <f t="shared" si="1"/>
        <v>3.4417691265339528E-2</v>
      </c>
      <c r="F20" s="23" t="str">
        <f>IF(AND(ISNUMBER(E20),ISNUMBER(E21),ISNUMBER($M$6)),IF(AND(20&lt;$M$6,E20&lt;0.5,E21&gt;=0.5),20,""),"")</f>
        <v/>
      </c>
      <c r="G20" s="23" t="str">
        <f>IF(AND(ISNUMBER(E20),ISNUMBER(E21),ISNUMBER($M$6)),IF(AND(20&gt;=$M$6,E20&gt;=0.5,E21&lt;0.5),20,""),"")</f>
        <v/>
      </c>
      <c r="H20" s="23" t="str">
        <f t="shared" si="2"/>
        <v/>
      </c>
      <c r="I20" s="23">
        <f t="shared" si="3"/>
        <v>414.96295272470161</v>
      </c>
      <c r="J20" s="25">
        <f t="shared" si="4"/>
        <v>3.4417691265339528E-2</v>
      </c>
      <c r="K20" s="23">
        <f t="shared" si="5"/>
        <v>1</v>
      </c>
      <c r="L20" s="5" t="s">
        <v>70</v>
      </c>
      <c r="M20" s="20" t="str">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Aviso: el pico está corrido; el barrido no llega a una de las alas</v>
      </c>
    </row>
    <row r="21" spans="1:13" x14ac:dyDescent="0.3">
      <c r="A21" s="21">
        <v>190</v>
      </c>
      <c r="B21" s="22">
        <v>6.8700000000000005E-7</v>
      </c>
      <c r="C21" s="23">
        <f t="shared" si="0"/>
        <v>1267.5435617529777</v>
      </c>
      <c r="D21" s="24">
        <f>IF(ISNUMBER(B21),AVERAGE(INDEX($B$2:$B$23,MAX(1,20-semi)):INDEX($B$2:$B$23,MIN($M$3,20+semi))),"")</f>
        <v>6.8700000000000005E-7</v>
      </c>
      <c r="E21" s="25">
        <f t="shared" si="1"/>
        <v>1.8182717562463653E-2</v>
      </c>
      <c r="F21" s="23" t="str">
        <f>IF(AND(ISNUMBER(E21),ISNUMBER(E22),ISNUMBER($M$6)),IF(AND(21&lt;$M$6,E21&lt;0.5,E22&gt;=0.5),21,""),"")</f>
        <v/>
      </c>
      <c r="G21" s="23" t="str">
        <f>IF(AND(ISNUMBER(E21),ISNUMBER(E22),ISNUMBER($M$6)),IF(AND(21&gt;=$M$6,E21&gt;=0.5,E22&lt;0.5),21,""),"")</f>
        <v/>
      </c>
      <c r="H21" s="23" t="str">
        <f t="shared" si="2"/>
        <v/>
      </c>
      <c r="I21" s="23">
        <f t="shared" si="3"/>
        <v>481.67577176433201</v>
      </c>
      <c r="J21" s="25">
        <f t="shared" si="4"/>
        <v>1.8182717562463653E-2</v>
      </c>
      <c r="K21" s="23">
        <f t="shared" si="5"/>
        <v>1</v>
      </c>
    </row>
    <row r="22" spans="1:13" x14ac:dyDescent="0.3">
      <c r="A22" s="21">
        <v>200</v>
      </c>
      <c r="B22" s="22">
        <v>4.1940000000000001E-7</v>
      </c>
      <c r="C22" s="23">
        <f t="shared" si="0"/>
        <v>1334.2563807926081</v>
      </c>
      <c r="D22" s="24">
        <f>IF(ISNUMBER(B22),AVERAGE(INDEX($B$2:$B$23,MAX(1,21-semi)):INDEX($B$2:$B$23,MIN($M$3,21+semi))),"")</f>
        <v>4.1940000000000001E-7</v>
      </c>
      <c r="E22" s="25">
        <f t="shared" si="1"/>
        <v>8.4852198774422547E-3</v>
      </c>
      <c r="F22" s="23" t="str">
        <f>IF(AND(ISNUMBER(E22),ISNUMBER(E23),ISNUMBER($M$6)),IF(AND(22&lt;$M$6,E22&lt;0.5,E23&gt;=0.5),22,""),"")</f>
        <v/>
      </c>
      <c r="G22" s="23" t="str">
        <f>IF(AND(ISNUMBER(E22),ISNUMBER(E23),ISNUMBER($M$6)),IF(AND(22&gt;=$M$6,E22&gt;=0.5,E23&lt;0.5),22,""),"")</f>
        <v/>
      </c>
      <c r="H22" s="23" t="str">
        <f t="shared" si="2"/>
        <v/>
      </c>
      <c r="I22" s="23">
        <f t="shared" si="3"/>
        <v>548.38859080396242</v>
      </c>
      <c r="J22" s="25">
        <f t="shared" si="4"/>
        <v>8.4852198774422547E-3</v>
      </c>
      <c r="K22" s="23">
        <f t="shared" si="5"/>
        <v>1</v>
      </c>
      <c r="L22" s="2" t="s">
        <v>73</v>
      </c>
    </row>
    <row r="23" spans="1:13" x14ac:dyDescent="0.3">
      <c r="A23" s="21">
        <v>210</v>
      </c>
      <c r="B23" s="22">
        <v>2.5170000000000001E-7</v>
      </c>
      <c r="C23" s="23">
        <f t="shared" si="0"/>
        <v>1400.9691998322385</v>
      </c>
      <c r="D23" s="24">
        <f>IF(ISNUMBER(B23),AVERAGE(INDEX($B$2:$B$23,MAX(1,22-semi)):INDEX($B$2:$B$23,MIN($M$3,22+semi))),"")</f>
        <v>2.5170000000000001E-7</v>
      </c>
      <c r="E23" s="25">
        <f t="shared" si="1"/>
        <v>2.407976373039833E-3</v>
      </c>
      <c r="F23" s="23" t="str">
        <f>IF(AND(ISNUMBER(E23),ISNUMBER(E24),ISNUMBER($M$6)),IF(AND(23&lt;$M$6,E23&lt;0.5,E24&gt;=0.5),23,""),"")</f>
        <v/>
      </c>
      <c r="G23" s="23" t="str">
        <f>IF(AND(ISNUMBER(E23),ISNUMBER(E24),ISNUMBER($M$6)),IF(AND(23&gt;=$M$6,E23&gt;=0.5,E24&lt;0.5),23,""),"")</f>
        <v/>
      </c>
      <c r="H23" s="23" t="str">
        <f t="shared" si="2"/>
        <v/>
      </c>
      <c r="I23" s="23">
        <f t="shared" si="3"/>
        <v>615.10140984359282</v>
      </c>
      <c r="J23" s="25">
        <f t="shared" si="4"/>
        <v>2.407976373039833E-3</v>
      </c>
      <c r="K23" s="23" t="str">
        <f t="shared" si="5"/>
        <v/>
      </c>
      <c r="L23" s="23">
        <f>IF(ISNUMBER($M$12),$M$10-$M$15,NA())</f>
        <v>-169.37442561417697</v>
      </c>
      <c r="M23" s="23">
        <f>IF(ISNUMBER($M$12),0.5,NA())</f>
        <v>0.5</v>
      </c>
    </row>
    <row r="24" spans="1:13" x14ac:dyDescent="0.3">
      <c r="L24" s="23">
        <f>IF(ISNUMBER($M$12),$M$11-$M$15,NA())</f>
        <v>169.37442561417708</v>
      </c>
      <c r="M24" s="23">
        <f>IF(ISNUMBER($M$12),0.5,NA())</f>
        <v>0.5</v>
      </c>
    </row>
    <row r="26" spans="1:13" ht="26.4" x14ac:dyDescent="0.3">
      <c r="L26" s="7" t="s">
        <v>74</v>
      </c>
    </row>
  </sheetData>
  <sheetProtection sheet="1" objects="1" scenarios="1" formatColumns="0" formatRows="0"/>
  <conditionalFormatting sqref="I2:J23">
    <cfRule type="containsErrors" dxfId="39" priority="4">
      <formula>ISERROR(I2)</formula>
    </cfRule>
  </conditionalFormatting>
  <conditionalFormatting sqref="L23:M24">
    <cfRule type="containsErrors" dxfId="38" priority="5">
      <formula>ISERROR(L23)</formula>
    </cfRule>
  </conditionalFormatting>
  <conditionalFormatting sqref="M20">
    <cfRule type="cellIs" dxfId="37" priority="1" operator="equal">
      <formula>"OK"</formula>
    </cfRule>
    <cfRule type="beginsWith" dxfId="36" priority="2" operator="beginsWith" text="Aviso">
      <formula>LEFT(M20,5)="Aviso"</formula>
    </cfRule>
    <cfRule type="beginsWith" dxfId="35"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xr:uid="{00000000-0002-0000-0800-000000000000}">
      <formula1>-1</formula1>
      <formula2>1</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6"/>
  <sheetViews>
    <sheetView workbookViewId="0">
      <pane ySplit="1" topLeftCell="A38" activePane="bottomLeft" state="frozen"/>
      <selection pane="bottomLeft" activeCell="C23" sqref="C23"/>
    </sheetView>
  </sheetViews>
  <sheetFormatPr baseColWidth="10" defaultColWidth="8.88671875" defaultRowHeight="14.4" x14ac:dyDescent="0.3"/>
  <cols>
    <col min="1" max="1" width="14.6640625" customWidth="1"/>
    <col min="2" max="2" width="15.6640625" customWidth="1"/>
    <col min="3" max="5" width="12.6640625" customWidth="1"/>
    <col min="6" max="8" width="9.6640625" customWidth="1"/>
    <col min="9" max="10" width="11.6640625" customWidth="1"/>
    <col min="11" max="11" width="7.6640625" customWidth="1"/>
    <col min="12" max="12" width="42.6640625" customWidth="1"/>
    <col min="13" max="13" width="14.6640625" customWidth="1"/>
  </cols>
  <sheetData>
    <row r="1" spans="1:13" ht="42" customHeight="1" x14ac:dyDescent="0.3">
      <c r="A1" s="4" t="s">
        <v>41</v>
      </c>
      <c r="B1" s="4" t="s">
        <v>42</v>
      </c>
      <c r="C1" s="4" t="s">
        <v>43</v>
      </c>
      <c r="D1" s="4" t="s">
        <v>44</v>
      </c>
      <c r="E1" s="4" t="s">
        <v>45</v>
      </c>
      <c r="F1" s="4" t="s">
        <v>46</v>
      </c>
      <c r="G1" s="4" t="s">
        <v>47</v>
      </c>
      <c r="H1" s="4" t="s">
        <v>48</v>
      </c>
      <c r="I1" s="4" t="s">
        <v>49</v>
      </c>
      <c r="J1" s="4" t="s">
        <v>50</v>
      </c>
      <c r="K1" s="4" t="s">
        <v>51</v>
      </c>
      <c r="L1" s="4" t="s">
        <v>79</v>
      </c>
      <c r="M1" s="4" t="s">
        <v>72</v>
      </c>
    </row>
    <row r="2" spans="1:13" x14ac:dyDescent="0.3">
      <c r="A2" s="21">
        <v>0</v>
      </c>
      <c r="B2" s="22">
        <v>1.398E-8</v>
      </c>
      <c r="C2" s="23">
        <f t="shared" ref="C2:C23" si="0">IF(ISNUMBER(A2),A2*conv,"")</f>
        <v>0</v>
      </c>
      <c r="D2" s="24">
        <f>IF(ISNUMBER(B2),AVERAGE(INDEX($B$2:$B$23,MAX(1,1-semi)):INDEX($B$2:$B$23,MIN($M$3,1+semi))),"")</f>
        <v>1.398E-8</v>
      </c>
      <c r="E2" s="25">
        <f t="shared" ref="E2:E23" si="1">IF(AND(ISNUMBER(D2),ISNUMBER($M$4)),(D2-$M$4)/($M$5-$M$4),"")</f>
        <v>-2.2700447549914102E-3</v>
      </c>
      <c r="F2" s="23" t="str">
        <f>IF(AND(ISNUMBER(E2),ISNUMBER(E3),ISNUMBER($M$6)),IF(AND(2&lt;$M$6,E2&lt;0.5,E3&gt;=0.5),2,""),"")</f>
        <v/>
      </c>
      <c r="G2" s="23" t="str">
        <f>IF(AND(ISNUMBER(E2),ISNUMBER(E3),ISNUMBER($M$6)),IF(AND(2&gt;=$M$6,E2&gt;=0.5,E3&lt;0.5),2,""),"")</f>
        <v/>
      </c>
      <c r="H2" s="23" t="str">
        <f t="shared" ref="H2:H23" si="2">IF(OR(ISNUMBER(F2),ISNUMBER(G2)),C2+(0.5-E2)*(C3-C2)/(E3-E2),"")</f>
        <v/>
      </c>
      <c r="I2" s="23">
        <f t="shared" ref="I2:I23" si="3">IF(AND(ISNUMBER(E2),ISNUMBER($M$15)),C2-$M$15,NA())</f>
        <v>-783.6049805074324</v>
      </c>
      <c r="J2" s="25">
        <f t="shared" ref="J2:J23" si="4">IF(ISNUMBER(E2),E2,NA())</f>
        <v>-2.2700447549914102E-3</v>
      </c>
      <c r="K2" s="23">
        <f t="shared" ref="K2:K23" si="5">IF(AND(ISNUMBER(C2),ISNUMBER(C3)),SIGN(C3-C2),"")</f>
        <v>1</v>
      </c>
      <c r="L2" s="5" t="s">
        <v>52</v>
      </c>
      <c r="M2" s="10">
        <f>COUNT($A$2:$A$23)</f>
        <v>22</v>
      </c>
    </row>
    <row r="3" spans="1:13" x14ac:dyDescent="0.3">
      <c r="A3" s="21">
        <v>10</v>
      </c>
      <c r="B3" s="22">
        <v>1.3979999999999999E-7</v>
      </c>
      <c r="C3" s="23">
        <f t="shared" si="0"/>
        <v>66.712819039630403</v>
      </c>
      <c r="D3" s="24">
        <f>IF(ISNUMBER(B3),AVERAGE(INDEX($B$2:$B$23,MAX(1,2-semi)):INDEX($B$2:$B$23,MIN($M$3,2+semi))),"")</f>
        <v>1.3979999999999999E-7</v>
      </c>
      <c r="E3" s="25">
        <f t="shared" si="1"/>
        <v>2.2700447549914102E-3</v>
      </c>
      <c r="F3" s="23" t="str">
        <f>IF(AND(ISNUMBER(E3),ISNUMBER(E4),ISNUMBER($M$6)),IF(AND(3&lt;$M$6,E3&lt;0.5,E4&gt;=0.5),3,""),"")</f>
        <v/>
      </c>
      <c r="G3" s="23" t="str">
        <f>IF(AND(ISNUMBER(E3),ISNUMBER(E4),ISNUMBER($M$6)),IF(AND(3&gt;=$M$6,E3&gt;=0.5,E4&lt;0.5),3,""),"")</f>
        <v/>
      </c>
      <c r="H3" s="23" t="str">
        <f t="shared" si="2"/>
        <v/>
      </c>
      <c r="I3" s="23">
        <f t="shared" si="3"/>
        <v>-716.892161467802</v>
      </c>
      <c r="J3" s="25">
        <f t="shared" si="4"/>
        <v>2.2700447549914102E-3</v>
      </c>
      <c r="K3" s="23">
        <f t="shared" si="5"/>
        <v>1</v>
      </c>
      <c r="L3" s="5" t="s">
        <v>53</v>
      </c>
      <c r="M3" s="10">
        <f>COUNT($B$2:$B$23)</f>
        <v>22</v>
      </c>
    </row>
    <row r="4" spans="1:13" x14ac:dyDescent="0.3">
      <c r="A4" s="21">
        <v>20</v>
      </c>
      <c r="B4" s="22">
        <v>2.3769999999999999E-7</v>
      </c>
      <c r="C4" s="23">
        <f t="shared" si="0"/>
        <v>133.42563807926081</v>
      </c>
      <c r="D4" s="24">
        <f>IF(ISNUMBER(B4),AVERAGE(INDEX($B$2:$B$23,MAX(1,3-semi)):INDEX($B$2:$B$23,MIN($M$3,3+semi))),"")</f>
        <v>2.3769999999999999E-7</v>
      </c>
      <c r="E4" s="25">
        <f t="shared" si="1"/>
        <v>5.8026688451783288E-3</v>
      </c>
      <c r="F4" s="23" t="str">
        <f>IF(AND(ISNUMBER(E4),ISNUMBER(E5),ISNUMBER($M$6)),IF(AND(4&lt;$M$6,E4&lt;0.5,E5&gt;=0.5),4,""),"")</f>
        <v/>
      </c>
      <c r="G4" s="23" t="str">
        <f>IF(AND(ISNUMBER(E4),ISNUMBER(E5),ISNUMBER($M$6)),IF(AND(4&gt;=$M$6,E4&gt;=0.5,E5&lt;0.5),4,""),"")</f>
        <v/>
      </c>
      <c r="H4" s="23" t="str">
        <f t="shared" si="2"/>
        <v/>
      </c>
      <c r="I4" s="23">
        <f t="shared" si="3"/>
        <v>-650.17934242817159</v>
      </c>
      <c r="J4" s="25">
        <f t="shared" si="4"/>
        <v>5.8026688451783288E-3</v>
      </c>
      <c r="K4" s="23">
        <f t="shared" si="5"/>
        <v>1</v>
      </c>
      <c r="L4" s="5" t="s">
        <v>54</v>
      </c>
      <c r="M4" s="26">
        <f>IF($M$3&lt;$M$2,"",(AVERAGE(INDEX($B$2:$B$23,1):INDEX($B$2:$B$23,n_fondo))+AVERAGE(INDEX($B$2:$B$23,$M$3-n_fondo+1):INDEX($B$2:$B$23,$M$3)))/2)</f>
        <v>7.6889999999999996E-8</v>
      </c>
    </row>
    <row r="5" spans="1:13" x14ac:dyDescent="0.3">
      <c r="A5" s="21">
        <v>30</v>
      </c>
      <c r="B5" s="22">
        <v>1.6780000000000001E-7</v>
      </c>
      <c r="C5" s="23">
        <f t="shared" si="0"/>
        <v>200.13845711889124</v>
      </c>
      <c r="D5" s="24">
        <f>IF(ISNUMBER(B5),AVERAGE(INDEX($B$2:$B$23,MAX(1,4-semi)):INDEX($B$2:$B$23,MIN($M$3,4+semi))),"")</f>
        <v>1.6780000000000001E-7</v>
      </c>
      <c r="E5" s="25">
        <f t="shared" si="1"/>
        <v>3.2803968951878736E-3</v>
      </c>
      <c r="F5" s="23" t="str">
        <f>IF(AND(ISNUMBER(E5),ISNUMBER(E6),ISNUMBER($M$6)),IF(AND(5&lt;$M$6,E5&lt;0.5,E6&gt;=0.5),5,""),"")</f>
        <v/>
      </c>
      <c r="G5" s="23" t="str">
        <f>IF(AND(ISNUMBER(E5),ISNUMBER(E6),ISNUMBER($M$6)),IF(AND(5&gt;=$M$6,E5&gt;=0.5,E6&lt;0.5),5,""),"")</f>
        <v/>
      </c>
      <c r="H5" s="23" t="str">
        <f t="shared" si="2"/>
        <v/>
      </c>
      <c r="I5" s="23">
        <f t="shared" si="3"/>
        <v>-583.46652338854119</v>
      </c>
      <c r="J5" s="25">
        <f t="shared" si="4"/>
        <v>3.2803968951878736E-3</v>
      </c>
      <c r="K5" s="23">
        <f t="shared" si="5"/>
        <v>1</v>
      </c>
      <c r="L5" s="5" t="s">
        <v>55</v>
      </c>
      <c r="M5" s="26">
        <f>IF($M$3&lt;$M$2,"",MAX($D$2:$D$23))</f>
        <v>2.779E-5</v>
      </c>
    </row>
    <row r="6" spans="1:13" x14ac:dyDescent="0.3">
      <c r="A6" s="21">
        <v>40</v>
      </c>
      <c r="B6" s="22">
        <v>4.1940000000000001E-7</v>
      </c>
      <c r="C6" s="23">
        <f t="shared" si="0"/>
        <v>266.85127615852161</v>
      </c>
      <c r="D6" s="24">
        <f>IF(ISNUMBER(B6),AVERAGE(INDEX($B$2:$B$23,MAX(1,5-semi)):INDEX($B$2:$B$23,MIN($M$3,5+semi))),"")</f>
        <v>4.1940000000000001E-7</v>
      </c>
      <c r="E6" s="25">
        <f t="shared" si="1"/>
        <v>1.2359132554953233E-2</v>
      </c>
      <c r="F6" s="23" t="str">
        <f>IF(AND(ISNUMBER(E6),ISNUMBER(E7),ISNUMBER($M$6)),IF(AND(6&lt;$M$6,E6&lt;0.5,E7&gt;=0.5),6,""),"")</f>
        <v/>
      </c>
      <c r="G6" s="23" t="str">
        <f>IF(AND(ISNUMBER(E6),ISNUMBER(E7),ISNUMBER($M$6)),IF(AND(6&gt;=$M$6,E6&gt;=0.5,E7&lt;0.5),6,""),"")</f>
        <v/>
      </c>
      <c r="H6" s="23" t="str">
        <f t="shared" si="2"/>
        <v/>
      </c>
      <c r="I6" s="23">
        <f t="shared" si="3"/>
        <v>-516.75370434891079</v>
      </c>
      <c r="J6" s="25">
        <f t="shared" si="4"/>
        <v>1.2359132554953233E-2</v>
      </c>
      <c r="K6" s="23">
        <f t="shared" si="5"/>
        <v>1</v>
      </c>
      <c r="L6" s="5" t="s">
        <v>56</v>
      </c>
      <c r="M6" s="10">
        <f>IFERROR(MATCH($M$5,$D$2:$D$23,0)+1,"")</f>
        <v>14</v>
      </c>
    </row>
    <row r="7" spans="1:13" x14ac:dyDescent="0.3">
      <c r="A7" s="21">
        <v>50</v>
      </c>
      <c r="B7" s="22">
        <v>7.2920000000000004E-7</v>
      </c>
      <c r="C7" s="23">
        <f t="shared" si="0"/>
        <v>333.56409519815202</v>
      </c>
      <c r="D7" s="24">
        <f>IF(ISNUMBER(B7),AVERAGE(INDEX($B$2:$B$23,MAX(1,6-semi)):INDEX($B$2:$B$23,MIN($M$3,6+semi))),"")</f>
        <v>7.2920000000000004E-7</v>
      </c>
      <c r="E7" s="25">
        <f t="shared" si="1"/>
        <v>2.3537957306126955E-2</v>
      </c>
      <c r="F7" s="23" t="str">
        <f>IF(AND(ISNUMBER(E7),ISNUMBER(E8),ISNUMBER($M$6)),IF(AND(7&lt;$M$6,E7&lt;0.5,E8&gt;=0.5),7,""),"")</f>
        <v/>
      </c>
      <c r="G7" s="23" t="str">
        <f>IF(AND(ISNUMBER(E7),ISNUMBER(E8),ISNUMBER($M$6)),IF(AND(7&gt;=$M$6,E7&gt;=0.5,E8&lt;0.5),7,""),"")</f>
        <v/>
      </c>
      <c r="H7" s="23" t="str">
        <f t="shared" si="2"/>
        <v/>
      </c>
      <c r="I7" s="23">
        <f t="shared" si="3"/>
        <v>-450.04088530928038</v>
      </c>
      <c r="J7" s="25">
        <f t="shared" si="4"/>
        <v>2.3537957306126955E-2</v>
      </c>
      <c r="K7" s="23">
        <f t="shared" si="5"/>
        <v>1</v>
      </c>
      <c r="L7" s="5" t="s">
        <v>57</v>
      </c>
      <c r="M7" s="6">
        <f>IFERROR(INDEX($C$1:$C$23,$M$6),"")</f>
        <v>800.55382847556496</v>
      </c>
    </row>
    <row r="8" spans="1:13" x14ac:dyDescent="0.3">
      <c r="A8" s="21">
        <v>60</v>
      </c>
      <c r="B8" s="22">
        <v>1.514E-6</v>
      </c>
      <c r="C8" s="23">
        <f t="shared" si="0"/>
        <v>400.27691423778248</v>
      </c>
      <c r="D8" s="24">
        <f>IF(ISNUMBER(B8),AVERAGE(INDEX($B$2:$B$23,MAX(1,7-semi)):INDEX($B$2:$B$23,MIN($M$3,7+semi))),"")</f>
        <v>1.514E-6</v>
      </c>
      <c r="E8" s="25">
        <f t="shared" si="1"/>
        <v>5.1856684435633529E-2</v>
      </c>
      <c r="F8" s="23" t="str">
        <f>IF(AND(ISNUMBER(E8),ISNUMBER(E9),ISNUMBER($M$6)),IF(AND(8&lt;$M$6,E8&lt;0.5,E9&gt;=0.5),8,""),"")</f>
        <v/>
      </c>
      <c r="G8" s="23" t="str">
        <f>IF(AND(ISNUMBER(E8),ISNUMBER(E9),ISNUMBER($M$6)),IF(AND(8&gt;=$M$6,E8&gt;=0.5,E9&lt;0.5),8,""),"")</f>
        <v/>
      </c>
      <c r="H8" s="23" t="str">
        <f t="shared" si="2"/>
        <v/>
      </c>
      <c r="I8" s="23">
        <f t="shared" si="3"/>
        <v>-383.32806626964992</v>
      </c>
      <c r="J8" s="25">
        <f t="shared" si="4"/>
        <v>5.1856684435633529E-2</v>
      </c>
      <c r="K8" s="23">
        <f t="shared" si="5"/>
        <v>1</v>
      </c>
      <c r="L8" s="5" t="s">
        <v>58</v>
      </c>
      <c r="M8" s="10">
        <f>MAX($F$2:$F$23)</f>
        <v>11</v>
      </c>
    </row>
    <row r="9" spans="1:13" x14ac:dyDescent="0.3">
      <c r="A9" s="21">
        <v>70</v>
      </c>
      <c r="B9" s="22">
        <v>3.0699999999999998E-6</v>
      </c>
      <c r="C9" s="23">
        <f t="shared" si="0"/>
        <v>466.98973327741288</v>
      </c>
      <c r="D9" s="24">
        <f>IF(ISNUMBER(B9),AVERAGE(INDEX($B$2:$B$23,MAX(1,8-semi)):INDEX($B$2:$B$23,MIN($M$3,8+semi))),"")</f>
        <v>3.0699999999999998E-6</v>
      </c>
      <c r="E9" s="25">
        <f t="shared" si="1"/>
        <v>0.10800339622655125</v>
      </c>
      <c r="F9" s="23" t="str">
        <f>IF(AND(ISNUMBER(E9),ISNUMBER(E10),ISNUMBER($M$6)),IF(AND(9&lt;$M$6,E9&lt;0.5,E10&gt;=0.5),9,""),"")</f>
        <v/>
      </c>
      <c r="G9" s="23" t="str">
        <f>IF(AND(ISNUMBER(E9),ISNUMBER(E10),ISNUMBER($M$6)),IF(AND(9&gt;=$M$6,E9&gt;=0.5,E10&lt;0.5),9,""),"")</f>
        <v/>
      </c>
      <c r="H9" s="23" t="str">
        <f t="shared" si="2"/>
        <v/>
      </c>
      <c r="I9" s="23">
        <f t="shared" si="3"/>
        <v>-316.61524723001952</v>
      </c>
      <c r="J9" s="25">
        <f t="shared" si="4"/>
        <v>0.10800339622655125</v>
      </c>
      <c r="K9" s="23">
        <f t="shared" si="5"/>
        <v>1</v>
      </c>
      <c r="L9" s="5" t="s">
        <v>59</v>
      </c>
      <c r="M9" s="10">
        <f>MIN($G$2:$G$23)</f>
        <v>16</v>
      </c>
    </row>
    <row r="10" spans="1:13" x14ac:dyDescent="0.3">
      <c r="A10" s="21">
        <v>80</v>
      </c>
      <c r="B10" s="22">
        <v>6.1670000000000004E-6</v>
      </c>
      <c r="C10" s="23">
        <f t="shared" si="0"/>
        <v>533.70255231704323</v>
      </c>
      <c r="D10" s="24">
        <f>IF(ISNUMBER(B10),AVERAGE(INDEX($B$2:$B$23,MAX(1,9-semi)):INDEX($B$2:$B$23,MIN($M$3,9+semi))),"")</f>
        <v>6.1670000000000004E-6</v>
      </c>
      <c r="E10" s="25">
        <f t="shared" si="1"/>
        <v>0.21975555973328145</v>
      </c>
      <c r="F10" s="23" t="str">
        <f>IF(AND(ISNUMBER(E10),ISNUMBER(E11),ISNUMBER($M$6)),IF(AND(10&lt;$M$6,E10&lt;0.5,E11&gt;=0.5),10,""),"")</f>
        <v/>
      </c>
      <c r="G10" s="23" t="str">
        <f>IF(AND(ISNUMBER(E10),ISNUMBER(E11),ISNUMBER($M$6)),IF(AND(10&gt;=$M$6,E10&gt;=0.5,E11&lt;0.5),10,""),"")</f>
        <v/>
      </c>
      <c r="H10" s="23" t="str">
        <f t="shared" si="2"/>
        <v/>
      </c>
      <c r="I10" s="23">
        <f t="shared" si="3"/>
        <v>-249.90242819038917</v>
      </c>
      <c r="J10" s="25">
        <f t="shared" si="4"/>
        <v>0.21975555973328145</v>
      </c>
      <c r="K10" s="23">
        <f t="shared" si="5"/>
        <v>1</v>
      </c>
      <c r="L10" s="5" t="s">
        <v>60</v>
      </c>
      <c r="M10" s="6">
        <f>IF($M$8&gt;0,INDEX($H$1:$H$23,$M$8),"")</f>
        <v>610.29026903448062</v>
      </c>
    </row>
    <row r="11" spans="1:13" x14ac:dyDescent="0.3">
      <c r="A11" s="21">
        <v>90</v>
      </c>
      <c r="B11" s="22">
        <v>1.277E-5</v>
      </c>
      <c r="C11" s="23">
        <f t="shared" si="0"/>
        <v>600.41537135667363</v>
      </c>
      <c r="D11" s="24">
        <f>IF(ISNUMBER(B11),AVERAGE(INDEX($B$2:$B$23,MAX(1,10-semi)):INDEX($B$2:$B$23,MIN($M$3,10+semi))),"")</f>
        <v>1.277E-5</v>
      </c>
      <c r="E11" s="25">
        <f t="shared" si="1"/>
        <v>0.45801824479461162</v>
      </c>
      <c r="F11" s="23">
        <f>IF(AND(ISNUMBER(E11),ISNUMBER(E12),ISNUMBER($M$6)),IF(AND(11&lt;$M$6,E11&lt;0.5,E12&gt;=0.5),11,""),"")</f>
        <v>11</v>
      </c>
      <c r="G11" s="23" t="str">
        <f>IF(AND(ISNUMBER(E11),ISNUMBER(E12),ISNUMBER($M$6)),IF(AND(11&gt;=$M$6,E11&gt;=0.5,E12&lt;0.5),11,""),"")</f>
        <v/>
      </c>
      <c r="H11" s="23">
        <f t="shared" si="2"/>
        <v>610.29026903448062</v>
      </c>
      <c r="I11" s="23">
        <f t="shared" si="3"/>
        <v>-183.18960915075877</v>
      </c>
      <c r="J11" s="25">
        <f t="shared" si="4"/>
        <v>0.45801824479461162</v>
      </c>
      <c r="K11" s="23">
        <f t="shared" si="5"/>
        <v>1</v>
      </c>
      <c r="L11" s="5" t="s">
        <v>61</v>
      </c>
      <c r="M11" s="6">
        <f>IF($M$9&gt;0,INDEX($H$1:$H$23,$M$9),"")</f>
        <v>956.9196919803843</v>
      </c>
    </row>
    <row r="12" spans="1:13" ht="15.6" x14ac:dyDescent="0.3">
      <c r="A12" s="21">
        <v>100</v>
      </c>
      <c r="B12" s="22">
        <v>2.0630000000000001E-5</v>
      </c>
      <c r="C12" s="23">
        <f t="shared" si="0"/>
        <v>667.12819039630403</v>
      </c>
      <c r="D12" s="24">
        <f>IF(ISNUMBER(B12),AVERAGE(INDEX($B$2:$B$23,MAX(1,11-semi)):INDEX($B$2:$B$23,MIN($M$3,11+semi))),"")</f>
        <v>2.0630000000000001E-5</v>
      </c>
      <c r="E12" s="25">
        <f t="shared" si="1"/>
        <v>0.74163852414976161</v>
      </c>
      <c r="F12" s="23" t="str">
        <f>IF(AND(ISNUMBER(E12),ISNUMBER(E13),ISNUMBER($M$6)),IF(AND(12&lt;$M$6,E12&lt;0.5,E13&gt;=0.5),12,""),"")</f>
        <v/>
      </c>
      <c r="G12" s="23" t="str">
        <f>IF(AND(ISNUMBER(E12),ISNUMBER(E13),ISNUMBER($M$6)),IF(AND(12&gt;=$M$6,E12&gt;=0.5,E13&lt;0.5),12,""),"")</f>
        <v/>
      </c>
      <c r="H12" s="23" t="str">
        <f t="shared" si="2"/>
        <v/>
      </c>
      <c r="I12" s="23">
        <f t="shared" si="3"/>
        <v>-116.47679011112837</v>
      </c>
      <c r="J12" s="25">
        <f t="shared" si="4"/>
        <v>0.74163852414976161</v>
      </c>
      <c r="K12" s="23">
        <f t="shared" si="5"/>
        <v>1</v>
      </c>
      <c r="L12" s="5" t="s">
        <v>62</v>
      </c>
      <c r="M12" s="18">
        <f>IF(AND($M$8&gt;0,$M$9&gt;0),ABS($M$11-$M$10),"")</f>
        <v>346.62942294590368</v>
      </c>
    </row>
    <row r="13" spans="1:13" ht="15.6" x14ac:dyDescent="0.3">
      <c r="A13" s="21">
        <v>110</v>
      </c>
      <c r="B13" s="22">
        <v>2.6930000000000001E-5</v>
      </c>
      <c r="C13" s="23">
        <f t="shared" si="0"/>
        <v>733.84100943593455</v>
      </c>
      <c r="D13" s="24">
        <f>IF(ISNUMBER(B13),AVERAGE(INDEX($B$2:$B$23,MAX(1,12-semi)):INDEX($B$2:$B$23,MIN($M$3,12+semi))),"")</f>
        <v>2.6930000000000001E-5</v>
      </c>
      <c r="E13" s="25">
        <f t="shared" si="1"/>
        <v>0.96896775569396587</v>
      </c>
      <c r="F13" s="23" t="str">
        <f>IF(AND(ISNUMBER(E13),ISNUMBER(E14),ISNUMBER($M$6)),IF(AND(13&lt;$M$6,E13&lt;0.5,E14&gt;=0.5),13,""),"")</f>
        <v/>
      </c>
      <c r="G13" s="23" t="str">
        <f>IF(AND(ISNUMBER(E13),ISNUMBER(E14),ISNUMBER($M$6)),IF(AND(13&gt;=$M$6,E13&gt;=0.5,E14&lt;0.5),13,""),"")</f>
        <v/>
      </c>
      <c r="H13" s="23" t="str">
        <f t="shared" si="2"/>
        <v/>
      </c>
      <c r="I13" s="23">
        <f t="shared" si="3"/>
        <v>-49.763971071497849</v>
      </c>
      <c r="J13" s="25">
        <f t="shared" si="4"/>
        <v>0.96896775569396587</v>
      </c>
      <c r="K13" s="23">
        <f t="shared" si="5"/>
        <v>1</v>
      </c>
      <c r="L13" s="5" t="s">
        <v>63</v>
      </c>
      <c r="M13" s="18">
        <f>IF(ISNUMBER($M$12),factor_forma*$M$12,"")</f>
        <v>225.30912491483741</v>
      </c>
    </row>
    <row r="14" spans="1:13" x14ac:dyDescent="0.3">
      <c r="A14" s="21">
        <v>120</v>
      </c>
      <c r="B14" s="22">
        <v>2.779E-5</v>
      </c>
      <c r="C14" s="23">
        <f t="shared" si="0"/>
        <v>800.55382847556496</v>
      </c>
      <c r="D14" s="24">
        <f>IF(ISNUMBER(B14),AVERAGE(INDEX($B$2:$B$23,MAX(1,13-semi)):INDEX($B$2:$B$23,MIN($M$3,13+semi))),"")</f>
        <v>2.779E-5</v>
      </c>
      <c r="E14" s="25">
        <f t="shared" si="1"/>
        <v>1</v>
      </c>
      <c r="F14" s="23" t="str">
        <f>IF(AND(ISNUMBER(E14),ISNUMBER(E15),ISNUMBER($M$6)),IF(AND(14&lt;$M$6,E14&lt;0.5,E15&gt;=0.5),14,""),"")</f>
        <v/>
      </c>
      <c r="G14" s="23" t="str">
        <f>IF(AND(ISNUMBER(E14),ISNUMBER(E15),ISNUMBER($M$6)),IF(AND(14&gt;=$M$6,E14&gt;=0.5,E15&lt;0.5),14,""),"")</f>
        <v/>
      </c>
      <c r="H14" s="23" t="str">
        <f t="shared" si="2"/>
        <v/>
      </c>
      <c r="I14" s="23">
        <f t="shared" si="3"/>
        <v>16.948847968132554</v>
      </c>
      <c r="J14" s="25">
        <f t="shared" si="4"/>
        <v>1</v>
      </c>
      <c r="K14" s="23">
        <f t="shared" si="5"/>
        <v>1</v>
      </c>
      <c r="L14" s="5" t="s">
        <v>64</v>
      </c>
      <c r="M14" s="6">
        <f>IF(ISNUMBER($M$12),0.7071*$M$12,"")</f>
        <v>245.10166496504849</v>
      </c>
    </row>
    <row r="15" spans="1:13" x14ac:dyDescent="0.3">
      <c r="A15" s="21">
        <v>130</v>
      </c>
      <c r="B15" s="22">
        <v>2.3830000000000001E-5</v>
      </c>
      <c r="C15" s="23">
        <f t="shared" si="0"/>
        <v>867.26664751519536</v>
      </c>
      <c r="D15" s="24">
        <f>IF(ISNUMBER(B15),AVERAGE(INDEX($B$2:$B$23,MAX(1,14-semi)):INDEX($B$2:$B$23,MIN($M$3,14+semi))),"")</f>
        <v>2.3830000000000001E-5</v>
      </c>
      <c r="E15" s="25">
        <f t="shared" si="1"/>
        <v>0.85710734017221457</v>
      </c>
      <c r="F15" s="23" t="str">
        <f>IF(AND(ISNUMBER(E15),ISNUMBER(E16),ISNUMBER($M$6)),IF(AND(15&lt;$M$6,E15&lt;0.5,E16&gt;=0.5),15,""),"")</f>
        <v/>
      </c>
      <c r="G15" s="23" t="str">
        <f>IF(AND(ISNUMBER(E15),ISNUMBER(E16),ISNUMBER($M$6)),IF(AND(15&gt;=$M$6,E15&gt;=0.5,E16&lt;0.5),15,""),"")</f>
        <v/>
      </c>
      <c r="H15" s="23" t="str">
        <f t="shared" si="2"/>
        <v/>
      </c>
      <c r="I15" s="23">
        <f t="shared" si="3"/>
        <v>83.661667007762958</v>
      </c>
      <c r="J15" s="25">
        <f t="shared" si="4"/>
        <v>0.85710734017221457</v>
      </c>
      <c r="K15" s="23">
        <f t="shared" si="5"/>
        <v>1</v>
      </c>
      <c r="L15" s="5" t="s">
        <v>65</v>
      </c>
      <c r="M15" s="6">
        <f>IF(ISNUMBER($M$12),($M$10+$M$11)/2,$M$7)</f>
        <v>783.6049805074324</v>
      </c>
    </row>
    <row r="16" spans="1:13" x14ac:dyDescent="0.3">
      <c r="A16" s="21">
        <v>140</v>
      </c>
      <c r="B16" s="22">
        <v>1.6520000000000001E-5</v>
      </c>
      <c r="C16" s="23">
        <f t="shared" si="0"/>
        <v>933.97946655482576</v>
      </c>
      <c r="D16" s="24">
        <f>IF(ISNUMBER(B16),AVERAGE(INDEX($B$2:$B$23,MAX(1,15-semi)):INDEX($B$2:$B$23,MIN($M$3,15+semi))),"")</f>
        <v>1.6520000000000001E-5</v>
      </c>
      <c r="E16" s="25">
        <f t="shared" si="1"/>
        <v>0.59333326357092375</v>
      </c>
      <c r="F16" s="23" t="str">
        <f>IF(AND(ISNUMBER(E16),ISNUMBER(E17),ISNUMBER($M$6)),IF(AND(16&lt;$M$6,E16&lt;0.5,E17&gt;=0.5),16,""),"")</f>
        <v/>
      </c>
      <c r="G16" s="23">
        <f>IF(AND(ISNUMBER(E16),ISNUMBER(E17),ISNUMBER($M$6)),IF(AND(16&gt;=$M$6,E16&gt;=0.5,E17&lt;0.5),16,""),"")</f>
        <v>16</v>
      </c>
      <c r="H16" s="23">
        <f t="shared" si="2"/>
        <v>956.9196919803843</v>
      </c>
      <c r="I16" s="23">
        <f t="shared" si="3"/>
        <v>150.37448604739336</v>
      </c>
      <c r="J16" s="25">
        <f t="shared" si="4"/>
        <v>0.59333326357092375</v>
      </c>
      <c r="K16" s="23">
        <f t="shared" si="5"/>
        <v>1</v>
      </c>
      <c r="L16" s="5" t="s">
        <v>66</v>
      </c>
      <c r="M16" s="10">
        <f>COUNTIF($E$2:$E$23,"&gt;=0.5")</f>
        <v>5</v>
      </c>
    </row>
    <row r="17" spans="1:13" x14ac:dyDescent="0.3">
      <c r="A17" s="21">
        <v>150</v>
      </c>
      <c r="B17" s="22">
        <v>8.9979999999999992E-6</v>
      </c>
      <c r="C17" s="23">
        <f t="shared" si="0"/>
        <v>1000.6922855944562</v>
      </c>
      <c r="D17" s="24">
        <f>IF(ISNUMBER(B17),AVERAGE(INDEX($B$2:$B$23,MAX(1,16-semi)):INDEX($B$2:$B$23,MIN($M$3,16+semi))),"")</f>
        <v>8.9979999999999992E-6</v>
      </c>
      <c r="E17" s="25">
        <f t="shared" si="1"/>
        <v>0.32190937790814522</v>
      </c>
      <c r="F17" s="23" t="str">
        <f>IF(AND(ISNUMBER(E17),ISNUMBER(E18),ISNUMBER($M$6)),IF(AND(17&lt;$M$6,E17&lt;0.5,E18&gt;=0.5),17,""),"")</f>
        <v/>
      </c>
      <c r="G17" s="23" t="str">
        <f>IF(AND(ISNUMBER(E17),ISNUMBER(E18),ISNUMBER($M$6)),IF(AND(17&gt;=$M$6,E17&gt;=0.5,E18&lt;0.5),17,""),"")</f>
        <v/>
      </c>
      <c r="H17" s="23" t="str">
        <f t="shared" si="2"/>
        <v/>
      </c>
      <c r="I17" s="23">
        <f t="shared" si="3"/>
        <v>217.08730508702376</v>
      </c>
      <c r="J17" s="25">
        <f t="shared" si="4"/>
        <v>0.32190937790814522</v>
      </c>
      <c r="K17" s="23">
        <f t="shared" si="5"/>
        <v>1</v>
      </c>
      <c r="L17" s="5" t="s">
        <v>67</v>
      </c>
      <c r="M17" s="6">
        <f>IFERROR($M$15-MIN($C$2:$C$23),"")</f>
        <v>783.6049805074324</v>
      </c>
    </row>
    <row r="18" spans="1:13" x14ac:dyDescent="0.3">
      <c r="A18" s="21">
        <v>160</v>
      </c>
      <c r="B18" s="22">
        <v>4.4569999999999998E-6</v>
      </c>
      <c r="C18" s="23">
        <f t="shared" si="0"/>
        <v>1067.4051046340865</v>
      </c>
      <c r="D18" s="24">
        <f>IF(ISNUMBER(B18),AVERAGE(INDEX($B$2:$B$23,MAX(1,17-semi)):INDEX($B$2:$B$23,MIN($M$3,17+semi))),"")</f>
        <v>4.4569999999999998E-6</v>
      </c>
      <c r="E18" s="25">
        <f t="shared" si="1"/>
        <v>0.15805191117128317</v>
      </c>
      <c r="F18" s="23" t="str">
        <f>IF(AND(ISNUMBER(E18),ISNUMBER(E19),ISNUMBER($M$6)),IF(AND(18&lt;$M$6,E18&lt;0.5,E19&gt;=0.5),18,""),"")</f>
        <v/>
      </c>
      <c r="G18" s="23" t="str">
        <f>IF(AND(ISNUMBER(E18),ISNUMBER(E19),ISNUMBER($M$6)),IF(AND(18&gt;=$M$6,E18&gt;=0.5,E19&lt;0.5),18,""),"")</f>
        <v/>
      </c>
      <c r="H18" s="23" t="str">
        <f t="shared" si="2"/>
        <v/>
      </c>
      <c r="I18" s="23">
        <f t="shared" si="3"/>
        <v>283.80012412665405</v>
      </c>
      <c r="J18" s="25">
        <f t="shared" si="4"/>
        <v>0.15805191117128317</v>
      </c>
      <c r="K18" s="23">
        <f t="shared" si="5"/>
        <v>1</v>
      </c>
      <c r="L18" s="5" t="s">
        <v>68</v>
      </c>
      <c r="M18" s="6">
        <f>IFERROR(MAX($C$2:$C$23)-$M$15,"")</f>
        <v>617.36421932480607</v>
      </c>
    </row>
    <row r="19" spans="1:13" x14ac:dyDescent="0.3">
      <c r="A19" s="21">
        <v>170</v>
      </c>
      <c r="B19" s="22">
        <v>2.1440000000000001E-6</v>
      </c>
      <c r="C19" s="23">
        <f t="shared" si="0"/>
        <v>1134.1179236737169</v>
      </c>
      <c r="D19" s="24">
        <f>IF(ISNUMBER(B19),AVERAGE(INDEX($B$2:$B$23,MAX(1,18-semi)):INDEX($B$2:$B$23,MIN($M$3,18+semi))),"")</f>
        <v>2.1440000000000001E-6</v>
      </c>
      <c r="E19" s="25">
        <f t="shared" si="1"/>
        <v>7.4589607590053938E-2</v>
      </c>
      <c r="F19" s="23" t="str">
        <f>IF(AND(ISNUMBER(E19),ISNUMBER(E20),ISNUMBER($M$6)),IF(AND(19&lt;$M$6,E19&lt;0.5,E20&gt;=0.5),19,""),"")</f>
        <v/>
      </c>
      <c r="G19" s="23" t="str">
        <f>IF(AND(ISNUMBER(E19),ISNUMBER(E20),ISNUMBER($M$6)),IF(AND(19&gt;=$M$6,E19&gt;=0.5,E20&lt;0.5),19,""),"")</f>
        <v/>
      </c>
      <c r="H19" s="23" t="str">
        <f t="shared" si="2"/>
        <v/>
      </c>
      <c r="I19" s="23">
        <f t="shared" si="3"/>
        <v>350.51294316628446</v>
      </c>
      <c r="J19" s="25">
        <f t="shared" si="4"/>
        <v>7.4589607590053938E-2</v>
      </c>
      <c r="K19" s="23">
        <f t="shared" si="5"/>
        <v>1</v>
      </c>
      <c r="L19" s="5" t="s">
        <v>69</v>
      </c>
      <c r="M19" s="10">
        <f>IF($M$3&lt;$M$2,"",IFERROR(INDEX($A$1:$A$23,$M$6),""))</f>
        <v>120</v>
      </c>
    </row>
    <row r="20" spans="1:13" x14ac:dyDescent="0.3">
      <c r="A20" s="21">
        <v>180</v>
      </c>
      <c r="B20" s="22">
        <v>8.4099999999999997E-7</v>
      </c>
      <c r="C20" s="23">
        <f t="shared" si="0"/>
        <v>1200.8307427133473</v>
      </c>
      <c r="D20" s="24">
        <f>IF(ISNUMBER(B20),AVERAGE(INDEX($B$2:$B$23,MAX(1,19-semi)):INDEX($B$2:$B$23,MIN($M$3,19+semi))),"")</f>
        <v>8.4099999999999997E-7</v>
      </c>
      <c r="E20" s="25">
        <f t="shared" si="1"/>
        <v>2.7572149065911402E-2</v>
      </c>
      <c r="F20" s="23" t="str">
        <f>IF(AND(ISNUMBER(E20),ISNUMBER(E21),ISNUMBER($M$6)),IF(AND(20&lt;$M$6,E20&lt;0.5,E21&gt;=0.5),20,""),"")</f>
        <v/>
      </c>
      <c r="G20" s="23" t="str">
        <f>IF(AND(ISNUMBER(E20),ISNUMBER(E21),ISNUMBER($M$6)),IF(AND(20&gt;=$M$6,E20&gt;=0.5,E21&lt;0.5),20,""),"")</f>
        <v/>
      </c>
      <c r="H20" s="23" t="str">
        <f t="shared" si="2"/>
        <v/>
      </c>
      <c r="I20" s="23">
        <f t="shared" si="3"/>
        <v>417.22576220591486</v>
      </c>
      <c r="J20" s="25">
        <f t="shared" si="4"/>
        <v>2.7572149065911402E-2</v>
      </c>
      <c r="K20" s="23">
        <f t="shared" si="5"/>
        <v>1</v>
      </c>
      <c r="L20" s="5" t="s">
        <v>70</v>
      </c>
      <c r="M20" s="20" t="str">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Aviso: el pico está corrido; el barrido no llega a una de las alas</v>
      </c>
    </row>
    <row r="21" spans="1:13" x14ac:dyDescent="0.3">
      <c r="A21" s="21">
        <v>190</v>
      </c>
      <c r="B21" s="22">
        <v>4.3360000000000002E-7</v>
      </c>
      <c r="C21" s="23">
        <f t="shared" si="0"/>
        <v>1267.5435617529777</v>
      </c>
      <c r="D21" s="24">
        <f>IF(ISNUMBER(B21),AVERAGE(INDEX($B$2:$B$23,MAX(1,20-semi)):INDEX($B$2:$B$23,MIN($M$3,20+semi))),"")</f>
        <v>4.3360000000000002E-7</v>
      </c>
      <c r="E21" s="25">
        <f t="shared" si="1"/>
        <v>1.2871525426052868E-2</v>
      </c>
      <c r="F21" s="23" t="str">
        <f>IF(AND(ISNUMBER(E21),ISNUMBER(E22),ISNUMBER($M$6)),IF(AND(21&lt;$M$6,E21&lt;0.5,E22&gt;=0.5),21,""),"")</f>
        <v/>
      </c>
      <c r="G21" s="23" t="str">
        <f>IF(AND(ISNUMBER(E21),ISNUMBER(E22),ISNUMBER($M$6)),IF(AND(21&gt;=$M$6,E21&gt;=0.5,E22&lt;0.5),21,""),"")</f>
        <v/>
      </c>
      <c r="H21" s="23" t="str">
        <f t="shared" si="2"/>
        <v/>
      </c>
      <c r="I21" s="23">
        <f t="shared" si="3"/>
        <v>483.93858124554527</v>
      </c>
      <c r="J21" s="25">
        <f t="shared" si="4"/>
        <v>1.2871525426052868E-2</v>
      </c>
      <c r="K21" s="23">
        <f t="shared" si="5"/>
        <v>1</v>
      </c>
    </row>
    <row r="22" spans="1:13" x14ac:dyDescent="0.3">
      <c r="A22" s="21">
        <v>200</v>
      </c>
      <c r="B22" s="22">
        <v>1.3979999999999999E-7</v>
      </c>
      <c r="C22" s="23">
        <f t="shared" si="0"/>
        <v>1334.2563807926081</v>
      </c>
      <c r="D22" s="24">
        <f>IF(ISNUMBER(B22),AVERAGE(INDEX($B$2:$B$23,MAX(1,21-semi)):INDEX($B$2:$B$23,MIN($M$3,21+semi))),"")</f>
        <v>1.3979999999999999E-7</v>
      </c>
      <c r="E22" s="25">
        <f t="shared" si="1"/>
        <v>2.2700447549914102E-3</v>
      </c>
      <c r="F22" s="23" t="str">
        <f>IF(AND(ISNUMBER(E22),ISNUMBER(E23),ISNUMBER($M$6)),IF(AND(22&lt;$M$6,E22&lt;0.5,E23&gt;=0.5),22,""),"")</f>
        <v/>
      </c>
      <c r="G22" s="23" t="str">
        <f>IF(AND(ISNUMBER(E22),ISNUMBER(E23),ISNUMBER($M$6)),IF(AND(22&gt;=$M$6,E22&gt;=0.5,E23&lt;0.5),22,""),"")</f>
        <v/>
      </c>
      <c r="H22" s="23" t="str">
        <f t="shared" si="2"/>
        <v/>
      </c>
      <c r="I22" s="23">
        <f t="shared" si="3"/>
        <v>550.65140028517567</v>
      </c>
      <c r="J22" s="25">
        <f t="shared" si="4"/>
        <v>2.2700447549914102E-3</v>
      </c>
      <c r="K22" s="23">
        <f t="shared" si="5"/>
        <v>1</v>
      </c>
      <c r="L22" s="2" t="s">
        <v>73</v>
      </c>
    </row>
    <row r="23" spans="1:13" x14ac:dyDescent="0.3">
      <c r="A23" s="21">
        <v>210</v>
      </c>
      <c r="B23" s="22">
        <v>1.398E-8</v>
      </c>
      <c r="C23" s="23">
        <f t="shared" si="0"/>
        <v>1400.9691998322385</v>
      </c>
      <c r="D23" s="24">
        <f>IF(ISNUMBER(B23),AVERAGE(INDEX($B$2:$B$23,MAX(1,22-semi)):INDEX($B$2:$B$23,MIN($M$3,22+semi))),"")</f>
        <v>1.398E-8</v>
      </c>
      <c r="E23" s="25">
        <f t="shared" si="1"/>
        <v>-2.2700447549914102E-3</v>
      </c>
      <c r="F23" s="23" t="str">
        <f>IF(AND(ISNUMBER(E23),ISNUMBER(E24),ISNUMBER($M$6)),IF(AND(23&lt;$M$6,E23&lt;0.5,E24&gt;=0.5),23,""),"")</f>
        <v/>
      </c>
      <c r="G23" s="23" t="str">
        <f>IF(AND(ISNUMBER(E23),ISNUMBER(E24),ISNUMBER($M$6)),IF(AND(23&gt;=$M$6,E23&gt;=0.5,E24&lt;0.5),23,""),"")</f>
        <v/>
      </c>
      <c r="H23" s="23" t="str">
        <f t="shared" si="2"/>
        <v/>
      </c>
      <c r="I23" s="23">
        <f t="shared" si="3"/>
        <v>617.36421932480607</v>
      </c>
      <c r="J23" s="25">
        <f t="shared" si="4"/>
        <v>-2.2700447549914102E-3</v>
      </c>
      <c r="K23" s="23" t="str">
        <f t="shared" si="5"/>
        <v/>
      </c>
      <c r="L23" s="23">
        <f>IF(ISNUMBER($M$12),$M$10-$M$15,NA())</f>
        <v>-173.31471147295179</v>
      </c>
      <c r="M23" s="23">
        <f>IF(ISNUMBER($M$12),0.5,NA())</f>
        <v>0.5</v>
      </c>
    </row>
    <row r="24" spans="1:13" x14ac:dyDescent="0.3">
      <c r="L24" s="23">
        <f>IF(ISNUMBER($M$12),$M$11-$M$15,NA())</f>
        <v>173.3147114729519</v>
      </c>
      <c r="M24" s="23">
        <f>IF(ISNUMBER($M$12),0.5,NA())</f>
        <v>0.5</v>
      </c>
    </row>
    <row r="26" spans="1:13" ht="26.4" x14ac:dyDescent="0.3">
      <c r="L26" s="7" t="s">
        <v>74</v>
      </c>
    </row>
  </sheetData>
  <sheetProtection sheet="1" objects="1" scenarios="1" formatColumns="0" formatRows="0"/>
  <conditionalFormatting sqref="I2:J23">
    <cfRule type="containsErrors" dxfId="34" priority="4">
      <formula>ISERROR(I2)</formula>
    </cfRule>
  </conditionalFormatting>
  <conditionalFormatting sqref="L23:M24">
    <cfRule type="containsErrors" dxfId="33" priority="5">
      <formula>ISERROR(L23)</formula>
    </cfRule>
  </conditionalFormatting>
  <conditionalFormatting sqref="M20">
    <cfRule type="cellIs" dxfId="32" priority="1" operator="equal">
      <formula>"OK"</formula>
    </cfRule>
    <cfRule type="beginsWith" dxfId="31" priority="2" operator="beginsWith" text="Aviso">
      <formula>LEFT(M20,5)="Aviso"</formula>
    </cfRule>
    <cfRule type="beginsWith" dxfId="30"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xr:uid="{00000000-0002-0000-0900-000000000000}">
      <formula1>-1</formula1>
      <formula2>1</formula2>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6"/>
  <sheetViews>
    <sheetView workbookViewId="0">
      <pane ySplit="1" topLeftCell="A44" activePane="bottomLeft" state="frozen"/>
      <selection pane="bottomLeft" activeCell="B24" sqref="B24"/>
    </sheetView>
  </sheetViews>
  <sheetFormatPr baseColWidth="10" defaultColWidth="8.88671875" defaultRowHeight="14.4" x14ac:dyDescent="0.3"/>
  <cols>
    <col min="1" max="1" width="14.6640625" customWidth="1"/>
    <col min="2" max="2" width="15.6640625" customWidth="1"/>
    <col min="3" max="5" width="12.6640625" customWidth="1"/>
    <col min="6" max="8" width="9.6640625" customWidth="1"/>
    <col min="9" max="10" width="11.6640625" customWidth="1"/>
    <col min="11" max="11" width="7.6640625" customWidth="1"/>
    <col min="12" max="12" width="42.6640625" customWidth="1"/>
    <col min="13" max="13" width="14.6640625" customWidth="1"/>
  </cols>
  <sheetData>
    <row r="1" spans="1:13" ht="42" customHeight="1" x14ac:dyDescent="0.3">
      <c r="A1" s="4" t="s">
        <v>41</v>
      </c>
      <c r="B1" s="4" t="s">
        <v>42</v>
      </c>
      <c r="C1" s="4" t="s">
        <v>43</v>
      </c>
      <c r="D1" s="4" t="s">
        <v>44</v>
      </c>
      <c r="E1" s="4" t="s">
        <v>45</v>
      </c>
      <c r="F1" s="4" t="s">
        <v>46</v>
      </c>
      <c r="G1" s="4" t="s">
        <v>47</v>
      </c>
      <c r="H1" s="4" t="s">
        <v>48</v>
      </c>
      <c r="I1" s="4" t="s">
        <v>49</v>
      </c>
      <c r="J1" s="4" t="s">
        <v>50</v>
      </c>
      <c r="K1" s="4" t="s">
        <v>51</v>
      </c>
      <c r="L1" s="4" t="s">
        <v>80</v>
      </c>
      <c r="M1" s="4" t="s">
        <v>72</v>
      </c>
    </row>
    <row r="2" spans="1:13" x14ac:dyDescent="0.3">
      <c r="A2" s="21">
        <v>0</v>
      </c>
      <c r="B2" s="22">
        <v>-1.3979999999999999E-7</v>
      </c>
      <c r="C2" s="23">
        <f t="shared" ref="C2:C23" si="0">IF(ISNUMBER(A2),A2*conv,"")</f>
        <v>0</v>
      </c>
      <c r="D2" s="24">
        <f>IF(ISNUMBER(B2),AVERAGE(INDEX($B$2:$B$23,MAX(1,1-semi)):INDEX($B$2:$B$23,MIN($M$3,1+semi))),"")</f>
        <v>-1.3979999999999999E-7</v>
      </c>
      <c r="E2" s="25">
        <f t="shared" ref="E2:E23" si="1">IF(AND(ISNUMBER(D2),ISNUMBER($M$4)),(D2-$M$4)/($M$5-$M$4),"")</f>
        <v>-1.3448775216453532E-3</v>
      </c>
      <c r="F2" s="23" t="str">
        <f>IF(AND(ISNUMBER(E2),ISNUMBER(E3),ISNUMBER($M$6)),IF(AND(2&lt;$M$6,E2&lt;0.5,E3&gt;=0.5),2,""),"")</f>
        <v/>
      </c>
      <c r="G2" s="23" t="str">
        <f>IF(AND(ISNUMBER(E2),ISNUMBER(E3),ISNUMBER($M$6)),IF(AND(2&gt;=$M$6,E2&gt;=0.5,E3&lt;0.5),2,""),"")</f>
        <v/>
      </c>
      <c r="H2" s="23" t="str">
        <f t="shared" ref="H2:H23" si="2">IF(OR(ISNUMBER(F2),ISNUMBER(G2)),C2+(0.5-E2)*(C3-C2)/(E3-E2),"")</f>
        <v/>
      </c>
      <c r="I2" s="23">
        <f t="shared" ref="I2:I23" si="3">IF(AND(ISNUMBER(E2),ISNUMBER($M$15)),C2-$M$15,NA())</f>
        <v>-784.70537395475355</v>
      </c>
      <c r="J2" s="25">
        <f t="shared" ref="J2:J23" si="4">IF(ISNUMBER(E2),E2,NA())</f>
        <v>-1.3448775216453532E-3</v>
      </c>
      <c r="K2" s="23">
        <f t="shared" ref="K2:K23" si="5">IF(AND(ISNUMBER(C2),ISNUMBER(C3)),SIGN(C3-C2),"")</f>
        <v>1</v>
      </c>
      <c r="L2" s="5" t="s">
        <v>52</v>
      </c>
      <c r="M2" s="10">
        <f>COUNT($A$2:$A$23)</f>
        <v>22</v>
      </c>
    </row>
    <row r="3" spans="1:13" x14ac:dyDescent="0.3">
      <c r="A3" s="21">
        <v>10</v>
      </c>
      <c r="B3" s="22">
        <v>-1.119E-7</v>
      </c>
      <c r="C3" s="23">
        <f t="shared" si="0"/>
        <v>66.712819039630403</v>
      </c>
      <c r="D3" s="24">
        <f>IF(ISNUMBER(B3),AVERAGE(INDEX($B$2:$B$23,MAX(1,2-semi)):INDEX($B$2:$B$23,MIN($M$3,2+semi))),"")</f>
        <v>-1.119E-7</v>
      </c>
      <c r="E3" s="25">
        <f t="shared" si="1"/>
        <v>-3.6837569070442041E-4</v>
      </c>
      <c r="F3" s="23" t="str">
        <f>IF(AND(ISNUMBER(E3),ISNUMBER(E4),ISNUMBER($M$6)),IF(AND(3&lt;$M$6,E3&lt;0.5,E4&gt;=0.5),3,""),"")</f>
        <v/>
      </c>
      <c r="G3" s="23" t="str">
        <f>IF(AND(ISNUMBER(E3),ISNUMBER(E4),ISNUMBER($M$6)),IF(AND(3&gt;=$M$6,E3&gt;=0.5,E4&lt;0.5),3,""),"")</f>
        <v/>
      </c>
      <c r="H3" s="23" t="str">
        <f t="shared" si="2"/>
        <v/>
      </c>
      <c r="I3" s="23">
        <f t="shared" si="3"/>
        <v>-717.99255491512315</v>
      </c>
      <c r="J3" s="25">
        <f t="shared" si="4"/>
        <v>-3.6837569070442041E-4</v>
      </c>
      <c r="K3" s="23">
        <f t="shared" si="5"/>
        <v>1</v>
      </c>
      <c r="L3" s="5" t="s">
        <v>53</v>
      </c>
      <c r="M3" s="10">
        <f>COUNT($B$2:$B$23)</f>
        <v>22</v>
      </c>
    </row>
    <row r="4" spans="1:13" x14ac:dyDescent="0.3">
      <c r="A4" s="21">
        <v>20</v>
      </c>
      <c r="B4" s="22">
        <v>-5.5929999999999999E-8</v>
      </c>
      <c r="C4" s="23">
        <f t="shared" si="0"/>
        <v>133.42563807926081</v>
      </c>
      <c r="D4" s="24">
        <f>IF(ISNUMBER(B4),AVERAGE(INDEX($B$2:$B$23,MAX(1,3-semi)):INDEX($B$2:$B$23,MIN($M$3,3+semi))),"")</f>
        <v>-5.5929999999999999E-8</v>
      </c>
      <c r="E4" s="25">
        <f t="shared" si="1"/>
        <v>1.5905779823337167E-3</v>
      </c>
      <c r="F4" s="23" t="str">
        <f>IF(AND(ISNUMBER(E4),ISNUMBER(E5),ISNUMBER($M$6)),IF(AND(4&lt;$M$6,E4&lt;0.5,E5&gt;=0.5),4,""),"")</f>
        <v/>
      </c>
      <c r="G4" s="23" t="str">
        <f>IF(AND(ISNUMBER(E4),ISNUMBER(E5),ISNUMBER($M$6)),IF(AND(4&gt;=$M$6,E4&gt;=0.5,E5&lt;0.5),4,""),"")</f>
        <v/>
      </c>
      <c r="H4" s="23" t="str">
        <f t="shared" si="2"/>
        <v/>
      </c>
      <c r="I4" s="23">
        <f t="shared" si="3"/>
        <v>-651.27973587549275</v>
      </c>
      <c r="J4" s="25">
        <f t="shared" si="4"/>
        <v>1.5905779823337167E-3</v>
      </c>
      <c r="K4" s="23">
        <f t="shared" si="5"/>
        <v>1</v>
      </c>
      <c r="L4" s="5" t="s">
        <v>54</v>
      </c>
      <c r="M4" s="26">
        <f>IF($M$3&lt;$M$2,"",(AVERAGE(INDEX($B$2:$B$23,1):INDEX($B$2:$B$23,n_fondo))+AVERAGE(INDEX($B$2:$B$23,$M$3-n_fondo+1):INDEX($B$2:$B$23,$M$3)))/2)</f>
        <v>-1.0137499999999999E-7</v>
      </c>
    </row>
    <row r="5" spans="1:13" x14ac:dyDescent="0.3">
      <c r="A5" s="21">
        <v>30</v>
      </c>
      <c r="B5" s="22">
        <v>-5.5929999999999999E-8</v>
      </c>
      <c r="C5" s="23">
        <f t="shared" si="0"/>
        <v>200.13845711889124</v>
      </c>
      <c r="D5" s="24">
        <f>IF(ISNUMBER(B5),AVERAGE(INDEX($B$2:$B$23,MAX(1,4-semi)):INDEX($B$2:$B$23,MIN($M$3,4+semi))),"")</f>
        <v>-5.5929999999999999E-8</v>
      </c>
      <c r="E5" s="25">
        <f t="shared" si="1"/>
        <v>1.5905779823337167E-3</v>
      </c>
      <c r="F5" s="23" t="str">
        <f>IF(AND(ISNUMBER(E5),ISNUMBER(E6),ISNUMBER($M$6)),IF(AND(5&lt;$M$6,E5&lt;0.5,E6&gt;=0.5),5,""),"")</f>
        <v/>
      </c>
      <c r="G5" s="23" t="str">
        <f>IF(AND(ISNUMBER(E5),ISNUMBER(E6),ISNUMBER($M$6)),IF(AND(5&gt;=$M$6,E5&gt;=0.5,E6&lt;0.5),5,""),"")</f>
        <v/>
      </c>
      <c r="H5" s="23" t="str">
        <f t="shared" si="2"/>
        <v/>
      </c>
      <c r="I5" s="23">
        <f t="shared" si="3"/>
        <v>-584.56691683586234</v>
      </c>
      <c r="J5" s="25">
        <f t="shared" si="4"/>
        <v>1.5905779823337167E-3</v>
      </c>
      <c r="K5" s="23">
        <f t="shared" si="5"/>
        <v>1</v>
      </c>
      <c r="L5" s="5" t="s">
        <v>55</v>
      </c>
      <c r="M5" s="26">
        <f>IF($M$3&lt;$M$2,"",MAX($D$2:$D$23))</f>
        <v>2.847E-5</v>
      </c>
    </row>
    <row r="6" spans="1:13" x14ac:dyDescent="0.3">
      <c r="A6" s="21">
        <v>40</v>
      </c>
      <c r="B6" s="22">
        <v>1.3979999999999999E-7</v>
      </c>
      <c r="C6" s="23">
        <f t="shared" si="0"/>
        <v>266.85127615852161</v>
      </c>
      <c r="D6" s="24">
        <f>IF(ISNUMBER(B6),AVERAGE(INDEX($B$2:$B$23,MAX(1,5-semi)):INDEX($B$2:$B$23,MIN($M$3,5+semi))),"")</f>
        <v>1.3979999999999999E-7</v>
      </c>
      <c r="E6" s="25">
        <f t="shared" si="1"/>
        <v>8.4411408271390497E-3</v>
      </c>
      <c r="F6" s="23" t="str">
        <f>IF(AND(ISNUMBER(E6),ISNUMBER(E7),ISNUMBER($M$6)),IF(AND(6&lt;$M$6,E6&lt;0.5,E7&gt;=0.5),6,""),"")</f>
        <v/>
      </c>
      <c r="G6" s="23" t="str">
        <f>IF(AND(ISNUMBER(E6),ISNUMBER(E7),ISNUMBER($M$6)),IF(AND(6&gt;=$M$6,E6&gt;=0.5,E7&lt;0.5),6,""),"")</f>
        <v/>
      </c>
      <c r="H6" s="23" t="str">
        <f t="shared" si="2"/>
        <v/>
      </c>
      <c r="I6" s="23">
        <f t="shared" si="3"/>
        <v>-517.85409779623194</v>
      </c>
      <c r="J6" s="25">
        <f t="shared" si="4"/>
        <v>8.4411408271390497E-3</v>
      </c>
      <c r="K6" s="23">
        <f t="shared" si="5"/>
        <v>1</v>
      </c>
      <c r="L6" s="5" t="s">
        <v>56</v>
      </c>
      <c r="M6" s="10">
        <f>IFERROR(MATCH($M$5,$D$2:$D$23,0)+1,"")</f>
        <v>14</v>
      </c>
    </row>
    <row r="7" spans="1:13" x14ac:dyDescent="0.3">
      <c r="A7" s="21">
        <v>50</v>
      </c>
      <c r="B7" s="22">
        <v>4.1940000000000001E-7</v>
      </c>
      <c r="C7" s="23">
        <f t="shared" si="0"/>
        <v>333.56409519815202</v>
      </c>
      <c r="D7" s="24">
        <f>IF(ISNUMBER(B7),AVERAGE(INDEX($B$2:$B$23,MAX(1,6-semi)):INDEX($B$2:$B$23,MIN($M$3,6+semi))),"")</f>
        <v>4.1940000000000001E-7</v>
      </c>
      <c r="E7" s="25">
        <f t="shared" si="1"/>
        <v>1.8227159175923456E-2</v>
      </c>
      <c r="F7" s="23" t="str">
        <f>IF(AND(ISNUMBER(E7),ISNUMBER(E8),ISNUMBER($M$6)),IF(AND(7&lt;$M$6,E7&lt;0.5,E8&gt;=0.5),7,""),"")</f>
        <v/>
      </c>
      <c r="G7" s="23" t="str">
        <f>IF(AND(ISNUMBER(E7),ISNUMBER(E8),ISNUMBER($M$6)),IF(AND(7&gt;=$M$6,E7&gt;=0.5,E8&lt;0.5),7,""),"")</f>
        <v/>
      </c>
      <c r="H7" s="23" t="str">
        <f t="shared" si="2"/>
        <v/>
      </c>
      <c r="I7" s="23">
        <f t="shared" si="3"/>
        <v>-451.14127875660154</v>
      </c>
      <c r="J7" s="25">
        <f t="shared" si="4"/>
        <v>1.8227159175923456E-2</v>
      </c>
      <c r="K7" s="23">
        <f t="shared" si="5"/>
        <v>1</v>
      </c>
      <c r="L7" s="5" t="s">
        <v>57</v>
      </c>
      <c r="M7" s="6">
        <f>IFERROR(INDEX($C$1:$C$23,$M$6),"")</f>
        <v>800.55382847556496</v>
      </c>
    </row>
    <row r="8" spans="1:13" x14ac:dyDescent="0.3">
      <c r="A8" s="21">
        <v>60</v>
      </c>
      <c r="B8" s="22">
        <v>1.4160000000000001E-6</v>
      </c>
      <c r="C8" s="23">
        <f t="shared" si="0"/>
        <v>400.27691423778248</v>
      </c>
      <c r="D8" s="24">
        <f>IF(ISNUMBER(B8),AVERAGE(INDEX($B$2:$B$23,MAX(1,7-semi)):INDEX($B$2:$B$23,MIN($M$3,7+semi))),"")</f>
        <v>1.4160000000000001E-6</v>
      </c>
      <c r="E8" s="25">
        <f t="shared" si="1"/>
        <v>5.3108224577921082E-2</v>
      </c>
      <c r="F8" s="23" t="str">
        <f>IF(AND(ISNUMBER(E8),ISNUMBER(E9),ISNUMBER($M$6)),IF(AND(8&lt;$M$6,E8&lt;0.5,E9&gt;=0.5),8,""),"")</f>
        <v/>
      </c>
      <c r="G8" s="23" t="str">
        <f>IF(AND(ISNUMBER(E8),ISNUMBER(E9),ISNUMBER($M$6)),IF(AND(8&gt;=$M$6,E8&gt;=0.5,E9&lt;0.5),8,""),"")</f>
        <v/>
      </c>
      <c r="H8" s="23" t="str">
        <f t="shared" si="2"/>
        <v/>
      </c>
      <c r="I8" s="23">
        <f t="shared" si="3"/>
        <v>-384.42845971697108</v>
      </c>
      <c r="J8" s="25">
        <f t="shared" si="4"/>
        <v>5.3108224577921082E-2</v>
      </c>
      <c r="K8" s="23">
        <f t="shared" si="5"/>
        <v>1</v>
      </c>
      <c r="L8" s="5" t="s">
        <v>58</v>
      </c>
      <c r="M8" s="10">
        <f>MAX($F$2:$F$23)</f>
        <v>11</v>
      </c>
    </row>
    <row r="9" spans="1:13" x14ac:dyDescent="0.3">
      <c r="A9" s="21">
        <v>70</v>
      </c>
      <c r="B9" s="22">
        <v>2.8590000000000001E-6</v>
      </c>
      <c r="C9" s="23">
        <f t="shared" si="0"/>
        <v>466.98973327741288</v>
      </c>
      <c r="D9" s="24">
        <f>IF(ISNUMBER(B9),AVERAGE(INDEX($B$2:$B$23,MAX(1,8-semi)):INDEX($B$2:$B$23,MIN($M$3,8+semi))),"")</f>
        <v>2.8590000000000001E-6</v>
      </c>
      <c r="E9" s="25">
        <f t="shared" si="1"/>
        <v>0.10361331927497364</v>
      </c>
      <c r="F9" s="23" t="str">
        <f>IF(AND(ISNUMBER(E9),ISNUMBER(E10),ISNUMBER($M$6)),IF(AND(9&lt;$M$6,E9&lt;0.5,E10&gt;=0.5),9,""),"")</f>
        <v/>
      </c>
      <c r="G9" s="23" t="str">
        <f>IF(AND(ISNUMBER(E9),ISNUMBER(E10),ISNUMBER($M$6)),IF(AND(9&gt;=$M$6,E9&gt;=0.5,E10&lt;0.5),9,""),"")</f>
        <v/>
      </c>
      <c r="H9" s="23" t="str">
        <f t="shared" si="2"/>
        <v/>
      </c>
      <c r="I9" s="23">
        <f t="shared" si="3"/>
        <v>-317.71564067734067</v>
      </c>
      <c r="J9" s="25">
        <f t="shared" si="4"/>
        <v>0.10361331927497364</v>
      </c>
      <c r="K9" s="23">
        <f t="shared" si="5"/>
        <v>1</v>
      </c>
      <c r="L9" s="5" t="s">
        <v>59</v>
      </c>
      <c r="M9" s="10">
        <f>MIN($G$2:$G$23)</f>
        <v>16</v>
      </c>
    </row>
    <row r="10" spans="1:13" x14ac:dyDescent="0.3">
      <c r="A10" s="21">
        <v>80</v>
      </c>
      <c r="B10" s="22">
        <v>5.733E-6</v>
      </c>
      <c r="C10" s="23">
        <f t="shared" si="0"/>
        <v>533.70255231704323</v>
      </c>
      <c r="D10" s="24">
        <f>IF(ISNUMBER(B10),AVERAGE(INDEX($B$2:$B$23,MAX(1,9-semi)):INDEX($B$2:$B$23,MIN($M$3,9+semi))),"")</f>
        <v>5.733E-6</v>
      </c>
      <c r="E10" s="25">
        <f t="shared" si="1"/>
        <v>0.20420350788157729</v>
      </c>
      <c r="F10" s="23" t="str">
        <f>IF(AND(ISNUMBER(E10),ISNUMBER(E11),ISNUMBER($M$6)),IF(AND(10&lt;$M$6,E10&lt;0.5,E11&gt;=0.5),10,""),"")</f>
        <v/>
      </c>
      <c r="G10" s="23" t="str">
        <f>IF(AND(ISNUMBER(E10),ISNUMBER(E11),ISNUMBER($M$6)),IF(AND(10&gt;=$M$6,E10&gt;=0.5,E11&lt;0.5),10,""),"")</f>
        <v/>
      </c>
      <c r="H10" s="23" t="str">
        <f t="shared" si="2"/>
        <v/>
      </c>
      <c r="I10" s="23">
        <f t="shared" si="3"/>
        <v>-251.00282163771033</v>
      </c>
      <c r="J10" s="25">
        <f t="shared" si="4"/>
        <v>0.20420350788157729</v>
      </c>
      <c r="K10" s="23">
        <f t="shared" si="5"/>
        <v>1</v>
      </c>
      <c r="L10" s="5" t="s">
        <v>60</v>
      </c>
      <c r="M10" s="6">
        <f>IF($M$8&gt;0,INDEX($H$1:$H$23,$M$8),"")</f>
        <v>616.89883912350388</v>
      </c>
    </row>
    <row r="11" spans="1:13" x14ac:dyDescent="0.3">
      <c r="A11" s="21">
        <v>90</v>
      </c>
      <c r="B11" s="22">
        <v>1.201E-5</v>
      </c>
      <c r="C11" s="23">
        <f t="shared" si="0"/>
        <v>600.41537135667363</v>
      </c>
      <c r="D11" s="24">
        <f>IF(ISNUMBER(B11),AVERAGE(INDEX($B$2:$B$23,MAX(1,10-semi)):INDEX($B$2:$B$23,MIN($M$3,10+semi))),"")</f>
        <v>1.201E-5</v>
      </c>
      <c r="E11" s="25">
        <f t="shared" si="1"/>
        <v>0.42389891981047467</v>
      </c>
      <c r="F11" s="23">
        <f>IF(AND(ISNUMBER(E11),ISNUMBER(E12),ISNUMBER($M$6)),IF(AND(11&lt;$M$6,E11&lt;0.5,E12&gt;=0.5),11,""),"")</f>
        <v>11</v>
      </c>
      <c r="G11" s="23" t="str">
        <f>IF(AND(ISNUMBER(E11),ISNUMBER(E12),ISNUMBER($M$6)),IF(AND(11&gt;=$M$6,E11&gt;=0.5,E12&lt;0.5),11,""),"")</f>
        <v/>
      </c>
      <c r="H11" s="23">
        <f t="shared" si="2"/>
        <v>616.89883912350388</v>
      </c>
      <c r="I11" s="23">
        <f t="shared" si="3"/>
        <v>-184.29000259807992</v>
      </c>
      <c r="J11" s="25">
        <f t="shared" si="4"/>
        <v>0.42389891981047467</v>
      </c>
      <c r="K11" s="23">
        <f t="shared" si="5"/>
        <v>1</v>
      </c>
      <c r="L11" s="5" t="s">
        <v>61</v>
      </c>
      <c r="M11" s="6">
        <f>IF($M$9&gt;0,INDEX($H$1:$H$23,$M$9),"")</f>
        <v>952.51190878600323</v>
      </c>
    </row>
    <row r="12" spans="1:13" ht="15.6" x14ac:dyDescent="0.3">
      <c r="A12" s="21">
        <v>100</v>
      </c>
      <c r="B12" s="22">
        <v>2.0809999999999999E-5</v>
      </c>
      <c r="C12" s="23">
        <f t="shared" si="0"/>
        <v>667.12819039630403</v>
      </c>
      <c r="D12" s="24">
        <f>IF(ISNUMBER(B12),AVERAGE(INDEX($B$2:$B$23,MAX(1,11-semi)):INDEX($B$2:$B$23,MIN($M$3,11+semi))),"")</f>
        <v>2.0809999999999999E-5</v>
      </c>
      <c r="E12" s="25">
        <f t="shared" si="1"/>
        <v>0.73189949731155746</v>
      </c>
      <c r="F12" s="23" t="str">
        <f>IF(AND(ISNUMBER(E12),ISNUMBER(E13),ISNUMBER($M$6)),IF(AND(12&lt;$M$6,E12&lt;0.5,E13&gt;=0.5),12,""),"")</f>
        <v/>
      </c>
      <c r="G12" s="23" t="str">
        <f>IF(AND(ISNUMBER(E12),ISNUMBER(E13),ISNUMBER($M$6)),IF(AND(12&gt;=$M$6,E12&gt;=0.5,E13&lt;0.5),12,""),"")</f>
        <v/>
      </c>
      <c r="H12" s="23" t="str">
        <f t="shared" si="2"/>
        <v/>
      </c>
      <c r="I12" s="23">
        <f t="shared" si="3"/>
        <v>-117.57718355844952</v>
      </c>
      <c r="J12" s="25">
        <f t="shared" si="4"/>
        <v>0.73189949731155746</v>
      </c>
      <c r="K12" s="23">
        <f t="shared" si="5"/>
        <v>1</v>
      </c>
      <c r="L12" s="5" t="s">
        <v>62</v>
      </c>
      <c r="M12" s="18">
        <f>IF(AND($M$8&gt;0,$M$9&gt;0),ABS($M$11-$M$10),"")</f>
        <v>335.61306966249936</v>
      </c>
    </row>
    <row r="13" spans="1:13" ht="15.6" x14ac:dyDescent="0.3">
      <c r="A13" s="21">
        <v>110</v>
      </c>
      <c r="B13" s="22">
        <v>2.6769999999999999E-5</v>
      </c>
      <c r="C13" s="23">
        <f t="shared" si="0"/>
        <v>733.84100943593455</v>
      </c>
      <c r="D13" s="24">
        <f>IF(ISNUMBER(B13),AVERAGE(INDEX($B$2:$B$23,MAX(1,12-semi)):INDEX($B$2:$B$23,MIN($M$3,12+semi))),"")</f>
        <v>2.6769999999999999E-5</v>
      </c>
      <c r="E13" s="25">
        <f t="shared" si="1"/>
        <v>0.94049988843729082</v>
      </c>
      <c r="F13" s="23" t="str">
        <f>IF(AND(ISNUMBER(E13),ISNUMBER(E14),ISNUMBER($M$6)),IF(AND(13&lt;$M$6,E13&lt;0.5,E14&gt;=0.5),13,""),"")</f>
        <v/>
      </c>
      <c r="G13" s="23" t="str">
        <f>IF(AND(ISNUMBER(E13),ISNUMBER(E14),ISNUMBER($M$6)),IF(AND(13&gt;=$M$6,E13&gt;=0.5,E14&lt;0.5),13,""),"")</f>
        <v/>
      </c>
      <c r="H13" s="23" t="str">
        <f t="shared" si="2"/>
        <v/>
      </c>
      <c r="I13" s="23">
        <f t="shared" si="3"/>
        <v>-50.864364518819002</v>
      </c>
      <c r="J13" s="25">
        <f t="shared" si="4"/>
        <v>0.94049988843729082</v>
      </c>
      <c r="K13" s="23">
        <f t="shared" si="5"/>
        <v>1</v>
      </c>
      <c r="L13" s="5" t="s">
        <v>63</v>
      </c>
      <c r="M13" s="18">
        <f>IF(ISNUMBER($M$12),factor_forma*$M$12,"")</f>
        <v>218.14849528062459</v>
      </c>
    </row>
    <row r="14" spans="1:13" x14ac:dyDescent="0.3">
      <c r="A14" s="21">
        <v>120</v>
      </c>
      <c r="B14" s="22">
        <v>2.847E-5</v>
      </c>
      <c r="C14" s="23">
        <f t="shared" si="0"/>
        <v>800.55382847556496</v>
      </c>
      <c r="D14" s="24">
        <f>IF(ISNUMBER(B14),AVERAGE(INDEX($B$2:$B$23,MAX(1,13-semi)):INDEX($B$2:$B$23,MIN($M$3,13+semi))),"")</f>
        <v>2.847E-5</v>
      </c>
      <c r="E14" s="25">
        <f t="shared" si="1"/>
        <v>1</v>
      </c>
      <c r="F14" s="23" t="str">
        <f>IF(AND(ISNUMBER(E14),ISNUMBER(E15),ISNUMBER($M$6)),IF(AND(14&lt;$M$6,E14&lt;0.5,E15&gt;=0.5),14,""),"")</f>
        <v/>
      </c>
      <c r="G14" s="23" t="str">
        <f>IF(AND(ISNUMBER(E14),ISNUMBER(E15),ISNUMBER($M$6)),IF(AND(14&gt;=$M$6,E14&gt;=0.5,E15&lt;0.5),14,""),"")</f>
        <v/>
      </c>
      <c r="H14" s="23" t="str">
        <f t="shared" si="2"/>
        <v/>
      </c>
      <c r="I14" s="23">
        <f t="shared" si="3"/>
        <v>15.848454520811401</v>
      </c>
      <c r="J14" s="25">
        <f t="shared" si="4"/>
        <v>1</v>
      </c>
      <c r="K14" s="23">
        <f t="shared" si="5"/>
        <v>1</v>
      </c>
      <c r="L14" s="5" t="s">
        <v>64</v>
      </c>
      <c r="M14" s="6">
        <f>IF(ISNUMBER($M$12),0.7071*$M$12,"")</f>
        <v>237.31200155835327</v>
      </c>
    </row>
    <row r="15" spans="1:13" x14ac:dyDescent="0.3">
      <c r="A15" s="21">
        <v>130</v>
      </c>
      <c r="B15" s="22">
        <v>2.391E-5</v>
      </c>
      <c r="C15" s="23">
        <f t="shared" si="0"/>
        <v>867.26664751519536</v>
      </c>
      <c r="D15" s="24">
        <f>IF(ISNUMBER(B15),AVERAGE(INDEX($B$2:$B$23,MAX(1,14-semi)):INDEX($B$2:$B$23,MIN($M$3,14+semi))),"")</f>
        <v>2.391E-5</v>
      </c>
      <c r="E15" s="25">
        <f t="shared" si="1"/>
        <v>0.84039970074943893</v>
      </c>
      <c r="F15" s="23" t="str">
        <f>IF(AND(ISNUMBER(E15),ISNUMBER(E16),ISNUMBER($M$6)),IF(AND(15&lt;$M$6,E15&lt;0.5,E16&gt;=0.5),15,""),"")</f>
        <v/>
      </c>
      <c r="G15" s="23" t="str">
        <f>IF(AND(ISNUMBER(E15),ISNUMBER(E16),ISNUMBER($M$6)),IF(AND(15&gt;=$M$6,E15&gt;=0.5,E16&lt;0.5),15,""),"")</f>
        <v/>
      </c>
      <c r="H15" s="23" t="str">
        <f t="shared" si="2"/>
        <v/>
      </c>
      <c r="I15" s="23">
        <f t="shared" si="3"/>
        <v>82.561273560441805</v>
      </c>
      <c r="J15" s="25">
        <f t="shared" si="4"/>
        <v>0.84039970074943893</v>
      </c>
      <c r="K15" s="23">
        <f t="shared" si="5"/>
        <v>1</v>
      </c>
      <c r="L15" s="5" t="s">
        <v>65</v>
      </c>
      <c r="M15" s="6">
        <f>IF(ISNUMBER($M$12),($M$10+$M$11)/2,$M$7)</f>
        <v>784.70537395475355</v>
      </c>
    </row>
    <row r="16" spans="1:13" x14ac:dyDescent="0.3">
      <c r="A16" s="21">
        <v>140</v>
      </c>
      <c r="B16" s="22">
        <v>1.6399999999999999E-5</v>
      </c>
      <c r="C16" s="23">
        <f t="shared" si="0"/>
        <v>933.97946655482576</v>
      </c>
      <c r="D16" s="24">
        <f>IF(ISNUMBER(B16),AVERAGE(INDEX($B$2:$B$23,MAX(1,15-semi)):INDEX($B$2:$B$23,MIN($M$3,15+semi))),"")</f>
        <v>1.6399999999999999E-5</v>
      </c>
      <c r="E16" s="25">
        <f t="shared" si="1"/>
        <v>0.57754920790476483</v>
      </c>
      <c r="F16" s="23" t="str">
        <f>IF(AND(ISNUMBER(E16),ISNUMBER(E17),ISNUMBER($M$6)),IF(AND(16&lt;$M$6,E16&lt;0.5,E17&gt;=0.5),16,""),"")</f>
        <v/>
      </c>
      <c r="G16" s="23">
        <f>IF(AND(ISNUMBER(E16),ISNUMBER(E17),ISNUMBER($M$6)),IF(AND(16&gt;=$M$6,E16&gt;=0.5,E17&lt;0.5),16,""),"")</f>
        <v>16</v>
      </c>
      <c r="H16" s="23">
        <f t="shared" si="2"/>
        <v>952.51190878600323</v>
      </c>
      <c r="I16" s="23">
        <f t="shared" si="3"/>
        <v>149.27409260007221</v>
      </c>
      <c r="J16" s="25">
        <f t="shared" si="4"/>
        <v>0.57754920790476483</v>
      </c>
      <c r="K16" s="23">
        <f t="shared" si="5"/>
        <v>1</v>
      </c>
      <c r="L16" s="5" t="s">
        <v>66</v>
      </c>
      <c r="M16" s="10">
        <f>COUNTIF($E$2:$E$23,"&gt;=0.5")</f>
        <v>5</v>
      </c>
    </row>
    <row r="17" spans="1:13" x14ac:dyDescent="0.3">
      <c r="A17" s="21">
        <v>150</v>
      </c>
      <c r="B17" s="22">
        <v>8.4239999999999993E-6</v>
      </c>
      <c r="C17" s="23">
        <f t="shared" si="0"/>
        <v>1000.6922855944562</v>
      </c>
      <c r="D17" s="24">
        <f>IF(ISNUMBER(B17),AVERAGE(INDEX($B$2:$B$23,MAX(1,16-semi)):INDEX($B$2:$B$23,MIN($M$3,16+semi))),"")</f>
        <v>8.4239999999999993E-6</v>
      </c>
      <c r="E17" s="25">
        <f t="shared" si="1"/>
        <v>0.29838868447878336</v>
      </c>
      <c r="F17" s="23" t="str">
        <f>IF(AND(ISNUMBER(E17),ISNUMBER(E18),ISNUMBER($M$6)),IF(AND(17&lt;$M$6,E17&lt;0.5,E18&gt;=0.5),17,""),"")</f>
        <v/>
      </c>
      <c r="G17" s="23" t="str">
        <f>IF(AND(ISNUMBER(E17),ISNUMBER(E18),ISNUMBER($M$6)),IF(AND(17&gt;=$M$6,E17&gt;=0.5,E18&lt;0.5),17,""),"")</f>
        <v/>
      </c>
      <c r="H17" s="23" t="str">
        <f t="shared" si="2"/>
        <v/>
      </c>
      <c r="I17" s="23">
        <f t="shared" si="3"/>
        <v>215.98691163970261</v>
      </c>
      <c r="J17" s="25">
        <f t="shared" si="4"/>
        <v>0.29838868447878336</v>
      </c>
      <c r="K17" s="23">
        <f t="shared" si="5"/>
        <v>1</v>
      </c>
      <c r="L17" s="5" t="s">
        <v>67</v>
      </c>
      <c r="M17" s="6">
        <f>IFERROR($M$15-MIN($C$2:$C$23),"")</f>
        <v>784.70537395475355</v>
      </c>
    </row>
    <row r="18" spans="1:13" x14ac:dyDescent="0.3">
      <c r="A18" s="21">
        <v>160</v>
      </c>
      <c r="B18" s="22">
        <v>4.1489999999999996E-6</v>
      </c>
      <c r="C18" s="23">
        <f t="shared" si="0"/>
        <v>1067.4051046340865</v>
      </c>
      <c r="D18" s="24">
        <f>IF(ISNUMBER(B18),AVERAGE(INDEX($B$2:$B$23,MAX(1,17-semi)):INDEX($B$2:$B$23,MIN($M$3,17+semi))),"")</f>
        <v>4.1489999999999996E-6</v>
      </c>
      <c r="E18" s="25">
        <f t="shared" si="1"/>
        <v>0.14876340393138238</v>
      </c>
      <c r="F18" s="23" t="str">
        <f>IF(AND(ISNUMBER(E18),ISNUMBER(E19),ISNUMBER($M$6)),IF(AND(18&lt;$M$6,E18&lt;0.5,E19&gt;=0.5),18,""),"")</f>
        <v/>
      </c>
      <c r="G18" s="23" t="str">
        <f>IF(AND(ISNUMBER(E18),ISNUMBER(E19),ISNUMBER($M$6)),IF(AND(18&gt;=$M$6,E18&gt;=0.5,E19&lt;0.5),18,""),"")</f>
        <v/>
      </c>
      <c r="H18" s="23" t="str">
        <f t="shared" si="2"/>
        <v/>
      </c>
      <c r="I18" s="23">
        <f t="shared" si="3"/>
        <v>282.6997306793329</v>
      </c>
      <c r="J18" s="25">
        <f t="shared" si="4"/>
        <v>0.14876340393138238</v>
      </c>
      <c r="K18" s="23">
        <f t="shared" si="5"/>
        <v>1</v>
      </c>
      <c r="L18" s="5" t="s">
        <v>68</v>
      </c>
      <c r="M18" s="6">
        <f>IFERROR(MAX($C$2:$C$23)-$M$15,"")</f>
        <v>616.26382587748492</v>
      </c>
    </row>
    <row r="19" spans="1:13" x14ac:dyDescent="0.3">
      <c r="A19" s="21">
        <v>170</v>
      </c>
      <c r="B19" s="22">
        <v>1.8080000000000001E-6</v>
      </c>
      <c r="C19" s="23">
        <f t="shared" si="0"/>
        <v>1134.1179236737169</v>
      </c>
      <c r="D19" s="24">
        <f>IF(ISNUMBER(B19),AVERAGE(INDEX($B$2:$B$23,MAX(1,18-semi)):INDEX($B$2:$B$23,MIN($M$3,18+semi))),"")</f>
        <v>1.8080000000000001E-6</v>
      </c>
      <c r="E19" s="25">
        <f t="shared" si="1"/>
        <v>6.6828250302969322E-2</v>
      </c>
      <c r="F19" s="23" t="str">
        <f>IF(AND(ISNUMBER(E19),ISNUMBER(E20),ISNUMBER($M$6)),IF(AND(19&lt;$M$6,E19&lt;0.5,E20&gt;=0.5),19,""),"")</f>
        <v/>
      </c>
      <c r="G19" s="23" t="str">
        <f>IF(AND(ISNUMBER(E19),ISNUMBER(E20),ISNUMBER($M$6)),IF(AND(19&gt;=$M$6,E19&gt;=0.5,E20&lt;0.5),19,""),"")</f>
        <v/>
      </c>
      <c r="H19" s="23" t="str">
        <f t="shared" si="2"/>
        <v/>
      </c>
      <c r="I19" s="23">
        <f t="shared" si="3"/>
        <v>349.41254971896331</v>
      </c>
      <c r="J19" s="25">
        <f t="shared" si="4"/>
        <v>6.6828250302969322E-2</v>
      </c>
      <c r="K19" s="23">
        <f t="shared" si="5"/>
        <v>1</v>
      </c>
      <c r="L19" s="5" t="s">
        <v>69</v>
      </c>
      <c r="M19" s="10">
        <f>IF($M$3&lt;$M$2,"",IFERROR(INDEX($A$1:$A$23,$M$6),""))</f>
        <v>120</v>
      </c>
    </row>
    <row r="20" spans="1:13" x14ac:dyDescent="0.3">
      <c r="A20" s="21">
        <v>180</v>
      </c>
      <c r="B20" s="22">
        <v>9.1090000000000004E-7</v>
      </c>
      <c r="C20" s="23">
        <f t="shared" si="0"/>
        <v>1200.8307427133473</v>
      </c>
      <c r="D20" s="24">
        <f>IF(ISNUMBER(B20),AVERAGE(INDEX($B$2:$B$23,MAX(1,19-semi)):INDEX($B$2:$B$23,MIN($M$3,19+semi))),"")</f>
        <v>9.1090000000000004E-7</v>
      </c>
      <c r="E20" s="25">
        <f t="shared" si="1"/>
        <v>3.5429691430671428E-2</v>
      </c>
      <c r="F20" s="23" t="str">
        <f>IF(AND(ISNUMBER(E20),ISNUMBER(E21),ISNUMBER($M$6)),IF(AND(20&lt;$M$6,E20&lt;0.5,E21&gt;=0.5),20,""),"")</f>
        <v/>
      </c>
      <c r="G20" s="23" t="str">
        <f>IF(AND(ISNUMBER(E20),ISNUMBER(E21),ISNUMBER($M$6)),IF(AND(20&gt;=$M$6,E20&gt;=0.5,E21&lt;0.5),20,""),"")</f>
        <v/>
      </c>
      <c r="H20" s="23" t="str">
        <f t="shared" si="2"/>
        <v/>
      </c>
      <c r="I20" s="23">
        <f t="shared" si="3"/>
        <v>416.12536875859371</v>
      </c>
      <c r="J20" s="25">
        <f t="shared" si="4"/>
        <v>3.5429691430671428E-2</v>
      </c>
      <c r="K20" s="23">
        <f t="shared" si="5"/>
        <v>1</v>
      </c>
      <c r="L20" s="5" t="s">
        <v>70</v>
      </c>
      <c r="M20" s="20" t="str">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Aviso: el pico está corrido; el barrido no llega a una de las alas</v>
      </c>
    </row>
    <row r="21" spans="1:13" x14ac:dyDescent="0.3">
      <c r="A21" s="21">
        <v>190</v>
      </c>
      <c r="B21" s="22">
        <v>1.3979999999999999E-7</v>
      </c>
      <c r="C21" s="23">
        <f t="shared" si="0"/>
        <v>1267.5435617529777</v>
      </c>
      <c r="D21" s="24">
        <f>IF(ISNUMBER(B21),AVERAGE(INDEX($B$2:$B$23,MAX(1,20-semi)):INDEX($B$2:$B$23,MIN($M$3,20+semi))),"")</f>
        <v>1.3979999999999999E-7</v>
      </c>
      <c r="E21" s="25">
        <f t="shared" si="1"/>
        <v>8.4411408271390497E-3</v>
      </c>
      <c r="F21" s="23" t="str">
        <f>IF(AND(ISNUMBER(E21),ISNUMBER(E22),ISNUMBER($M$6)),IF(AND(21&lt;$M$6,E21&lt;0.5,E22&gt;=0.5),21,""),"")</f>
        <v/>
      </c>
      <c r="G21" s="23" t="str">
        <f>IF(AND(ISNUMBER(E21),ISNUMBER(E22),ISNUMBER($M$6)),IF(AND(21&gt;=$M$6,E21&gt;=0.5,E22&lt;0.5),21,""),"")</f>
        <v/>
      </c>
      <c r="H21" s="23" t="str">
        <f t="shared" si="2"/>
        <v/>
      </c>
      <c r="I21" s="23">
        <f t="shared" si="3"/>
        <v>482.83818779822411</v>
      </c>
      <c r="J21" s="25">
        <f t="shared" si="4"/>
        <v>8.4411408271390497E-3</v>
      </c>
      <c r="K21" s="23">
        <f t="shared" si="5"/>
        <v>1</v>
      </c>
    </row>
    <row r="22" spans="1:13" x14ac:dyDescent="0.3">
      <c r="A22" s="21">
        <v>200</v>
      </c>
      <c r="B22" s="22">
        <v>0</v>
      </c>
      <c r="C22" s="23">
        <f t="shared" si="0"/>
        <v>1334.2563807926081</v>
      </c>
      <c r="D22" s="24">
        <f>IF(ISNUMBER(B22),AVERAGE(INDEX($B$2:$B$23,MAX(1,21-semi)):INDEX($B$2:$B$23,MIN($M$3,21+semi))),"")</f>
        <v>0</v>
      </c>
      <c r="E22" s="25">
        <f t="shared" si="1"/>
        <v>3.5481316527468487E-3</v>
      </c>
      <c r="F22" s="23" t="str">
        <f>IF(AND(ISNUMBER(E22),ISNUMBER(E23),ISNUMBER($M$6)),IF(AND(22&lt;$M$6,E22&lt;0.5,E23&gt;=0.5),22,""),"")</f>
        <v/>
      </c>
      <c r="G22" s="23" t="str">
        <f>IF(AND(ISNUMBER(E22),ISNUMBER(E23),ISNUMBER($M$6)),IF(AND(22&gt;=$M$6,E22&gt;=0.5,E23&lt;0.5),22,""),"")</f>
        <v/>
      </c>
      <c r="H22" s="23" t="str">
        <f t="shared" si="2"/>
        <v/>
      </c>
      <c r="I22" s="23">
        <f t="shared" si="3"/>
        <v>549.55100683785452</v>
      </c>
      <c r="J22" s="25">
        <f t="shared" si="4"/>
        <v>3.5481316527468487E-3</v>
      </c>
      <c r="K22" s="23">
        <f t="shared" si="5"/>
        <v>1</v>
      </c>
      <c r="L22" s="2" t="s">
        <v>73</v>
      </c>
    </row>
    <row r="23" spans="1:13" x14ac:dyDescent="0.3">
      <c r="A23" s="21">
        <v>210</v>
      </c>
      <c r="B23" s="22">
        <v>-1.5379999999999999E-7</v>
      </c>
      <c r="C23" s="23">
        <f t="shared" si="0"/>
        <v>1400.9691998322385</v>
      </c>
      <c r="D23" s="24">
        <f>IF(ISNUMBER(B23),AVERAGE(INDEX($B$2:$B$23,MAX(1,22-semi)):INDEX($B$2:$B$23,MIN($M$3,22+semi))),"")</f>
        <v>-1.5379999999999999E-7</v>
      </c>
      <c r="E23" s="25">
        <f t="shared" si="1"/>
        <v>-1.8348784403970754E-3</v>
      </c>
      <c r="F23" s="23" t="str">
        <f>IF(AND(ISNUMBER(E23),ISNUMBER(E24),ISNUMBER($M$6)),IF(AND(23&lt;$M$6,E23&lt;0.5,E24&gt;=0.5),23,""),"")</f>
        <v/>
      </c>
      <c r="G23" s="23" t="str">
        <f>IF(AND(ISNUMBER(E23),ISNUMBER(E24),ISNUMBER($M$6)),IF(AND(23&gt;=$M$6,E23&gt;=0.5,E24&lt;0.5),23,""),"")</f>
        <v/>
      </c>
      <c r="H23" s="23" t="str">
        <f t="shared" si="2"/>
        <v/>
      </c>
      <c r="I23" s="23">
        <f t="shared" si="3"/>
        <v>616.26382587748492</v>
      </c>
      <c r="J23" s="25">
        <f t="shared" si="4"/>
        <v>-1.8348784403970754E-3</v>
      </c>
      <c r="K23" s="23" t="str">
        <f t="shared" si="5"/>
        <v/>
      </c>
      <c r="L23" s="23">
        <f>IF(ISNUMBER($M$12),$M$10-$M$15,NA())</f>
        <v>-167.80653483124968</v>
      </c>
      <c r="M23" s="23">
        <f>IF(ISNUMBER($M$12),0.5,NA())</f>
        <v>0.5</v>
      </c>
    </row>
    <row r="24" spans="1:13" x14ac:dyDescent="0.3">
      <c r="L24" s="23">
        <f>IF(ISNUMBER($M$12),$M$11-$M$15,NA())</f>
        <v>167.80653483124968</v>
      </c>
      <c r="M24" s="23">
        <f>IF(ISNUMBER($M$12),0.5,NA())</f>
        <v>0.5</v>
      </c>
    </row>
    <row r="26" spans="1:13" ht="26.4" x14ac:dyDescent="0.3">
      <c r="L26" s="7" t="s">
        <v>74</v>
      </c>
    </row>
  </sheetData>
  <sheetProtection sheet="1" objects="1" scenarios="1" formatColumns="0" formatRows="0"/>
  <conditionalFormatting sqref="I2:J23">
    <cfRule type="containsErrors" dxfId="29" priority="4">
      <formula>ISERROR(I2)</formula>
    </cfRule>
  </conditionalFormatting>
  <conditionalFormatting sqref="L23:M24">
    <cfRule type="containsErrors" dxfId="28" priority="5">
      <formula>ISERROR(L23)</formula>
    </cfRule>
  </conditionalFormatting>
  <conditionalFormatting sqref="M20">
    <cfRule type="cellIs" dxfId="27" priority="1" operator="equal">
      <formula>"OK"</formula>
    </cfRule>
    <cfRule type="beginsWith" dxfId="26" priority="2" operator="beginsWith" text="Aviso">
      <formula>LEFT(M20,5)="Aviso"</formula>
    </cfRule>
    <cfRule type="beginsWith" dxfId="25"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xr:uid="{00000000-0002-0000-0A00-000000000000}">
      <formula1>-1</formula1>
      <formula2>1</formula2>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6"/>
  <sheetViews>
    <sheetView workbookViewId="0">
      <pane ySplit="1" topLeftCell="A2" activePane="bottomLeft" state="frozen"/>
      <selection pane="bottomLeft" activeCell="B24" sqref="B24"/>
    </sheetView>
  </sheetViews>
  <sheetFormatPr baseColWidth="10" defaultColWidth="8.88671875" defaultRowHeight="14.4" x14ac:dyDescent="0.3"/>
  <cols>
    <col min="1" max="1" width="14.6640625" customWidth="1"/>
    <col min="2" max="2" width="15.6640625" customWidth="1"/>
    <col min="3" max="5" width="12.6640625" customWidth="1"/>
    <col min="6" max="8" width="9.6640625" customWidth="1"/>
    <col min="9" max="10" width="11.6640625" customWidth="1"/>
    <col min="11" max="11" width="7.6640625" customWidth="1"/>
    <col min="12" max="12" width="42.6640625" customWidth="1"/>
    <col min="13" max="13" width="14.6640625" customWidth="1"/>
  </cols>
  <sheetData>
    <row r="1" spans="1:13" ht="42" customHeight="1" x14ac:dyDescent="0.3">
      <c r="A1" s="4" t="s">
        <v>41</v>
      </c>
      <c r="B1" s="4" t="s">
        <v>42</v>
      </c>
      <c r="C1" s="4" t="s">
        <v>43</v>
      </c>
      <c r="D1" s="4" t="s">
        <v>44</v>
      </c>
      <c r="E1" s="4" t="s">
        <v>45</v>
      </c>
      <c r="F1" s="4" t="s">
        <v>46</v>
      </c>
      <c r="G1" s="4" t="s">
        <v>47</v>
      </c>
      <c r="H1" s="4" t="s">
        <v>48</v>
      </c>
      <c r="I1" s="4" t="s">
        <v>49</v>
      </c>
      <c r="J1" s="4" t="s">
        <v>50</v>
      </c>
      <c r="K1" s="4" t="s">
        <v>51</v>
      </c>
      <c r="L1" s="4" t="s">
        <v>81</v>
      </c>
      <c r="M1" s="4" t="s">
        <v>72</v>
      </c>
    </row>
    <row r="2" spans="1:13" x14ac:dyDescent="0.3">
      <c r="A2" s="21">
        <v>0</v>
      </c>
      <c r="B2" s="22">
        <v>-4.0740000000000001E-7</v>
      </c>
      <c r="C2" s="23">
        <f t="shared" ref="C2:C23" si="0">IF(ISNUMBER(A2),A2*conv,"")</f>
        <v>0</v>
      </c>
      <c r="D2" s="24">
        <f>IF(ISNUMBER(B2),AVERAGE(INDEX($B$2:$B$23,MAX(1,1-semi)):INDEX($B$2:$B$23,MIN($M$3,1+semi))),"")</f>
        <v>-4.0740000000000001E-7</v>
      </c>
      <c r="E2" s="25">
        <f t="shared" ref="E2:E23" si="1">IF(AND(ISNUMBER(D2),ISNUMBER($M$4)),(D2-$M$4)/($M$5-$M$4),"")</f>
        <v>-4.3233480006917369E-3</v>
      </c>
      <c r="F2" s="23" t="str">
        <f>IF(AND(ISNUMBER(E2),ISNUMBER(E3),ISNUMBER($M$6)),IF(AND(2&lt;$M$6,E2&lt;0.5,E3&gt;=0.5),2,""),"")</f>
        <v/>
      </c>
      <c r="G2" s="23" t="str">
        <f>IF(AND(ISNUMBER(E2),ISNUMBER(E3),ISNUMBER($M$6)),IF(AND(2&gt;=$M$6,E2&gt;=0.5,E3&lt;0.5),2,""),"")</f>
        <v/>
      </c>
      <c r="H2" s="23" t="str">
        <f t="shared" ref="H2:H23" si="2">IF(OR(ISNUMBER(F2),ISNUMBER(G2)),C2+(0.5-E2)*(C3-C2)/(E3-E2),"")</f>
        <v/>
      </c>
      <c r="I2" s="23">
        <f t="shared" ref="I2:I23" si="3">IF(AND(ISNUMBER(E2),ISNUMBER($M$15)),C2-$M$15,NA())</f>
        <v>-786.75420355552637</v>
      </c>
      <c r="J2" s="25">
        <f t="shared" ref="J2:J23" si="4">IF(ISNUMBER(E2),E2,NA())</f>
        <v>-4.3233480006917369E-3</v>
      </c>
      <c r="K2" s="23">
        <f t="shared" ref="K2:K23" si="5">IF(AND(ISNUMBER(C2),ISNUMBER(C3)),SIGN(C3-C2),"")</f>
        <v>1</v>
      </c>
      <c r="L2" s="5" t="s">
        <v>52</v>
      </c>
      <c r="M2" s="10">
        <f>COUNT($A$2:$A$23)</f>
        <v>22</v>
      </c>
    </row>
    <row r="3" spans="1:13" x14ac:dyDescent="0.3">
      <c r="A3" s="21">
        <v>10</v>
      </c>
      <c r="B3" s="22">
        <v>-2.938E-7</v>
      </c>
      <c r="C3" s="23">
        <f t="shared" si="0"/>
        <v>66.712819039630403</v>
      </c>
      <c r="D3" s="24">
        <f>IF(ISNUMBER(B3),AVERAGE(INDEX($B$2:$B$23,MAX(1,2-semi)):INDEX($B$2:$B$23,MIN($M$3,2+semi))),"")</f>
        <v>-2.938E-7</v>
      </c>
      <c r="E3" s="25">
        <f t="shared" si="1"/>
        <v>-3.5460187642037341E-4</v>
      </c>
      <c r="F3" s="23" t="str">
        <f>IF(AND(ISNUMBER(E3),ISNUMBER(E4),ISNUMBER($M$6)),IF(AND(3&lt;$M$6,E3&lt;0.5,E4&gt;=0.5),3,""),"")</f>
        <v/>
      </c>
      <c r="G3" s="23" t="str">
        <f>IF(AND(ISNUMBER(E3),ISNUMBER(E4),ISNUMBER($M$6)),IF(AND(3&gt;=$M$6,E3&gt;=0.5,E4&lt;0.5),3,""),"")</f>
        <v/>
      </c>
      <c r="H3" s="23" t="str">
        <f t="shared" si="2"/>
        <v/>
      </c>
      <c r="I3" s="23">
        <f t="shared" si="3"/>
        <v>-720.04138451589597</v>
      </c>
      <c r="J3" s="25">
        <f t="shared" si="4"/>
        <v>-3.5460187642037341E-4</v>
      </c>
      <c r="K3" s="23">
        <f t="shared" si="5"/>
        <v>1</v>
      </c>
      <c r="L3" s="5" t="s">
        <v>53</v>
      </c>
      <c r="M3" s="10">
        <f>COUNT($B$2:$B$23)</f>
        <v>22</v>
      </c>
    </row>
    <row r="4" spans="1:13" x14ac:dyDescent="0.3">
      <c r="A4" s="21">
        <v>20</v>
      </c>
      <c r="B4" s="22">
        <v>-2.656E-7</v>
      </c>
      <c r="C4" s="23">
        <f t="shared" si="0"/>
        <v>133.42563807926081</v>
      </c>
      <c r="D4" s="24">
        <f>IF(ISNUMBER(B4),AVERAGE(INDEX($B$2:$B$23,MAX(1,3-semi)):INDEX($B$2:$B$23,MIN($M$3,3+semi))),"")</f>
        <v>-2.656E-7</v>
      </c>
      <c r="E4" s="25">
        <f t="shared" si="1"/>
        <v>6.3059742555544038E-4</v>
      </c>
      <c r="F4" s="23" t="str">
        <f>IF(AND(ISNUMBER(E4),ISNUMBER(E5),ISNUMBER($M$6)),IF(AND(4&lt;$M$6,E4&lt;0.5,E5&gt;=0.5),4,""),"")</f>
        <v/>
      </c>
      <c r="G4" s="23" t="str">
        <f>IF(AND(ISNUMBER(E4),ISNUMBER(E5),ISNUMBER($M$6)),IF(AND(4&gt;=$M$6,E4&gt;=0.5,E5&lt;0.5),4,""),"")</f>
        <v/>
      </c>
      <c r="H4" s="23" t="str">
        <f t="shared" si="2"/>
        <v/>
      </c>
      <c r="I4" s="23">
        <f t="shared" si="3"/>
        <v>-653.32856547626557</v>
      </c>
      <c r="J4" s="25">
        <f t="shared" si="4"/>
        <v>6.3059742555544038E-4</v>
      </c>
      <c r="K4" s="23">
        <f t="shared" si="5"/>
        <v>1</v>
      </c>
      <c r="L4" s="5" t="s">
        <v>54</v>
      </c>
      <c r="M4" s="26">
        <f>IF($M$3&lt;$M$2,"",(AVERAGE(INDEX($B$2:$B$23,1):INDEX($B$2:$B$23,n_fondo))+AVERAGE(INDEX($B$2:$B$23,$M$3-n_fondo+1):INDEX($B$2:$B$23,$M$3)))/2)</f>
        <v>-2.8364999999999998E-7</v>
      </c>
    </row>
    <row r="5" spans="1:13" x14ac:dyDescent="0.3">
      <c r="A5" s="21">
        <v>30</v>
      </c>
      <c r="B5" s="22">
        <v>-1.5379999999999999E-7</v>
      </c>
      <c r="C5" s="23">
        <f t="shared" si="0"/>
        <v>200.13845711889124</v>
      </c>
      <c r="D5" s="24">
        <f>IF(ISNUMBER(B5),AVERAGE(INDEX($B$2:$B$23,MAX(1,4-semi)):INDEX($B$2:$B$23,MIN($M$3,4+semi))),"")</f>
        <v>-1.5379999999999999E-7</v>
      </c>
      <c r="E5" s="25">
        <f t="shared" si="1"/>
        <v>4.5364584879985601E-3</v>
      </c>
      <c r="F5" s="23" t="str">
        <f>IF(AND(ISNUMBER(E5),ISNUMBER(E6),ISNUMBER($M$6)),IF(AND(5&lt;$M$6,E5&lt;0.5,E6&gt;=0.5),5,""),"")</f>
        <v/>
      </c>
      <c r="G5" s="23" t="str">
        <f>IF(AND(ISNUMBER(E5),ISNUMBER(E6),ISNUMBER($M$6)),IF(AND(5&gt;=$M$6,E5&gt;=0.5,E6&lt;0.5),5,""),"")</f>
        <v/>
      </c>
      <c r="H5" s="23" t="str">
        <f t="shared" si="2"/>
        <v/>
      </c>
      <c r="I5" s="23">
        <f t="shared" si="3"/>
        <v>-586.61574643663516</v>
      </c>
      <c r="J5" s="25">
        <f t="shared" si="4"/>
        <v>4.5364584879985601E-3</v>
      </c>
      <c r="K5" s="23">
        <f t="shared" si="5"/>
        <v>1</v>
      </c>
      <c r="L5" s="5" t="s">
        <v>55</v>
      </c>
      <c r="M5" s="26">
        <f>IF($M$3&lt;$M$2,"",MAX($D$2:$D$23))</f>
        <v>2.834E-5</v>
      </c>
    </row>
    <row r="6" spans="1:13" x14ac:dyDescent="0.3">
      <c r="A6" s="21">
        <v>40</v>
      </c>
      <c r="B6" s="22">
        <v>8.3890000000000005E-8</v>
      </c>
      <c r="C6" s="23">
        <f t="shared" si="0"/>
        <v>266.85127615852161</v>
      </c>
      <c r="D6" s="24">
        <f>IF(ISNUMBER(B6),AVERAGE(INDEX($B$2:$B$23,MAX(1,5-semi)):INDEX($B$2:$B$23,MIN($M$3,5+semi))),"")</f>
        <v>8.3890000000000005E-8</v>
      </c>
      <c r="E6" s="25">
        <f t="shared" si="1"/>
        <v>1.2840430902418105E-2</v>
      </c>
      <c r="F6" s="23" t="str">
        <f>IF(AND(ISNUMBER(E6),ISNUMBER(E7),ISNUMBER($M$6)),IF(AND(6&lt;$M$6,E6&lt;0.5,E7&gt;=0.5),6,""),"")</f>
        <v/>
      </c>
      <c r="G6" s="23" t="str">
        <f>IF(AND(ISNUMBER(E6),ISNUMBER(E7),ISNUMBER($M$6)),IF(AND(6&gt;=$M$6,E6&gt;=0.5,E7&lt;0.5),6,""),"")</f>
        <v/>
      </c>
      <c r="H6" s="23" t="str">
        <f t="shared" si="2"/>
        <v/>
      </c>
      <c r="I6" s="23">
        <f t="shared" si="3"/>
        <v>-519.90292739700476</v>
      </c>
      <c r="J6" s="25">
        <f t="shared" si="4"/>
        <v>1.2840430902418105E-2</v>
      </c>
      <c r="K6" s="23">
        <f t="shared" si="5"/>
        <v>1</v>
      </c>
      <c r="L6" s="5" t="s">
        <v>56</v>
      </c>
      <c r="M6" s="10">
        <f>IFERROR(MATCH($M$5,$D$2:$D$23,0)+1,"")</f>
        <v>14</v>
      </c>
    </row>
    <row r="7" spans="1:13" x14ac:dyDescent="0.3">
      <c r="A7" s="21">
        <v>50</v>
      </c>
      <c r="B7" s="22">
        <v>4.0550000000000002E-7</v>
      </c>
      <c r="C7" s="23">
        <f t="shared" si="0"/>
        <v>333.56409519815202</v>
      </c>
      <c r="D7" s="24">
        <f>IF(ISNUMBER(B7),AVERAGE(INDEX($B$2:$B$23,MAX(1,6-semi)):INDEX($B$2:$B$23,MIN($M$3,6+semi))),"")</f>
        <v>4.0550000000000002E-7</v>
      </c>
      <c r="E7" s="25">
        <f t="shared" si="1"/>
        <v>2.4076244643852201E-2</v>
      </c>
      <c r="F7" s="23" t="str">
        <f>IF(AND(ISNUMBER(E7),ISNUMBER(E8),ISNUMBER($M$6)),IF(AND(7&lt;$M$6,E7&lt;0.5,E8&gt;=0.5),7,""),"")</f>
        <v/>
      </c>
      <c r="G7" s="23" t="str">
        <f>IF(AND(ISNUMBER(E7),ISNUMBER(E8),ISNUMBER($M$6)),IF(AND(7&gt;=$M$6,E7&gt;=0.5,E8&lt;0.5),7,""),"")</f>
        <v/>
      </c>
      <c r="H7" s="23" t="str">
        <f t="shared" si="2"/>
        <v/>
      </c>
      <c r="I7" s="23">
        <f t="shared" si="3"/>
        <v>-453.19010835737436</v>
      </c>
      <c r="J7" s="25">
        <f t="shared" si="4"/>
        <v>2.4076244643852201E-2</v>
      </c>
      <c r="K7" s="23">
        <f t="shared" si="5"/>
        <v>1</v>
      </c>
      <c r="L7" s="5" t="s">
        <v>57</v>
      </c>
      <c r="M7" s="6">
        <f>IFERROR(INDEX($C$1:$C$23,$M$6),"")</f>
        <v>800.55382847556496</v>
      </c>
    </row>
    <row r="8" spans="1:13" x14ac:dyDescent="0.3">
      <c r="A8" s="21">
        <v>60</v>
      </c>
      <c r="B8" s="22">
        <v>1.26E-6</v>
      </c>
      <c r="C8" s="23">
        <f t="shared" si="0"/>
        <v>400.27691423778248</v>
      </c>
      <c r="D8" s="24">
        <f>IF(ISNUMBER(B8),AVERAGE(INDEX($B$2:$B$23,MAX(1,7-semi)):INDEX($B$2:$B$23,MIN($M$3,7+semi))),"")</f>
        <v>1.26E-6</v>
      </c>
      <c r="E8" s="25">
        <f t="shared" si="1"/>
        <v>5.3929180939537767E-2</v>
      </c>
      <c r="F8" s="23" t="str">
        <f>IF(AND(ISNUMBER(E8),ISNUMBER(E9),ISNUMBER($M$6)),IF(AND(8&lt;$M$6,E8&lt;0.5,E9&gt;=0.5),8,""),"")</f>
        <v/>
      </c>
      <c r="G8" s="23" t="str">
        <f>IF(AND(ISNUMBER(E8),ISNUMBER(E9),ISNUMBER($M$6)),IF(AND(8&gt;=$M$6,E8&gt;=0.5,E9&lt;0.5),8,""),"")</f>
        <v/>
      </c>
      <c r="H8" s="23" t="str">
        <f t="shared" si="2"/>
        <v/>
      </c>
      <c r="I8" s="23">
        <f t="shared" si="3"/>
        <v>-386.4772893177439</v>
      </c>
      <c r="J8" s="25">
        <f t="shared" si="4"/>
        <v>5.3929180939537767E-2</v>
      </c>
      <c r="K8" s="23">
        <f t="shared" si="5"/>
        <v>1</v>
      </c>
      <c r="L8" s="5" t="s">
        <v>58</v>
      </c>
      <c r="M8" s="10">
        <f>MAX($F$2:$F$23)</f>
        <v>11</v>
      </c>
    </row>
    <row r="9" spans="1:13" x14ac:dyDescent="0.3">
      <c r="A9" s="21">
        <v>70</v>
      </c>
      <c r="B9" s="22">
        <v>2.7750000000000001E-6</v>
      </c>
      <c r="C9" s="23">
        <f t="shared" si="0"/>
        <v>466.98973327741288</v>
      </c>
      <c r="D9" s="24">
        <f>IF(ISNUMBER(B9),AVERAGE(INDEX($B$2:$B$23,MAX(1,8-semi)):INDEX($B$2:$B$23,MIN($M$3,8+semi))),"")</f>
        <v>2.7750000000000001E-6</v>
      </c>
      <c r="E9" s="25">
        <f t="shared" si="1"/>
        <v>0.10685744131164265</v>
      </c>
      <c r="F9" s="23" t="str">
        <f>IF(AND(ISNUMBER(E9),ISNUMBER(E10),ISNUMBER($M$6)),IF(AND(9&lt;$M$6,E9&lt;0.5,E10&gt;=0.5),9,""),"")</f>
        <v/>
      </c>
      <c r="G9" s="23" t="str">
        <f>IF(AND(ISNUMBER(E9),ISNUMBER(E10),ISNUMBER($M$6)),IF(AND(9&gt;=$M$6,E9&gt;=0.5,E10&lt;0.5),9,""),"")</f>
        <v/>
      </c>
      <c r="H9" s="23" t="str">
        <f t="shared" si="2"/>
        <v/>
      </c>
      <c r="I9" s="23">
        <f t="shared" si="3"/>
        <v>-319.76447027811349</v>
      </c>
      <c r="J9" s="25">
        <f t="shared" si="4"/>
        <v>0.10685744131164265</v>
      </c>
      <c r="K9" s="23">
        <f t="shared" si="5"/>
        <v>1</v>
      </c>
      <c r="L9" s="5" t="s">
        <v>59</v>
      </c>
      <c r="M9" s="10">
        <f>MIN($G$2:$G$23)</f>
        <v>16</v>
      </c>
    </row>
    <row r="10" spans="1:13" x14ac:dyDescent="0.3">
      <c r="A10" s="21">
        <v>80</v>
      </c>
      <c r="B10" s="22">
        <v>5.7189999999999998E-6</v>
      </c>
      <c r="C10" s="23">
        <f t="shared" si="0"/>
        <v>533.70255231704323</v>
      </c>
      <c r="D10" s="24">
        <f>IF(ISNUMBER(B10),AVERAGE(INDEX($B$2:$B$23,MAX(1,9-semi)):INDEX($B$2:$B$23,MIN($M$3,9+semi))),"")</f>
        <v>5.7189999999999998E-6</v>
      </c>
      <c r="E10" s="25">
        <f t="shared" si="1"/>
        <v>0.20970945354628079</v>
      </c>
      <c r="F10" s="23" t="str">
        <f>IF(AND(ISNUMBER(E10),ISNUMBER(E11),ISNUMBER($M$6)),IF(AND(10&lt;$M$6,E10&lt;0.5,E11&gt;=0.5),10,""),"")</f>
        <v/>
      </c>
      <c r="G10" s="23" t="str">
        <f>IF(AND(ISNUMBER(E10),ISNUMBER(E11),ISNUMBER($M$6)),IF(AND(10&gt;=$M$6,E10&gt;=0.5,E11&lt;0.5),10,""),"")</f>
        <v/>
      </c>
      <c r="H10" s="23" t="str">
        <f t="shared" si="2"/>
        <v/>
      </c>
      <c r="I10" s="23">
        <f t="shared" si="3"/>
        <v>-253.05165123848315</v>
      </c>
      <c r="J10" s="25">
        <f t="shared" si="4"/>
        <v>0.20970945354628079</v>
      </c>
      <c r="K10" s="23">
        <f t="shared" si="5"/>
        <v>1</v>
      </c>
      <c r="L10" s="5" t="s">
        <v>60</v>
      </c>
      <c r="M10" s="6">
        <f>IF($M$8&gt;0,INDEX($H$1:$H$23,$M$8),"")</f>
        <v>618.41147735711286</v>
      </c>
    </row>
    <row r="11" spans="1:13" x14ac:dyDescent="0.3">
      <c r="A11" s="21">
        <v>90</v>
      </c>
      <c r="B11" s="22">
        <v>1.1800000000000001E-5</v>
      </c>
      <c r="C11" s="23">
        <f t="shared" si="0"/>
        <v>600.41537135667363</v>
      </c>
      <c r="D11" s="24">
        <f>IF(ISNUMBER(B11),AVERAGE(INDEX($B$2:$B$23,MAX(1,10-semi)):INDEX($B$2:$B$23,MIN($M$3,10+semi))),"")</f>
        <v>1.1800000000000001E-5</v>
      </c>
      <c r="E11" s="25">
        <f t="shared" si="1"/>
        <v>0.42215615408936324</v>
      </c>
      <c r="F11" s="23">
        <f>IF(AND(ISNUMBER(E11),ISNUMBER(E12),ISNUMBER($M$6)),IF(AND(11&lt;$M$6,E11&lt;0.5,E12&gt;=0.5),11,""),"")</f>
        <v>11</v>
      </c>
      <c r="G11" s="23" t="str">
        <f>IF(AND(ISNUMBER(E11),ISNUMBER(E12),ISNUMBER($M$6)),IF(AND(11&gt;=$M$6,E11&gt;=0.5,E12&lt;0.5),11,""),"")</f>
        <v/>
      </c>
      <c r="H11" s="23">
        <f t="shared" si="2"/>
        <v>618.41147735711286</v>
      </c>
      <c r="I11" s="23">
        <f t="shared" si="3"/>
        <v>-186.33883219885274</v>
      </c>
      <c r="J11" s="25">
        <f t="shared" si="4"/>
        <v>0.42215615408936324</v>
      </c>
      <c r="K11" s="23">
        <f t="shared" si="5"/>
        <v>1</v>
      </c>
      <c r="L11" s="5" t="s">
        <v>61</v>
      </c>
      <c r="M11" s="6">
        <f>IF($M$9&gt;0,INDEX($H$1:$H$23,$M$9),"")</f>
        <v>955.09692975394</v>
      </c>
    </row>
    <row r="12" spans="1:13" ht="15.6" x14ac:dyDescent="0.3">
      <c r="A12" s="21">
        <v>100</v>
      </c>
      <c r="B12" s="22">
        <v>2.0060000000000001E-5</v>
      </c>
      <c r="C12" s="23">
        <f t="shared" si="0"/>
        <v>667.12819039630403</v>
      </c>
      <c r="D12" s="24">
        <f>IF(ISNUMBER(B12),AVERAGE(INDEX($B$2:$B$23,MAX(1,11-semi)):INDEX($B$2:$B$23,MIN($M$3,11+semi))),"")</f>
        <v>2.0060000000000001E-5</v>
      </c>
      <c r="E12" s="25">
        <f t="shared" si="1"/>
        <v>0.71072871559008022</v>
      </c>
      <c r="F12" s="23" t="str">
        <f>IF(AND(ISNUMBER(E12),ISNUMBER(E13),ISNUMBER($M$6)),IF(AND(12&lt;$M$6,E12&lt;0.5,E13&gt;=0.5),12,""),"")</f>
        <v/>
      </c>
      <c r="G12" s="23" t="str">
        <f>IF(AND(ISNUMBER(E12),ISNUMBER(E13),ISNUMBER($M$6)),IF(AND(12&gt;=$M$6,E12&gt;=0.5,E13&lt;0.5),12,""),"")</f>
        <v/>
      </c>
      <c r="H12" s="23" t="str">
        <f t="shared" si="2"/>
        <v/>
      </c>
      <c r="I12" s="23">
        <f t="shared" si="3"/>
        <v>-119.62601315922234</v>
      </c>
      <c r="J12" s="25">
        <f t="shared" si="4"/>
        <v>0.71072871559008022</v>
      </c>
      <c r="K12" s="23">
        <f t="shared" si="5"/>
        <v>1</v>
      </c>
      <c r="L12" s="5" t="s">
        <v>62</v>
      </c>
      <c r="M12" s="18">
        <f>IF(AND($M$8&gt;0,$M$9&gt;0),ABS($M$11-$M$10),"")</f>
        <v>336.68545239682715</v>
      </c>
    </row>
    <row r="13" spans="1:13" ht="15.6" x14ac:dyDescent="0.3">
      <c r="A13" s="21">
        <v>110</v>
      </c>
      <c r="B13" s="22">
        <v>2.6509999999999999E-5</v>
      </c>
      <c r="C13" s="23">
        <f t="shared" si="0"/>
        <v>733.84100943593455</v>
      </c>
      <c r="D13" s="24">
        <f>IF(ISNUMBER(B13),AVERAGE(INDEX($B$2:$B$23,MAX(1,12-semi)):INDEX($B$2:$B$23,MIN($M$3,12+semi))),"")</f>
        <v>2.6509999999999999E-5</v>
      </c>
      <c r="E13" s="25">
        <f t="shared" si="1"/>
        <v>0.93606685380795251</v>
      </c>
      <c r="F13" s="23" t="str">
        <f>IF(AND(ISNUMBER(E13),ISNUMBER(E14),ISNUMBER($M$6)),IF(AND(13&lt;$M$6,E13&lt;0.5,E14&gt;=0.5),13,""),"")</f>
        <v/>
      </c>
      <c r="G13" s="23" t="str">
        <f>IF(AND(ISNUMBER(E13),ISNUMBER(E14),ISNUMBER($M$6)),IF(AND(13&gt;=$M$6,E13&gt;=0.5,E14&lt;0.5),13,""),"")</f>
        <v/>
      </c>
      <c r="H13" s="23" t="str">
        <f t="shared" si="2"/>
        <v/>
      </c>
      <c r="I13" s="23">
        <f t="shared" si="3"/>
        <v>-52.913194119591822</v>
      </c>
      <c r="J13" s="25">
        <f t="shared" si="4"/>
        <v>0.93606685380795251</v>
      </c>
      <c r="K13" s="23">
        <f t="shared" si="5"/>
        <v>1</v>
      </c>
      <c r="L13" s="5" t="s">
        <v>63</v>
      </c>
      <c r="M13" s="18">
        <f>IF(ISNUMBER($M$12),factor_forma*$M$12,"")</f>
        <v>218.84554405793764</v>
      </c>
    </row>
    <row r="14" spans="1:13" x14ac:dyDescent="0.3">
      <c r="A14" s="21">
        <v>120</v>
      </c>
      <c r="B14" s="22">
        <v>2.834E-5</v>
      </c>
      <c r="C14" s="23">
        <f t="shared" si="0"/>
        <v>800.55382847556496</v>
      </c>
      <c r="D14" s="24">
        <f>IF(ISNUMBER(B14),AVERAGE(INDEX($B$2:$B$23,MAX(1,13-semi)):INDEX($B$2:$B$23,MIN($M$3,13+semi))),"")</f>
        <v>2.834E-5</v>
      </c>
      <c r="E14" s="25">
        <f t="shared" si="1"/>
        <v>1</v>
      </c>
      <c r="F14" s="23" t="str">
        <f>IF(AND(ISNUMBER(E14),ISNUMBER(E15),ISNUMBER($M$6)),IF(AND(14&lt;$M$6,E14&lt;0.5,E15&gt;=0.5),14,""),"")</f>
        <v/>
      </c>
      <c r="G14" s="23" t="str">
        <f>IF(AND(ISNUMBER(E14),ISNUMBER(E15),ISNUMBER($M$6)),IF(AND(14&gt;=$M$6,E14&gt;=0.5,E15&lt;0.5),14,""),"")</f>
        <v/>
      </c>
      <c r="H14" s="23" t="str">
        <f t="shared" si="2"/>
        <v/>
      </c>
      <c r="I14" s="23">
        <f t="shared" si="3"/>
        <v>13.799624920038582</v>
      </c>
      <c r="J14" s="25">
        <f t="shared" si="4"/>
        <v>1</v>
      </c>
      <c r="K14" s="23">
        <f t="shared" si="5"/>
        <v>1</v>
      </c>
      <c r="L14" s="5" t="s">
        <v>64</v>
      </c>
      <c r="M14" s="6">
        <f>IF(ISNUMBER($M$12),0.7071*$M$12,"")</f>
        <v>238.07028338979646</v>
      </c>
    </row>
    <row r="15" spans="1:13" x14ac:dyDescent="0.3">
      <c r="A15" s="21">
        <v>130</v>
      </c>
      <c r="B15" s="22">
        <v>2.3839999999999999E-5</v>
      </c>
      <c r="C15" s="23">
        <f t="shared" si="0"/>
        <v>867.26664751519536</v>
      </c>
      <c r="D15" s="24">
        <f>IF(ISNUMBER(B15),AVERAGE(INDEX($B$2:$B$23,MAX(1,14-semi)):INDEX($B$2:$B$23,MIN($M$3,14+semi))),"")</f>
        <v>2.3839999999999999E-5</v>
      </c>
      <c r="E15" s="25">
        <f t="shared" si="1"/>
        <v>0.84278734542939138</v>
      </c>
      <c r="F15" s="23" t="str">
        <f>IF(AND(ISNUMBER(E15),ISNUMBER(E16),ISNUMBER($M$6)),IF(AND(15&lt;$M$6,E15&lt;0.5,E16&gt;=0.5),15,""),"")</f>
        <v/>
      </c>
      <c r="G15" s="23" t="str">
        <f>IF(AND(ISNUMBER(E15),ISNUMBER(E16),ISNUMBER($M$6)),IF(AND(15&gt;=$M$6,E15&gt;=0.5,E16&lt;0.5),15,""),"")</f>
        <v/>
      </c>
      <c r="H15" s="23" t="str">
        <f t="shared" si="2"/>
        <v/>
      </c>
      <c r="I15" s="23">
        <f t="shared" si="3"/>
        <v>80.512443959668985</v>
      </c>
      <c r="J15" s="25">
        <f t="shared" si="4"/>
        <v>0.84278734542939138</v>
      </c>
      <c r="K15" s="23">
        <f t="shared" si="5"/>
        <v>1</v>
      </c>
      <c r="L15" s="5" t="s">
        <v>65</v>
      </c>
      <c r="M15" s="6">
        <f>IF(ISNUMBER($M$12),($M$10+$M$11)/2,$M$7)</f>
        <v>786.75420355552637</v>
      </c>
    </row>
    <row r="16" spans="1:13" x14ac:dyDescent="0.3">
      <c r="A16" s="21">
        <v>140</v>
      </c>
      <c r="B16" s="22">
        <v>1.6520000000000001E-5</v>
      </c>
      <c r="C16" s="23">
        <f t="shared" si="0"/>
        <v>933.97946655482576</v>
      </c>
      <c r="D16" s="24">
        <f>IF(ISNUMBER(B16),AVERAGE(INDEX($B$2:$B$23,MAX(1,15-semi)):INDEX($B$2:$B$23,MIN($M$3,15+semi))),"")</f>
        <v>1.6520000000000001E-5</v>
      </c>
      <c r="E16" s="25">
        <f t="shared" si="1"/>
        <v>0.58705476066120155</v>
      </c>
      <c r="F16" s="23" t="str">
        <f>IF(AND(ISNUMBER(E16),ISNUMBER(E17),ISNUMBER($M$6)),IF(AND(16&lt;$M$6,E16&lt;0.5,E17&gt;=0.5),16,""),"")</f>
        <v/>
      </c>
      <c r="G16" s="23">
        <f>IF(AND(ISNUMBER(E16),ISNUMBER(E17),ISNUMBER($M$6)),IF(AND(16&gt;=$M$6,E16&gt;=0.5,E17&lt;0.5),16,""),"")</f>
        <v>16</v>
      </c>
      <c r="H16" s="23">
        <f t="shared" si="2"/>
        <v>955.09692975394</v>
      </c>
      <c r="I16" s="23">
        <f t="shared" si="3"/>
        <v>147.22526299929939</v>
      </c>
      <c r="J16" s="25">
        <f t="shared" si="4"/>
        <v>0.58705476066120155</v>
      </c>
      <c r="K16" s="23">
        <f t="shared" si="5"/>
        <v>1</v>
      </c>
      <c r="L16" s="5" t="s">
        <v>66</v>
      </c>
      <c r="M16" s="10">
        <f>COUNTIF($E$2:$E$23,"&gt;=0.5")</f>
        <v>5</v>
      </c>
    </row>
    <row r="17" spans="1:13" x14ac:dyDescent="0.3">
      <c r="A17" s="21">
        <v>150</v>
      </c>
      <c r="B17" s="22">
        <v>8.6479999999999992E-6</v>
      </c>
      <c r="C17" s="23">
        <f t="shared" si="0"/>
        <v>1000.6922855944562</v>
      </c>
      <c r="D17" s="24">
        <f>IF(ISNUMBER(B17),AVERAGE(INDEX($B$2:$B$23,MAX(1,16-semi)):INDEX($B$2:$B$23,MIN($M$3,16+semi))),"")</f>
        <v>8.6479999999999992E-6</v>
      </c>
      <c r="E17" s="25">
        <f t="shared" si="1"/>
        <v>0.31203742359901687</v>
      </c>
      <c r="F17" s="23" t="str">
        <f>IF(AND(ISNUMBER(E17),ISNUMBER(E18),ISNUMBER($M$6)),IF(AND(17&lt;$M$6,E17&lt;0.5,E18&gt;=0.5),17,""),"")</f>
        <v/>
      </c>
      <c r="G17" s="23" t="str">
        <f>IF(AND(ISNUMBER(E17),ISNUMBER(E18),ISNUMBER($M$6)),IF(AND(17&gt;=$M$6,E17&gt;=0.5,E18&lt;0.5),17,""),"")</f>
        <v/>
      </c>
      <c r="H17" s="23" t="str">
        <f t="shared" si="2"/>
        <v/>
      </c>
      <c r="I17" s="23">
        <f t="shared" si="3"/>
        <v>213.93808203892979</v>
      </c>
      <c r="J17" s="25">
        <f t="shared" si="4"/>
        <v>0.31203742359901687</v>
      </c>
      <c r="K17" s="23">
        <f t="shared" si="5"/>
        <v>1</v>
      </c>
      <c r="L17" s="5" t="s">
        <v>67</v>
      </c>
      <c r="M17" s="6">
        <f>IFERROR($M$15-MIN($C$2:$C$23),"")</f>
        <v>786.75420355552637</v>
      </c>
    </row>
    <row r="18" spans="1:13" x14ac:dyDescent="0.3">
      <c r="A18" s="21">
        <v>160</v>
      </c>
      <c r="B18" s="22">
        <v>3.9260000000000002E-6</v>
      </c>
      <c r="C18" s="23">
        <f t="shared" si="0"/>
        <v>1067.4051046340865</v>
      </c>
      <c r="D18" s="24">
        <f>IF(ISNUMBER(B18),AVERAGE(INDEX($B$2:$B$23,MAX(1,17-semi)):INDEX($B$2:$B$23,MIN($M$3,17+semi))),"")</f>
        <v>3.9260000000000002E-6</v>
      </c>
      <c r="E18" s="25">
        <f t="shared" si="1"/>
        <v>0.14706894473625834</v>
      </c>
      <c r="F18" s="23" t="str">
        <f>IF(AND(ISNUMBER(E18),ISNUMBER(E19),ISNUMBER($M$6)),IF(AND(18&lt;$M$6,E18&lt;0.5,E19&gt;=0.5),18,""),"")</f>
        <v/>
      </c>
      <c r="G18" s="23" t="str">
        <f>IF(AND(ISNUMBER(E18),ISNUMBER(E19),ISNUMBER($M$6)),IF(AND(18&gt;=$M$6,E18&gt;=0.5,E19&lt;0.5),18,""),"")</f>
        <v/>
      </c>
      <c r="H18" s="23" t="str">
        <f t="shared" si="2"/>
        <v/>
      </c>
      <c r="I18" s="23">
        <f t="shared" si="3"/>
        <v>280.65090107856008</v>
      </c>
      <c r="J18" s="25">
        <f t="shared" si="4"/>
        <v>0.14706894473625834</v>
      </c>
      <c r="K18" s="23">
        <f t="shared" si="5"/>
        <v>1</v>
      </c>
      <c r="L18" s="5" t="s">
        <v>68</v>
      </c>
      <c r="M18" s="6">
        <f>IFERROR(MAX($C$2:$C$23)-$M$15,"")</f>
        <v>614.2149962767121</v>
      </c>
    </row>
    <row r="19" spans="1:13" x14ac:dyDescent="0.3">
      <c r="A19" s="21">
        <v>170</v>
      </c>
      <c r="B19" s="22">
        <v>1.542E-6</v>
      </c>
      <c r="C19" s="23">
        <f t="shared" si="0"/>
        <v>1134.1179236737169</v>
      </c>
      <c r="D19" s="24">
        <f>IF(ISNUMBER(B19),AVERAGE(INDEX($B$2:$B$23,MAX(1,18-semi)):INDEX($B$2:$B$23,MIN($M$3,18+semi))),"")</f>
        <v>1.542E-6</v>
      </c>
      <c r="E19" s="25">
        <f t="shared" si="1"/>
        <v>6.3781173959295903E-2</v>
      </c>
      <c r="F19" s="23" t="str">
        <f>IF(AND(ISNUMBER(E19),ISNUMBER(E20),ISNUMBER($M$6)),IF(AND(19&lt;$M$6,E19&lt;0.5,E20&gt;=0.5),19,""),"")</f>
        <v/>
      </c>
      <c r="G19" s="23" t="str">
        <f>IF(AND(ISNUMBER(E19),ISNUMBER(E20),ISNUMBER($M$6)),IF(AND(19&gt;=$M$6,E19&gt;=0.5,E20&lt;0.5),19,""),"")</f>
        <v/>
      </c>
      <c r="H19" s="23" t="str">
        <f t="shared" si="2"/>
        <v/>
      </c>
      <c r="I19" s="23">
        <f t="shared" si="3"/>
        <v>347.36372011819049</v>
      </c>
      <c r="J19" s="25">
        <f t="shared" si="4"/>
        <v>6.3781173959295903E-2</v>
      </c>
      <c r="K19" s="23">
        <f t="shared" si="5"/>
        <v>1</v>
      </c>
      <c r="L19" s="5" t="s">
        <v>69</v>
      </c>
      <c r="M19" s="10">
        <f>IF($M$3&lt;$M$2,"",IFERROR(INDEX($A$1:$A$23,$M$6),""))</f>
        <v>120</v>
      </c>
    </row>
    <row r="20" spans="1:13" x14ac:dyDescent="0.3">
      <c r="A20" s="21">
        <v>180</v>
      </c>
      <c r="B20" s="22">
        <v>6.7329999999999997E-7</v>
      </c>
      <c r="C20" s="23">
        <f t="shared" si="0"/>
        <v>1200.8307427133473</v>
      </c>
      <c r="D20" s="24">
        <f>IF(ISNUMBER(B20),AVERAGE(INDEX($B$2:$B$23,MAX(1,19-semi)):INDEX($B$2:$B$23,MIN($M$3,19+semi))),"")</f>
        <v>6.7329999999999997E-7</v>
      </c>
      <c r="E20" s="25">
        <f t="shared" si="1"/>
        <v>3.3432144398076416E-2</v>
      </c>
      <c r="F20" s="23" t="str">
        <f>IF(AND(ISNUMBER(E20),ISNUMBER(E21),ISNUMBER($M$6)),IF(AND(20&lt;$M$6,E20&lt;0.5,E21&gt;=0.5),20,""),"")</f>
        <v/>
      </c>
      <c r="G20" s="23" t="str">
        <f>IF(AND(ISNUMBER(E20),ISNUMBER(E21),ISNUMBER($M$6)),IF(AND(20&gt;=$M$6,E20&gt;=0.5,E21&lt;0.5),20,""),"")</f>
        <v/>
      </c>
      <c r="H20" s="23" t="str">
        <f t="shared" si="2"/>
        <v/>
      </c>
      <c r="I20" s="23">
        <f t="shared" si="3"/>
        <v>414.07653915782089</v>
      </c>
      <c r="J20" s="25">
        <f t="shared" si="4"/>
        <v>3.3432144398076416E-2</v>
      </c>
      <c r="K20" s="23">
        <f t="shared" si="5"/>
        <v>1</v>
      </c>
      <c r="L20" s="5" t="s">
        <v>70</v>
      </c>
      <c r="M20" s="20" t="str">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Aviso: el pico está corrido; el barrido no llega a una de las alas</v>
      </c>
    </row>
    <row r="21" spans="1:13" x14ac:dyDescent="0.3">
      <c r="A21" s="21">
        <v>190</v>
      </c>
      <c r="B21" s="22">
        <v>6.9899999999999997E-8</v>
      </c>
      <c r="C21" s="23">
        <f t="shared" si="0"/>
        <v>1267.5435617529777</v>
      </c>
      <c r="D21" s="24">
        <f>IF(ISNUMBER(B21),AVERAGE(INDEX($B$2:$B$23,MAX(1,20-semi)):INDEX($B$2:$B$23,MIN($M$3,20+semi))),"")</f>
        <v>6.9899999999999997E-8</v>
      </c>
      <c r="E21" s="25">
        <f t="shared" si="1"/>
        <v>1.2351674227430814E-2</v>
      </c>
      <c r="F21" s="23" t="str">
        <f>IF(AND(ISNUMBER(E21),ISNUMBER(E22),ISNUMBER($M$6)),IF(AND(21&lt;$M$6,E21&lt;0.5,E22&gt;=0.5),21,""),"")</f>
        <v/>
      </c>
      <c r="G21" s="23" t="str">
        <f>IF(AND(ISNUMBER(E21),ISNUMBER(E22),ISNUMBER($M$6)),IF(AND(21&gt;=$M$6,E21&gt;=0.5,E22&lt;0.5),21,""),"")</f>
        <v/>
      </c>
      <c r="H21" s="23" t="str">
        <f t="shared" si="2"/>
        <v/>
      </c>
      <c r="I21" s="23">
        <f t="shared" si="3"/>
        <v>480.78935819745129</v>
      </c>
      <c r="J21" s="25">
        <f t="shared" si="4"/>
        <v>1.2351674227430814E-2</v>
      </c>
      <c r="K21" s="23">
        <f t="shared" si="5"/>
        <v>1</v>
      </c>
    </row>
    <row r="22" spans="1:13" x14ac:dyDescent="0.3">
      <c r="A22" s="21">
        <v>200</v>
      </c>
      <c r="B22" s="22">
        <v>-1.9570000000000001E-7</v>
      </c>
      <c r="C22" s="23">
        <f t="shared" si="0"/>
        <v>1334.2563807926081</v>
      </c>
      <c r="D22" s="24">
        <f>IF(ISNUMBER(B22),AVERAGE(INDEX($B$2:$B$23,MAX(1,21-semi)):INDEX($B$2:$B$23,MIN($M$3,21+semi))),"")</f>
        <v>-1.9570000000000001E-7</v>
      </c>
      <c r="E22" s="25">
        <f t="shared" si="1"/>
        <v>3.0726339932188929E-3</v>
      </c>
      <c r="F22" s="23" t="str">
        <f>IF(AND(ISNUMBER(E22),ISNUMBER(E23),ISNUMBER($M$6)),IF(AND(22&lt;$M$6,E22&lt;0.5,E23&gt;=0.5),22,""),"")</f>
        <v/>
      </c>
      <c r="G22" s="23" t="str">
        <f>IF(AND(ISNUMBER(E22),ISNUMBER(E23),ISNUMBER($M$6)),IF(AND(22&gt;=$M$6,E22&gt;=0.5,E23&lt;0.5),22,""),"")</f>
        <v/>
      </c>
      <c r="H22" s="23" t="str">
        <f t="shared" si="2"/>
        <v/>
      </c>
      <c r="I22" s="23">
        <f t="shared" si="3"/>
        <v>547.5021772370817</v>
      </c>
      <c r="J22" s="25">
        <f t="shared" si="4"/>
        <v>3.0726339932188929E-3</v>
      </c>
      <c r="K22" s="23">
        <f t="shared" si="5"/>
        <v>1</v>
      </c>
      <c r="L22" s="2" t="s">
        <v>73</v>
      </c>
    </row>
    <row r="23" spans="1:13" x14ac:dyDescent="0.3">
      <c r="A23" s="21">
        <v>210</v>
      </c>
      <c r="B23" s="22">
        <v>-2.3769999999999999E-7</v>
      </c>
      <c r="C23" s="23">
        <f t="shared" si="0"/>
        <v>1400.9691998322385</v>
      </c>
      <c r="D23" s="24">
        <f>IF(ISNUMBER(B23),AVERAGE(INDEX($B$2:$B$23,MAX(1,22-semi)):INDEX($B$2:$B$23,MIN($M$3,22+semi))),"")</f>
        <v>-2.3769999999999999E-7</v>
      </c>
      <c r="E23" s="25">
        <f t="shared" si="1"/>
        <v>1.6053158838932138E-3</v>
      </c>
      <c r="F23" s="23" t="str">
        <f>IF(AND(ISNUMBER(E23),ISNUMBER(E24),ISNUMBER($M$6)),IF(AND(23&lt;$M$6,E23&lt;0.5,E24&gt;=0.5),23,""),"")</f>
        <v/>
      </c>
      <c r="G23" s="23" t="str">
        <f>IF(AND(ISNUMBER(E23),ISNUMBER(E24),ISNUMBER($M$6)),IF(AND(23&gt;=$M$6,E23&gt;=0.5,E24&lt;0.5),23,""),"")</f>
        <v/>
      </c>
      <c r="H23" s="23" t="str">
        <f t="shared" si="2"/>
        <v/>
      </c>
      <c r="I23" s="23">
        <f t="shared" si="3"/>
        <v>614.2149962767121</v>
      </c>
      <c r="J23" s="25">
        <f t="shared" si="4"/>
        <v>1.6053158838932138E-3</v>
      </c>
      <c r="K23" s="23" t="str">
        <f t="shared" si="5"/>
        <v/>
      </c>
      <c r="L23" s="23">
        <f>IF(ISNUMBER($M$12),$M$10-$M$15,NA())</f>
        <v>-168.34272619841352</v>
      </c>
      <c r="M23" s="23">
        <f>IF(ISNUMBER($M$12),0.5,NA())</f>
        <v>0.5</v>
      </c>
    </row>
    <row r="24" spans="1:13" x14ac:dyDescent="0.3">
      <c r="L24" s="23">
        <f>IF(ISNUMBER($M$12),$M$11-$M$15,NA())</f>
        <v>168.34272619841363</v>
      </c>
      <c r="M24" s="23">
        <f>IF(ISNUMBER($M$12),0.5,NA())</f>
        <v>0.5</v>
      </c>
    </row>
    <row r="26" spans="1:13" ht="26.4" x14ac:dyDescent="0.3">
      <c r="L26" s="7" t="s">
        <v>74</v>
      </c>
    </row>
  </sheetData>
  <sheetProtection sheet="1" objects="1" scenarios="1" formatColumns="0" formatRows="0"/>
  <conditionalFormatting sqref="I2:J23">
    <cfRule type="containsErrors" dxfId="24" priority="4">
      <formula>ISERROR(I2)</formula>
    </cfRule>
  </conditionalFormatting>
  <conditionalFormatting sqref="L23:M24">
    <cfRule type="containsErrors" dxfId="23" priority="5">
      <formula>ISERROR(L23)</formula>
    </cfRule>
  </conditionalFormatting>
  <conditionalFormatting sqref="M20">
    <cfRule type="cellIs" dxfId="22" priority="1" operator="equal">
      <formula>"OK"</formula>
    </cfRule>
    <cfRule type="beginsWith" dxfId="21" priority="2" operator="beginsWith" text="Aviso">
      <formula>LEFT(M20,5)="Aviso"</formula>
    </cfRule>
    <cfRule type="beginsWith" dxfId="20"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xr:uid="{00000000-0002-0000-0B00-000000000000}">
      <formula1>-1</formula1>
      <formula2>1</formula2>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
  <sheetViews>
    <sheetView workbookViewId="0">
      <pane ySplit="1" topLeftCell="A2" activePane="bottomLeft" state="frozen"/>
      <selection pane="bottomLeft" activeCell="B24" sqref="B24"/>
    </sheetView>
  </sheetViews>
  <sheetFormatPr baseColWidth="10" defaultColWidth="8.88671875" defaultRowHeight="14.4" x14ac:dyDescent="0.3"/>
  <cols>
    <col min="1" max="1" width="14.6640625" customWidth="1"/>
    <col min="2" max="2" width="15.6640625" customWidth="1"/>
    <col min="3" max="5" width="12.6640625" customWidth="1"/>
    <col min="6" max="8" width="9.6640625" customWidth="1"/>
    <col min="9" max="10" width="11.6640625" customWidth="1"/>
    <col min="11" max="11" width="7.6640625" customWidth="1"/>
    <col min="12" max="12" width="42.6640625" customWidth="1"/>
    <col min="13" max="13" width="14.6640625" customWidth="1"/>
  </cols>
  <sheetData>
    <row r="1" spans="1:13" ht="42" customHeight="1" x14ac:dyDescent="0.3">
      <c r="A1" s="4" t="s">
        <v>41</v>
      </c>
      <c r="B1" s="4" t="s">
        <v>42</v>
      </c>
      <c r="C1" s="4" t="s">
        <v>43</v>
      </c>
      <c r="D1" s="4" t="s">
        <v>44</v>
      </c>
      <c r="E1" s="4" t="s">
        <v>45</v>
      </c>
      <c r="F1" s="4" t="s">
        <v>46</v>
      </c>
      <c r="G1" s="4" t="s">
        <v>47</v>
      </c>
      <c r="H1" s="4" t="s">
        <v>48</v>
      </c>
      <c r="I1" s="4" t="s">
        <v>49</v>
      </c>
      <c r="J1" s="4" t="s">
        <v>50</v>
      </c>
      <c r="K1" s="4" t="s">
        <v>51</v>
      </c>
      <c r="L1" s="4" t="s">
        <v>82</v>
      </c>
      <c r="M1" s="4" t="s">
        <v>72</v>
      </c>
    </row>
    <row r="2" spans="1:13" x14ac:dyDescent="0.3">
      <c r="A2" s="21">
        <v>0</v>
      </c>
      <c r="B2" s="22">
        <v>-1.398E-8</v>
      </c>
      <c r="C2" s="23">
        <f t="shared" ref="C2:C23" si="0">IF(ISNUMBER(A2),A2*conv,"")</f>
        <v>0</v>
      </c>
      <c r="D2" s="24">
        <f>IF(ISNUMBER(B2),AVERAGE(INDEX($B$2:$B$23,MAX(1,1-semi)):INDEX($B$2:$B$23,MIN($M$3,1+semi))),"")</f>
        <v>-1.398E-8</v>
      </c>
      <c r="E2" s="25">
        <f t="shared" ref="E2:E23" si="1">IF(AND(ISNUMBER(D2),ISNUMBER($M$4)),(D2-$M$4)/($M$5-$M$4),"")</f>
        <v>5.9502097094588135E-4</v>
      </c>
      <c r="F2" s="23" t="str">
        <f>IF(AND(ISNUMBER(E2),ISNUMBER(E3),ISNUMBER($M$6)),IF(AND(2&lt;$M$6,E2&lt;0.5,E3&gt;=0.5),2,""),"")</f>
        <v/>
      </c>
      <c r="G2" s="23" t="str">
        <f>IF(AND(ISNUMBER(E2),ISNUMBER(E3),ISNUMBER($M$6)),IF(AND(2&gt;=$M$6,E2&gt;=0.5,E3&lt;0.5),2,""),"")</f>
        <v/>
      </c>
      <c r="H2" s="23" t="str">
        <f t="shared" ref="H2:H23" si="2">IF(OR(ISNUMBER(F2),ISNUMBER(G2)),C2+(0.5-E2)*(C3-C2)/(E3-E2),"")</f>
        <v/>
      </c>
      <c r="I2" s="23">
        <f t="shared" ref="I2:I23" si="3">IF(AND(ISNUMBER(E2),ISNUMBER($M$15)),C2-$M$15,NA())</f>
        <v>-789.43617427159006</v>
      </c>
      <c r="J2" s="25">
        <f t="shared" ref="J2:J23" si="4">IF(ISNUMBER(E2),E2,NA())</f>
        <v>5.9502097094588135E-4</v>
      </c>
      <c r="K2" s="23">
        <f t="shared" ref="K2:K23" si="5">IF(AND(ISNUMBER(C2),ISNUMBER(C3)),SIGN(C3-C2),"")</f>
        <v>1</v>
      </c>
      <c r="L2" s="5" t="s">
        <v>52</v>
      </c>
      <c r="M2" s="10">
        <f>COUNT($A$2:$A$23)</f>
        <v>22</v>
      </c>
    </row>
    <row r="3" spans="1:13" x14ac:dyDescent="0.3">
      <c r="A3" s="21">
        <v>10</v>
      </c>
      <c r="B3" s="22">
        <v>9.9359999999999998E-8</v>
      </c>
      <c r="C3" s="23">
        <f t="shared" si="0"/>
        <v>66.712819039630403</v>
      </c>
      <c r="D3" s="24">
        <f>IF(ISNUMBER(B3),AVERAGE(INDEX($B$2:$B$23,MAX(1,2-semi)):INDEX($B$2:$B$23,MIN($M$3,2+semi))),"")</f>
        <v>9.9359999999999998E-8</v>
      </c>
      <c r="E3" s="25">
        <f t="shared" si="1"/>
        <v>4.5371327258490659E-3</v>
      </c>
      <c r="F3" s="23" t="str">
        <f>IF(AND(ISNUMBER(E3),ISNUMBER(E4),ISNUMBER($M$6)),IF(AND(3&lt;$M$6,E3&lt;0.5,E4&gt;=0.5),3,""),"")</f>
        <v/>
      </c>
      <c r="G3" s="23" t="str">
        <f>IF(AND(ISNUMBER(E3),ISNUMBER(E4),ISNUMBER($M$6)),IF(AND(3&gt;=$M$6,E3&gt;=0.5,E4&lt;0.5),3,""),"")</f>
        <v/>
      </c>
      <c r="H3" s="23" t="str">
        <f t="shared" si="2"/>
        <v/>
      </c>
      <c r="I3" s="23">
        <f t="shared" si="3"/>
        <v>-722.72335523195966</v>
      </c>
      <c r="J3" s="25">
        <f t="shared" si="4"/>
        <v>4.5371327258490659E-3</v>
      </c>
      <c r="K3" s="23">
        <f t="shared" si="5"/>
        <v>1</v>
      </c>
      <c r="L3" s="5" t="s">
        <v>53</v>
      </c>
      <c r="M3" s="10">
        <f>COUNT($B$2:$B$23)</f>
        <v>22</v>
      </c>
    </row>
    <row r="4" spans="1:13" x14ac:dyDescent="0.3">
      <c r="A4" s="21">
        <v>20</v>
      </c>
      <c r="B4" s="22">
        <v>1.4189999999999999E-7</v>
      </c>
      <c r="C4" s="23">
        <f t="shared" si="0"/>
        <v>133.42563807926081</v>
      </c>
      <c r="D4" s="24">
        <f>IF(ISNUMBER(B4),AVERAGE(INDEX($B$2:$B$23,MAX(1,3-semi)):INDEX($B$2:$B$23,MIN($M$3,3+semi))),"")</f>
        <v>1.4189999999999999E-7</v>
      </c>
      <c r="E4" s="25">
        <f t="shared" si="1"/>
        <v>6.0167289324273392E-3</v>
      </c>
      <c r="F4" s="23" t="str">
        <f>IF(AND(ISNUMBER(E4),ISNUMBER(E5),ISNUMBER($M$6)),IF(AND(4&lt;$M$6,E4&lt;0.5,E5&gt;=0.5),4,""),"")</f>
        <v/>
      </c>
      <c r="G4" s="23" t="str">
        <f>IF(AND(ISNUMBER(E4),ISNUMBER(E5),ISNUMBER($M$6)),IF(AND(4&gt;=$M$6,E4&gt;=0.5,E5&lt;0.5),4,""),"")</f>
        <v/>
      </c>
      <c r="H4" s="23" t="str">
        <f t="shared" si="2"/>
        <v/>
      </c>
      <c r="I4" s="23">
        <f t="shared" si="3"/>
        <v>-656.01053619232925</v>
      </c>
      <c r="J4" s="25">
        <f t="shared" si="4"/>
        <v>6.0167289324273392E-3</v>
      </c>
      <c r="K4" s="23">
        <f t="shared" si="5"/>
        <v>1</v>
      </c>
      <c r="L4" s="5" t="s">
        <v>54</v>
      </c>
      <c r="M4" s="26">
        <f>IF($M$3&lt;$M$2,"",(AVERAGE(INDEX($B$2:$B$23,1):INDEX($B$2:$B$23,n_fondo))+AVERAGE(INDEX($B$2:$B$23,$M$3-n_fondo+1):INDEX($B$2:$B$23,$M$3)))/2)</f>
        <v>-3.1087499999999993E-8</v>
      </c>
    </row>
    <row r="5" spans="1:13" x14ac:dyDescent="0.3">
      <c r="A5" s="21">
        <v>30</v>
      </c>
      <c r="B5" s="22">
        <v>2.818E-7</v>
      </c>
      <c r="C5" s="23">
        <f t="shared" si="0"/>
        <v>200.13845711889124</v>
      </c>
      <c r="D5" s="24">
        <f>IF(ISNUMBER(B5),AVERAGE(INDEX($B$2:$B$23,MAX(1,4-semi)):INDEX($B$2:$B$23,MIN($M$3,4+semi))),"")</f>
        <v>2.818E-7</v>
      </c>
      <c r="E5" s="25">
        <f t="shared" si="1"/>
        <v>1.0882631830882918E-2</v>
      </c>
      <c r="F5" s="23" t="str">
        <f>IF(AND(ISNUMBER(E5),ISNUMBER(E6),ISNUMBER($M$6)),IF(AND(5&lt;$M$6,E5&lt;0.5,E6&gt;=0.5),5,""),"")</f>
        <v/>
      </c>
      <c r="G5" s="23" t="str">
        <f>IF(AND(ISNUMBER(E5),ISNUMBER(E6),ISNUMBER($M$6)),IF(AND(5&gt;=$M$6,E5&gt;=0.5,E6&lt;0.5),5,""),"")</f>
        <v/>
      </c>
      <c r="H5" s="23" t="str">
        <f t="shared" si="2"/>
        <v/>
      </c>
      <c r="I5" s="23">
        <f t="shared" si="3"/>
        <v>-589.29771715269885</v>
      </c>
      <c r="J5" s="25">
        <f t="shared" si="4"/>
        <v>1.0882631830882918E-2</v>
      </c>
      <c r="K5" s="23">
        <f t="shared" si="5"/>
        <v>1</v>
      </c>
      <c r="L5" s="5" t="s">
        <v>55</v>
      </c>
      <c r="M5" s="26">
        <f>IF($M$3&lt;$M$2,"",MAX($D$2:$D$23))</f>
        <v>2.8719999999999999E-5</v>
      </c>
    </row>
    <row r="6" spans="1:13" x14ac:dyDescent="0.3">
      <c r="A6" s="21">
        <v>40</v>
      </c>
      <c r="B6" s="22">
        <v>4.2160000000000002E-7</v>
      </c>
      <c r="C6" s="23">
        <f t="shared" si="0"/>
        <v>266.85127615852161</v>
      </c>
      <c r="D6" s="24">
        <f>IF(ISNUMBER(B6),AVERAGE(INDEX($B$2:$B$23,MAX(1,5-semi)):INDEX($B$2:$B$23,MIN($M$3,5+semi))),"")</f>
        <v>4.2160000000000002E-7</v>
      </c>
      <c r="E6" s="25">
        <f t="shared" si="1"/>
        <v>1.5745056600032954E-2</v>
      </c>
      <c r="F6" s="23" t="str">
        <f>IF(AND(ISNUMBER(E6),ISNUMBER(E7),ISNUMBER($M$6)),IF(AND(6&lt;$M$6,E6&lt;0.5,E7&gt;=0.5),6,""),"")</f>
        <v/>
      </c>
      <c r="G6" s="23" t="str">
        <f>IF(AND(ISNUMBER(E6),ISNUMBER(E7),ISNUMBER($M$6)),IF(AND(6&gt;=$M$6,E6&gt;=0.5,E7&lt;0.5),6,""),"")</f>
        <v/>
      </c>
      <c r="H6" s="23" t="str">
        <f t="shared" si="2"/>
        <v/>
      </c>
      <c r="I6" s="23">
        <f t="shared" si="3"/>
        <v>-522.58489811306845</v>
      </c>
      <c r="J6" s="25">
        <f t="shared" si="4"/>
        <v>1.5745056600032954E-2</v>
      </c>
      <c r="K6" s="23">
        <f t="shared" si="5"/>
        <v>1</v>
      </c>
      <c r="L6" s="5" t="s">
        <v>56</v>
      </c>
      <c r="M6" s="10">
        <f>IFERROR(MATCH($M$5,$D$2:$D$23,0)+1,"")</f>
        <v>14</v>
      </c>
    </row>
    <row r="7" spans="1:13" x14ac:dyDescent="0.3">
      <c r="A7" s="21">
        <v>50</v>
      </c>
      <c r="B7" s="22">
        <v>7.991E-7</v>
      </c>
      <c r="C7" s="23">
        <f t="shared" si="0"/>
        <v>333.56409519815202</v>
      </c>
      <c r="D7" s="24">
        <f>IF(ISNUMBER(B7),AVERAGE(INDEX($B$2:$B$23,MAX(1,6-semi)):INDEX($B$2:$B$23,MIN($M$3,6+semi))),"")</f>
        <v>7.991E-7</v>
      </c>
      <c r="E7" s="25">
        <f t="shared" si="1"/>
        <v>2.8874994728460272E-2</v>
      </c>
      <c r="F7" s="23" t="str">
        <f>IF(AND(ISNUMBER(E7),ISNUMBER(E8),ISNUMBER($M$6)),IF(AND(7&lt;$M$6,E7&lt;0.5,E8&gt;=0.5),7,""),"")</f>
        <v/>
      </c>
      <c r="G7" s="23" t="str">
        <f>IF(AND(ISNUMBER(E7),ISNUMBER(E8),ISNUMBER($M$6)),IF(AND(7&gt;=$M$6,E7&gt;=0.5,E8&lt;0.5),7,""),"")</f>
        <v/>
      </c>
      <c r="H7" s="23" t="str">
        <f t="shared" si="2"/>
        <v/>
      </c>
      <c r="I7" s="23">
        <f t="shared" si="3"/>
        <v>-455.87207907343804</v>
      </c>
      <c r="J7" s="25">
        <f t="shared" si="4"/>
        <v>2.8874994728460272E-2</v>
      </c>
      <c r="K7" s="23">
        <f t="shared" si="5"/>
        <v>1</v>
      </c>
      <c r="L7" s="5" t="s">
        <v>57</v>
      </c>
      <c r="M7" s="6">
        <f>IFERROR(INDEX($C$1:$C$23,$M$6),"")</f>
        <v>800.55382847556496</v>
      </c>
    </row>
    <row r="8" spans="1:13" x14ac:dyDescent="0.3">
      <c r="A8" s="21">
        <v>60</v>
      </c>
      <c r="B8" s="22">
        <v>1.4020000000000001E-6</v>
      </c>
      <c r="C8" s="23">
        <f t="shared" si="0"/>
        <v>400.27691423778248</v>
      </c>
      <c r="D8" s="24">
        <f>IF(ISNUMBER(B8),AVERAGE(INDEX($B$2:$B$23,MAX(1,7-semi)):INDEX($B$2:$B$23,MIN($M$3,7+semi))),"")</f>
        <v>1.4020000000000001E-6</v>
      </c>
      <c r="E8" s="25">
        <f t="shared" si="1"/>
        <v>4.9844636311583E-2</v>
      </c>
      <c r="F8" s="23" t="str">
        <f>IF(AND(ISNUMBER(E8),ISNUMBER(E9),ISNUMBER($M$6)),IF(AND(8&lt;$M$6,E8&lt;0.5,E9&gt;=0.5),8,""),"")</f>
        <v/>
      </c>
      <c r="G8" s="23" t="str">
        <f>IF(AND(ISNUMBER(E8),ISNUMBER(E9),ISNUMBER($M$6)),IF(AND(8&gt;=$M$6,E8&gt;=0.5,E9&lt;0.5),8,""),"")</f>
        <v/>
      </c>
      <c r="H8" s="23" t="str">
        <f t="shared" si="2"/>
        <v/>
      </c>
      <c r="I8" s="23">
        <f t="shared" si="3"/>
        <v>-389.15926003380758</v>
      </c>
      <c r="J8" s="25">
        <f t="shared" si="4"/>
        <v>4.9844636311583E-2</v>
      </c>
      <c r="K8" s="23">
        <f t="shared" si="5"/>
        <v>1</v>
      </c>
      <c r="L8" s="5" t="s">
        <v>58</v>
      </c>
      <c r="M8" s="10">
        <f>MAX($F$2:$F$23)</f>
        <v>11</v>
      </c>
    </row>
    <row r="9" spans="1:13" x14ac:dyDescent="0.3">
      <c r="A9" s="21">
        <v>70</v>
      </c>
      <c r="B9" s="22">
        <v>3.252E-6</v>
      </c>
      <c r="C9" s="23">
        <f t="shared" si="0"/>
        <v>466.98973327741288</v>
      </c>
      <c r="D9" s="24">
        <f>IF(ISNUMBER(B9),AVERAGE(INDEX($B$2:$B$23,MAX(1,8-semi)):INDEX($B$2:$B$23,MIN($M$3,8+semi))),"")</f>
        <v>3.252E-6</v>
      </c>
      <c r="E9" s="25">
        <f t="shared" si="1"/>
        <v>0.11419002846414071</v>
      </c>
      <c r="F9" s="23" t="str">
        <f>IF(AND(ISNUMBER(E9),ISNUMBER(E10),ISNUMBER($M$6)),IF(AND(9&lt;$M$6,E9&lt;0.5,E10&gt;=0.5),9,""),"")</f>
        <v/>
      </c>
      <c r="G9" s="23" t="str">
        <f>IF(AND(ISNUMBER(E9),ISNUMBER(E10),ISNUMBER($M$6)),IF(AND(9&gt;=$M$6,E9&gt;=0.5,E10&lt;0.5),9,""),"")</f>
        <v/>
      </c>
      <c r="H9" s="23" t="str">
        <f t="shared" si="2"/>
        <v/>
      </c>
      <c r="I9" s="23">
        <f t="shared" si="3"/>
        <v>-322.44644099417718</v>
      </c>
      <c r="J9" s="25">
        <f t="shared" si="4"/>
        <v>0.11419002846414071</v>
      </c>
      <c r="K9" s="23">
        <f t="shared" si="5"/>
        <v>1</v>
      </c>
      <c r="L9" s="5" t="s">
        <v>59</v>
      </c>
      <c r="M9" s="10">
        <f>MIN($G$2:$G$23)</f>
        <v>16</v>
      </c>
    </row>
    <row r="10" spans="1:13" x14ac:dyDescent="0.3">
      <c r="A10" s="21">
        <v>80</v>
      </c>
      <c r="B10" s="22">
        <v>6.2809999999999997E-6</v>
      </c>
      <c r="C10" s="23">
        <f t="shared" si="0"/>
        <v>533.70255231704323</v>
      </c>
      <c r="D10" s="24">
        <f>IF(ISNUMBER(B10),AVERAGE(INDEX($B$2:$B$23,MAX(1,9-semi)):INDEX($B$2:$B$23,MIN($M$3,9+semi))),"")</f>
        <v>6.2809999999999997E-6</v>
      </c>
      <c r="E10" s="25">
        <f t="shared" si="1"/>
        <v>0.21954256512905818</v>
      </c>
      <c r="F10" s="23" t="str">
        <f>IF(AND(ISNUMBER(E10),ISNUMBER(E11),ISNUMBER($M$6)),IF(AND(10&lt;$M$6,E10&lt;0.5,E11&gt;=0.5),10,""),"")</f>
        <v/>
      </c>
      <c r="G10" s="23" t="str">
        <f>IF(AND(ISNUMBER(E10),ISNUMBER(E11),ISNUMBER($M$6)),IF(AND(10&gt;=$M$6,E10&gt;=0.5,E11&lt;0.5),10,""),"")</f>
        <v/>
      </c>
      <c r="H10" s="23" t="str">
        <f t="shared" si="2"/>
        <v/>
      </c>
      <c r="I10" s="23">
        <f t="shared" si="3"/>
        <v>-255.73362195454683</v>
      </c>
      <c r="J10" s="25">
        <f t="shared" si="4"/>
        <v>0.21954256512905818</v>
      </c>
      <c r="K10" s="23">
        <f t="shared" si="5"/>
        <v>1</v>
      </c>
      <c r="L10" s="5" t="s">
        <v>60</v>
      </c>
      <c r="M10" s="6">
        <f>IF($M$8&gt;0,INDEX($H$1:$H$23,$M$8),"")</f>
        <v>619.77619773786876</v>
      </c>
    </row>
    <row r="11" spans="1:13" x14ac:dyDescent="0.3">
      <c r="A11" s="21">
        <v>90</v>
      </c>
      <c r="B11" s="22">
        <v>1.166E-5</v>
      </c>
      <c r="C11" s="23">
        <f t="shared" si="0"/>
        <v>600.41537135667363</v>
      </c>
      <c r="D11" s="24">
        <f>IF(ISNUMBER(B11),AVERAGE(INDEX($B$2:$B$23,MAX(1,10-semi)):INDEX($B$2:$B$23,MIN($M$3,10+semi))),"")</f>
        <v>1.166E-5</v>
      </c>
      <c r="E11" s="25">
        <f t="shared" si="1"/>
        <v>0.40663114047425164</v>
      </c>
      <c r="F11" s="23">
        <f>IF(AND(ISNUMBER(E11),ISNUMBER(E12),ISNUMBER($M$6)),IF(AND(11&lt;$M$6,E11&lt;0.5,E12&gt;=0.5),11,""),"")</f>
        <v>11</v>
      </c>
      <c r="G11" s="23" t="str">
        <f>IF(AND(ISNUMBER(E11),ISNUMBER(E12),ISNUMBER($M$6)),IF(AND(11&gt;=$M$6,E11&gt;=0.5,E12&lt;0.5),11,""),"")</f>
        <v/>
      </c>
      <c r="H11" s="23">
        <f t="shared" si="2"/>
        <v>619.77619773786876</v>
      </c>
      <c r="I11" s="23">
        <f t="shared" si="3"/>
        <v>-189.02080291491643</v>
      </c>
      <c r="J11" s="25">
        <f t="shared" si="4"/>
        <v>0.40663114047425164</v>
      </c>
      <c r="K11" s="23">
        <f t="shared" si="5"/>
        <v>1</v>
      </c>
      <c r="L11" s="5" t="s">
        <v>61</v>
      </c>
      <c r="M11" s="6">
        <f>IF($M$9&gt;0,INDEX($H$1:$H$23,$M$9),"")</f>
        <v>959.09615080531125</v>
      </c>
    </row>
    <row r="12" spans="1:13" ht="15.6" x14ac:dyDescent="0.3">
      <c r="A12" s="21">
        <v>100</v>
      </c>
      <c r="B12" s="22">
        <v>2.0910000000000001E-5</v>
      </c>
      <c r="C12" s="23">
        <f t="shared" si="0"/>
        <v>667.12819039630403</v>
      </c>
      <c r="D12" s="24">
        <f>IF(ISNUMBER(B12),AVERAGE(INDEX($B$2:$B$23,MAX(1,11-semi)):INDEX($B$2:$B$23,MIN($M$3,11+semi))),"")</f>
        <v>2.0910000000000001E-5</v>
      </c>
      <c r="E12" s="25">
        <f t="shared" si="1"/>
        <v>0.72835810123704026</v>
      </c>
      <c r="F12" s="23" t="str">
        <f>IF(AND(ISNUMBER(E12),ISNUMBER(E13),ISNUMBER($M$6)),IF(AND(12&lt;$M$6,E12&lt;0.5,E13&gt;=0.5),12,""),"")</f>
        <v/>
      </c>
      <c r="G12" s="23" t="str">
        <f>IF(AND(ISNUMBER(E12),ISNUMBER(E13),ISNUMBER($M$6)),IF(AND(12&gt;=$M$6,E12&gt;=0.5,E13&lt;0.5),12,""),"")</f>
        <v/>
      </c>
      <c r="H12" s="23" t="str">
        <f t="shared" si="2"/>
        <v/>
      </c>
      <c r="I12" s="23">
        <f t="shared" si="3"/>
        <v>-122.30798387528603</v>
      </c>
      <c r="J12" s="25">
        <f t="shared" si="4"/>
        <v>0.72835810123704026</v>
      </c>
      <c r="K12" s="23">
        <f t="shared" si="5"/>
        <v>1</v>
      </c>
      <c r="L12" s="5" t="s">
        <v>62</v>
      </c>
      <c r="M12" s="18">
        <f>IF(AND($M$8&gt;0,$M$9&gt;0),ABS($M$11-$M$10),"")</f>
        <v>339.3199530674425</v>
      </c>
    </row>
    <row r="13" spans="1:13" ht="15.6" x14ac:dyDescent="0.3">
      <c r="A13" s="21">
        <v>110</v>
      </c>
      <c r="B13" s="22">
        <v>2.7460000000000001E-5</v>
      </c>
      <c r="C13" s="23">
        <f t="shared" si="0"/>
        <v>733.84100943593455</v>
      </c>
      <c r="D13" s="24">
        <f>IF(ISNUMBER(B13),AVERAGE(INDEX($B$2:$B$23,MAX(1,12-semi)):INDEX($B$2:$B$23,MIN($M$3,12+semi))),"")</f>
        <v>2.7460000000000001E-5</v>
      </c>
      <c r="E13" s="25">
        <f t="shared" si="1"/>
        <v>0.95617557075014992</v>
      </c>
      <c r="F13" s="23" t="str">
        <f>IF(AND(ISNUMBER(E13),ISNUMBER(E14),ISNUMBER($M$6)),IF(AND(13&lt;$M$6,E13&lt;0.5,E14&gt;=0.5),13,""),"")</f>
        <v/>
      </c>
      <c r="G13" s="23" t="str">
        <f>IF(AND(ISNUMBER(E13),ISNUMBER(E14),ISNUMBER($M$6)),IF(AND(13&gt;=$M$6,E13&gt;=0.5,E14&lt;0.5),13,""),"")</f>
        <v/>
      </c>
      <c r="H13" s="23" t="str">
        <f t="shared" si="2"/>
        <v/>
      </c>
      <c r="I13" s="23">
        <f t="shared" si="3"/>
        <v>-55.59516483565551</v>
      </c>
      <c r="J13" s="25">
        <f t="shared" si="4"/>
        <v>0.95617557075014992</v>
      </c>
      <c r="K13" s="23">
        <f t="shared" si="5"/>
        <v>1</v>
      </c>
      <c r="L13" s="5" t="s">
        <v>63</v>
      </c>
      <c r="M13" s="18">
        <f>IF(ISNUMBER($M$12),factor_forma*$M$12,"")</f>
        <v>220.55796949383762</v>
      </c>
    </row>
    <row r="14" spans="1:13" x14ac:dyDescent="0.3">
      <c r="A14" s="21">
        <v>120</v>
      </c>
      <c r="B14" s="22">
        <v>2.8719999999999999E-5</v>
      </c>
      <c r="C14" s="23">
        <f t="shared" si="0"/>
        <v>800.55382847556496</v>
      </c>
      <c r="D14" s="24">
        <f>IF(ISNUMBER(B14),AVERAGE(INDEX($B$2:$B$23,MAX(1,13-semi)):INDEX($B$2:$B$23,MIN($M$3,13+semi))),"")</f>
        <v>2.8719999999999999E-5</v>
      </c>
      <c r="E14" s="25">
        <f t="shared" si="1"/>
        <v>1</v>
      </c>
      <c r="F14" s="23" t="str">
        <f>IF(AND(ISNUMBER(E14),ISNUMBER(E15),ISNUMBER($M$6)),IF(AND(14&lt;$M$6,E14&lt;0.5,E15&gt;=0.5),14,""),"")</f>
        <v/>
      </c>
      <c r="G14" s="23" t="str">
        <f>IF(AND(ISNUMBER(E14),ISNUMBER(E15),ISNUMBER($M$6)),IF(AND(14&gt;=$M$6,E14&gt;=0.5,E15&lt;0.5),14,""),"")</f>
        <v/>
      </c>
      <c r="H14" s="23" t="str">
        <f t="shared" si="2"/>
        <v/>
      </c>
      <c r="I14" s="23">
        <f t="shared" si="3"/>
        <v>11.117654203974894</v>
      </c>
      <c r="J14" s="25">
        <f t="shared" si="4"/>
        <v>1</v>
      </c>
      <c r="K14" s="23">
        <f t="shared" si="5"/>
        <v>1</v>
      </c>
      <c r="L14" s="5" t="s">
        <v>64</v>
      </c>
      <c r="M14" s="6">
        <f>IF(ISNUMBER($M$12),0.7071*$M$12,"")</f>
        <v>239.93313881398856</v>
      </c>
    </row>
    <row r="15" spans="1:13" x14ac:dyDescent="0.3">
      <c r="A15" s="21">
        <v>130</v>
      </c>
      <c r="B15" s="22">
        <v>2.4450000000000001E-5</v>
      </c>
      <c r="C15" s="23">
        <f t="shared" si="0"/>
        <v>867.26664751519536</v>
      </c>
      <c r="D15" s="24">
        <f>IF(ISNUMBER(B15),AVERAGE(INDEX($B$2:$B$23,MAX(1,14-semi)):INDEX($B$2:$B$23,MIN($M$3,14+semi))),"")</f>
        <v>2.4450000000000001E-5</v>
      </c>
      <c r="E15" s="25">
        <f t="shared" si="1"/>
        <v>0.85148387865328579</v>
      </c>
      <c r="F15" s="23" t="str">
        <f>IF(AND(ISNUMBER(E15),ISNUMBER(E16),ISNUMBER($M$6)),IF(AND(15&lt;$M$6,E15&lt;0.5,E16&gt;=0.5),15,""),"")</f>
        <v/>
      </c>
      <c r="G15" s="23" t="str">
        <f>IF(AND(ISNUMBER(E15),ISNUMBER(E16),ISNUMBER($M$6)),IF(AND(15&gt;=$M$6,E15&gt;=0.5,E16&lt;0.5),15,""),"")</f>
        <v/>
      </c>
      <c r="H15" s="23" t="str">
        <f t="shared" si="2"/>
        <v/>
      </c>
      <c r="I15" s="23">
        <f t="shared" si="3"/>
        <v>77.830473243605297</v>
      </c>
      <c r="J15" s="25">
        <f t="shared" si="4"/>
        <v>0.85148387865328579</v>
      </c>
      <c r="K15" s="23">
        <f t="shared" si="5"/>
        <v>1</v>
      </c>
      <c r="L15" s="5" t="s">
        <v>65</v>
      </c>
      <c r="M15" s="6">
        <f>IF(ISNUMBER($M$12),($M$10+$M$11)/2,$M$7)</f>
        <v>789.43617427159006</v>
      </c>
    </row>
    <row r="16" spans="1:13" x14ac:dyDescent="0.3">
      <c r="A16" s="21">
        <v>140</v>
      </c>
      <c r="B16" s="22">
        <v>1.7419999999999999E-5</v>
      </c>
      <c r="C16" s="23">
        <f t="shared" si="0"/>
        <v>933.97946655482576</v>
      </c>
      <c r="D16" s="24">
        <f>IF(ISNUMBER(B16),AVERAGE(INDEX($B$2:$B$23,MAX(1,15-semi)):INDEX($B$2:$B$23,MIN($M$3,15+semi))),"")</f>
        <v>1.7419999999999999E-5</v>
      </c>
      <c r="E16" s="25">
        <f t="shared" si="1"/>
        <v>0.60697138847356646</v>
      </c>
      <c r="F16" s="23" t="str">
        <f>IF(AND(ISNUMBER(E16),ISNUMBER(E17),ISNUMBER($M$6)),IF(AND(16&lt;$M$6,E16&lt;0.5,E17&gt;=0.5),16,""),"")</f>
        <v/>
      </c>
      <c r="G16" s="23">
        <f>IF(AND(ISNUMBER(E16),ISNUMBER(E17),ISNUMBER($M$6)),IF(AND(16&gt;=$M$6,E16&gt;=0.5,E17&lt;0.5),16,""),"")</f>
        <v>16</v>
      </c>
      <c r="H16" s="23">
        <f t="shared" si="2"/>
        <v>959.09615080531125</v>
      </c>
      <c r="I16" s="23">
        <f t="shared" si="3"/>
        <v>144.5432922832357</v>
      </c>
      <c r="J16" s="25">
        <f t="shared" si="4"/>
        <v>0.60697138847356646</v>
      </c>
      <c r="K16" s="23">
        <f t="shared" si="5"/>
        <v>1</v>
      </c>
      <c r="L16" s="5" t="s">
        <v>66</v>
      </c>
      <c r="M16" s="10">
        <f>COUNTIF($E$2:$E$23,"&gt;=0.5")</f>
        <v>5</v>
      </c>
    </row>
    <row r="17" spans="1:13" x14ac:dyDescent="0.3">
      <c r="A17" s="21">
        <v>150</v>
      </c>
      <c r="B17" s="22">
        <v>9.251E-6</v>
      </c>
      <c r="C17" s="23">
        <f t="shared" si="0"/>
        <v>1000.6922855944562</v>
      </c>
      <c r="D17" s="24">
        <f>IF(ISNUMBER(B17),AVERAGE(INDEX($B$2:$B$23,MAX(1,16-semi)):INDEX($B$2:$B$23,MIN($M$3,16+semi))),"")</f>
        <v>9.251E-6</v>
      </c>
      <c r="E17" s="25">
        <f t="shared" si="1"/>
        <v>0.32284300550370487</v>
      </c>
      <c r="F17" s="23" t="str">
        <f>IF(AND(ISNUMBER(E17),ISNUMBER(E18),ISNUMBER($M$6)),IF(AND(17&lt;$M$6,E17&lt;0.5,E18&gt;=0.5),17,""),"")</f>
        <v/>
      </c>
      <c r="G17" s="23" t="str">
        <f>IF(AND(ISNUMBER(E17),ISNUMBER(E18),ISNUMBER($M$6)),IF(AND(17&gt;=$M$6,E17&gt;=0.5,E18&lt;0.5),17,""),"")</f>
        <v/>
      </c>
      <c r="H17" s="23" t="str">
        <f t="shared" si="2"/>
        <v/>
      </c>
      <c r="I17" s="23">
        <f t="shared" si="3"/>
        <v>211.2561113228661</v>
      </c>
      <c r="J17" s="25">
        <f t="shared" si="4"/>
        <v>0.32284300550370487</v>
      </c>
      <c r="K17" s="23">
        <f t="shared" si="5"/>
        <v>1</v>
      </c>
      <c r="L17" s="5" t="s">
        <v>67</v>
      </c>
      <c r="M17" s="6">
        <f>IFERROR($M$15-MIN($C$2:$C$23),"")</f>
        <v>789.43617427159006</v>
      </c>
    </row>
    <row r="18" spans="1:13" x14ac:dyDescent="0.3">
      <c r="A18" s="21">
        <v>160</v>
      </c>
      <c r="B18" s="22">
        <v>4.4870000000000004E-6</v>
      </c>
      <c r="C18" s="23">
        <f t="shared" si="0"/>
        <v>1067.4051046340865</v>
      </c>
      <c r="D18" s="24">
        <f>IF(ISNUMBER(B18),AVERAGE(INDEX($B$2:$B$23,MAX(1,17-semi)):INDEX($B$2:$B$23,MIN($M$3,17+semi))),"")</f>
        <v>4.4870000000000004E-6</v>
      </c>
      <c r="E18" s="25">
        <f t="shared" si="1"/>
        <v>0.15714492538760494</v>
      </c>
      <c r="F18" s="23" t="str">
        <f>IF(AND(ISNUMBER(E18),ISNUMBER(E19),ISNUMBER($M$6)),IF(AND(18&lt;$M$6,E18&lt;0.5,E19&gt;=0.5),18,""),"")</f>
        <v/>
      </c>
      <c r="G18" s="23" t="str">
        <f>IF(AND(ISNUMBER(E18),ISNUMBER(E19),ISNUMBER($M$6)),IF(AND(18&gt;=$M$6,E18&gt;=0.5,E19&lt;0.5),18,""),"")</f>
        <v/>
      </c>
      <c r="H18" s="23" t="str">
        <f t="shared" si="2"/>
        <v/>
      </c>
      <c r="I18" s="23">
        <f t="shared" si="3"/>
        <v>277.96893036249639</v>
      </c>
      <c r="J18" s="25">
        <f t="shared" si="4"/>
        <v>0.15714492538760494</v>
      </c>
      <c r="K18" s="23">
        <f t="shared" si="5"/>
        <v>1</v>
      </c>
      <c r="L18" s="5" t="s">
        <v>68</v>
      </c>
      <c r="M18" s="6">
        <f>IFERROR(MAX($C$2:$C$23)-$M$15,"")</f>
        <v>611.53302556064841</v>
      </c>
    </row>
    <row r="19" spans="1:13" x14ac:dyDescent="0.3">
      <c r="A19" s="21">
        <v>170</v>
      </c>
      <c r="B19" s="22">
        <v>2.243E-6</v>
      </c>
      <c r="C19" s="23">
        <f t="shared" si="0"/>
        <v>1134.1179236737169</v>
      </c>
      <c r="D19" s="24">
        <f>IF(ISNUMBER(B19),AVERAGE(INDEX($B$2:$B$23,MAX(1,18-semi)):INDEX($B$2:$B$23,MIN($M$3,18+semi))),"")</f>
        <v>2.243E-6</v>
      </c>
      <c r="E19" s="25">
        <f t="shared" si="1"/>
        <v>7.9095703771205172E-2</v>
      </c>
      <c r="F19" s="23" t="str">
        <f>IF(AND(ISNUMBER(E19),ISNUMBER(E20),ISNUMBER($M$6)),IF(AND(19&lt;$M$6,E19&lt;0.5,E20&gt;=0.5),19,""),"")</f>
        <v/>
      </c>
      <c r="G19" s="23" t="str">
        <f>IF(AND(ISNUMBER(E19),ISNUMBER(E20),ISNUMBER($M$6)),IF(AND(19&gt;=$M$6,E19&gt;=0.5,E20&lt;0.5),19,""),"")</f>
        <v/>
      </c>
      <c r="H19" s="23" t="str">
        <f t="shared" si="2"/>
        <v/>
      </c>
      <c r="I19" s="23">
        <f t="shared" si="3"/>
        <v>344.6817494021268</v>
      </c>
      <c r="J19" s="25">
        <f t="shared" si="4"/>
        <v>7.9095703771205172E-2</v>
      </c>
      <c r="K19" s="23">
        <f t="shared" si="5"/>
        <v>1</v>
      </c>
      <c r="L19" s="5" t="s">
        <v>69</v>
      </c>
      <c r="M19" s="10">
        <f>IF($M$3&lt;$M$2,"",IFERROR(INDEX($A$1:$A$23,$M$6),""))</f>
        <v>120</v>
      </c>
    </row>
    <row r="20" spans="1:13" x14ac:dyDescent="0.3">
      <c r="A20" s="21">
        <v>180</v>
      </c>
      <c r="B20" s="22">
        <v>1.0950000000000001E-6</v>
      </c>
      <c r="C20" s="23">
        <f t="shared" si="0"/>
        <v>1200.8307427133473</v>
      </c>
      <c r="D20" s="24">
        <f>IF(ISNUMBER(B20),AVERAGE(INDEX($B$2:$B$23,MAX(1,19-semi)):INDEX($B$2:$B$23,MIN($M$3,19+semi))),"")</f>
        <v>1.0950000000000001E-6</v>
      </c>
      <c r="E20" s="25">
        <f t="shared" si="1"/>
        <v>3.9166779343563968E-2</v>
      </c>
      <c r="F20" s="23" t="str">
        <f>IF(AND(ISNUMBER(E20),ISNUMBER(E21),ISNUMBER($M$6)),IF(AND(20&lt;$M$6,E20&lt;0.5,E21&gt;=0.5),20,""),"")</f>
        <v/>
      </c>
      <c r="G20" s="23" t="str">
        <f>IF(AND(ISNUMBER(E20),ISNUMBER(E21),ISNUMBER($M$6)),IF(AND(20&gt;=$M$6,E20&gt;=0.5,E21&lt;0.5),20,""),"")</f>
        <v/>
      </c>
      <c r="H20" s="23" t="str">
        <f t="shared" si="2"/>
        <v/>
      </c>
      <c r="I20" s="23">
        <f t="shared" si="3"/>
        <v>411.3945684417572</v>
      </c>
      <c r="J20" s="25">
        <f t="shared" si="4"/>
        <v>3.9166779343563968E-2</v>
      </c>
      <c r="K20" s="23">
        <f t="shared" si="5"/>
        <v>1</v>
      </c>
      <c r="L20" s="5" t="s">
        <v>70</v>
      </c>
      <c r="M20" s="20" t="str">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Aviso: el pico está corrido; el barrido no llega a una de las alas</v>
      </c>
    </row>
    <row r="21" spans="1:13" x14ac:dyDescent="0.3">
      <c r="A21" s="21">
        <v>190</v>
      </c>
      <c r="B21" s="22">
        <v>2.9569999999999998E-7</v>
      </c>
      <c r="C21" s="23">
        <f t="shared" si="0"/>
        <v>1267.5435617529777</v>
      </c>
      <c r="D21" s="24">
        <f>IF(ISNUMBER(B21),AVERAGE(INDEX($B$2:$B$23,MAX(1,20-semi)):INDEX($B$2:$B$23,MIN($M$3,20+semi))),"")</f>
        <v>2.9569999999999998E-7</v>
      </c>
      <c r="E21" s="25">
        <f t="shared" si="1"/>
        <v>1.1366091804353487E-2</v>
      </c>
      <c r="F21" s="23" t="str">
        <f>IF(AND(ISNUMBER(E21),ISNUMBER(E22),ISNUMBER($M$6)),IF(AND(21&lt;$M$6,E21&lt;0.5,E22&gt;=0.5),21,""),"")</f>
        <v/>
      </c>
      <c r="G21" s="23" t="str">
        <f>IF(AND(ISNUMBER(E21),ISNUMBER(E22),ISNUMBER($M$6)),IF(AND(21&gt;=$M$6,E21&gt;=0.5,E22&lt;0.5),21,""),"")</f>
        <v/>
      </c>
      <c r="H21" s="23" t="str">
        <f t="shared" si="2"/>
        <v/>
      </c>
      <c r="I21" s="23">
        <f t="shared" si="3"/>
        <v>478.1073874813876</v>
      </c>
      <c r="J21" s="25">
        <f t="shared" si="4"/>
        <v>1.1366091804353487E-2</v>
      </c>
      <c r="K21" s="23">
        <f t="shared" si="5"/>
        <v>1</v>
      </c>
    </row>
    <row r="22" spans="1:13" x14ac:dyDescent="0.3">
      <c r="A22" s="21">
        <v>200</v>
      </c>
      <c r="B22" s="22">
        <v>-5.5929999999999999E-8</v>
      </c>
      <c r="C22" s="23">
        <f t="shared" si="0"/>
        <v>1334.2563807926081</v>
      </c>
      <c r="D22" s="24">
        <f>IF(ISNUMBER(B22),AVERAGE(INDEX($B$2:$B$23,MAX(1,21-semi)):INDEX($B$2:$B$23,MIN($M$3,21+semi))),"")</f>
        <v>-5.5929999999999999E-8</v>
      </c>
      <c r="E22" s="25">
        <f t="shared" si="1"/>
        <v>-8.6405427272968395E-4</v>
      </c>
      <c r="F22" s="23" t="str">
        <f>IF(AND(ISNUMBER(E22),ISNUMBER(E23),ISNUMBER($M$6)),IF(AND(22&lt;$M$6,E22&lt;0.5,E23&gt;=0.5),22,""),"")</f>
        <v/>
      </c>
      <c r="G22" s="23" t="str">
        <f>IF(AND(ISNUMBER(E22),ISNUMBER(E23),ISNUMBER($M$6)),IF(AND(22&gt;=$M$6,E22&gt;=0.5,E23&lt;0.5),22,""),"")</f>
        <v/>
      </c>
      <c r="H22" s="23" t="str">
        <f t="shared" si="2"/>
        <v/>
      </c>
      <c r="I22" s="23">
        <f t="shared" si="3"/>
        <v>544.82020652101801</v>
      </c>
      <c r="J22" s="25">
        <f t="shared" si="4"/>
        <v>-8.6405427272968395E-4</v>
      </c>
      <c r="K22" s="23">
        <f t="shared" si="5"/>
        <v>1</v>
      </c>
      <c r="L22" s="2" t="s">
        <v>73</v>
      </c>
    </row>
    <row r="23" spans="1:13" x14ac:dyDescent="0.3">
      <c r="A23" s="21">
        <v>210</v>
      </c>
      <c r="B23" s="22">
        <v>-1.5379999999999999E-7</v>
      </c>
      <c r="C23" s="23">
        <f t="shared" si="0"/>
        <v>1400.9691998322385</v>
      </c>
      <c r="D23" s="24">
        <f>IF(ISNUMBER(B23),AVERAGE(INDEX($B$2:$B$23,MAX(1,22-semi)):INDEX($B$2:$B$23,MIN($M$3,22+semi))),"")</f>
        <v>-1.5379999999999999E-7</v>
      </c>
      <c r="E23" s="25">
        <f t="shared" si="1"/>
        <v>-4.268099424065263E-3</v>
      </c>
      <c r="F23" s="23" t="str">
        <f>IF(AND(ISNUMBER(E23),ISNUMBER(E24),ISNUMBER($M$6)),IF(AND(23&lt;$M$6,E23&lt;0.5,E24&gt;=0.5),23,""),"")</f>
        <v/>
      </c>
      <c r="G23" s="23" t="str">
        <f>IF(AND(ISNUMBER(E23),ISNUMBER(E24),ISNUMBER($M$6)),IF(AND(23&gt;=$M$6,E23&gt;=0.5,E24&lt;0.5),23,""),"")</f>
        <v/>
      </c>
      <c r="H23" s="23" t="str">
        <f t="shared" si="2"/>
        <v/>
      </c>
      <c r="I23" s="23">
        <f t="shared" si="3"/>
        <v>611.53302556064841</v>
      </c>
      <c r="J23" s="25">
        <f t="shared" si="4"/>
        <v>-4.268099424065263E-3</v>
      </c>
      <c r="K23" s="23" t="str">
        <f t="shared" si="5"/>
        <v/>
      </c>
      <c r="L23" s="23">
        <f>IF(ISNUMBER($M$12),$M$10-$M$15,NA())</f>
        <v>-169.65997653372131</v>
      </c>
      <c r="M23" s="23">
        <f>IF(ISNUMBER($M$12),0.5,NA())</f>
        <v>0.5</v>
      </c>
    </row>
    <row r="24" spans="1:13" x14ac:dyDescent="0.3">
      <c r="L24" s="23">
        <f>IF(ISNUMBER($M$12),$M$11-$M$15,NA())</f>
        <v>169.65997653372119</v>
      </c>
      <c r="M24" s="23">
        <f>IF(ISNUMBER($M$12),0.5,NA())</f>
        <v>0.5</v>
      </c>
    </row>
    <row r="26" spans="1:13" ht="26.4" x14ac:dyDescent="0.3">
      <c r="L26" s="7" t="s">
        <v>74</v>
      </c>
    </row>
  </sheetData>
  <sheetProtection sheet="1" objects="1" scenarios="1" formatColumns="0" formatRows="0"/>
  <conditionalFormatting sqref="I2:J23">
    <cfRule type="containsErrors" dxfId="19" priority="4">
      <formula>ISERROR(I2)</formula>
    </cfRule>
  </conditionalFormatting>
  <conditionalFormatting sqref="L23:M24">
    <cfRule type="containsErrors" dxfId="18" priority="5">
      <formula>ISERROR(L23)</formula>
    </cfRule>
  </conditionalFormatting>
  <conditionalFormatting sqref="M20">
    <cfRule type="cellIs" dxfId="17" priority="1" operator="equal">
      <formula>"OK"</formula>
    </cfRule>
    <cfRule type="beginsWith" dxfId="16" priority="2" operator="beginsWith" text="Aviso">
      <formula>LEFT(M20,5)="Aviso"</formula>
    </cfRule>
    <cfRule type="beginsWith" dxfId="15"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xr:uid="{00000000-0002-0000-0C00-000000000000}">
      <formula1>-1</formula1>
      <formula2>1</formula2>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sheetPr>
  <dimension ref="A1:M26"/>
  <sheetViews>
    <sheetView workbookViewId="0">
      <pane ySplit="1" topLeftCell="A2" activePane="bottomLeft" state="frozen"/>
      <selection pane="bottomLeft"/>
    </sheetView>
  </sheetViews>
  <sheetFormatPr baseColWidth="10" defaultColWidth="8.88671875" defaultRowHeight="14.4" x14ac:dyDescent="0.3"/>
  <cols>
    <col min="1" max="1" width="14.6640625" customWidth="1"/>
    <col min="2" max="2" width="15.6640625" customWidth="1"/>
    <col min="3" max="5" width="12.6640625" customWidth="1"/>
    <col min="6" max="8" width="9.6640625" customWidth="1"/>
    <col min="9" max="10" width="11.6640625" customWidth="1"/>
    <col min="11" max="11" width="7.6640625" customWidth="1"/>
    <col min="12" max="12" width="42.6640625" customWidth="1"/>
    <col min="13" max="13" width="14.6640625" customWidth="1"/>
  </cols>
  <sheetData>
    <row r="1" spans="1:13" ht="42" customHeight="1" x14ac:dyDescent="0.3">
      <c r="A1" s="4" t="s">
        <v>41</v>
      </c>
      <c r="B1" s="4" t="s">
        <v>42</v>
      </c>
      <c r="C1" s="4" t="s">
        <v>43</v>
      </c>
      <c r="D1" s="4" t="s">
        <v>44</v>
      </c>
      <c r="E1" s="4" t="s">
        <v>45</v>
      </c>
      <c r="F1" s="4" t="s">
        <v>46</v>
      </c>
      <c r="G1" s="4" t="s">
        <v>47</v>
      </c>
      <c r="H1" s="4" t="s">
        <v>48</v>
      </c>
      <c r="I1" s="4" t="s">
        <v>49</v>
      </c>
      <c r="J1" s="4" t="s">
        <v>50</v>
      </c>
      <c r="K1" s="4" t="s">
        <v>51</v>
      </c>
      <c r="L1" s="4" t="s">
        <v>83</v>
      </c>
      <c r="M1" s="4" t="s">
        <v>72</v>
      </c>
    </row>
    <row r="2" spans="1:13" x14ac:dyDescent="0.3">
      <c r="A2" s="21">
        <v>0</v>
      </c>
      <c r="B2" s="22"/>
      <c r="C2" s="23">
        <f t="shared" ref="C2:C23" si="0">IF(ISNUMBER(A2),A2*conv,"")</f>
        <v>0</v>
      </c>
      <c r="D2" s="24" t="str">
        <f>IF(ISNUMBER(B2),AVERAGE(INDEX($B$2:$B$23,MAX(1,1-semi)):INDEX($B$2:$B$23,MIN($M$3,1+semi))),"")</f>
        <v/>
      </c>
      <c r="E2" s="25" t="str">
        <f t="shared" ref="E2:E23" si="1">IF(AND(ISNUMBER(D2),ISNUMBER($M$4)),(D2-$M$4)/($M$5-$M$4),"")</f>
        <v/>
      </c>
      <c r="F2" s="23" t="str">
        <f>IF(AND(ISNUMBER(E2),ISNUMBER(E3),ISNUMBER($M$6)),IF(AND(2&lt;$M$6,E2&lt;0.5,E3&gt;=0.5),2,""),"")</f>
        <v/>
      </c>
      <c r="G2" s="23" t="str">
        <f>IF(AND(ISNUMBER(E2),ISNUMBER(E3),ISNUMBER($M$6)),IF(AND(2&gt;=$M$6,E2&gt;=0.5,E3&lt;0.5),2,""),"")</f>
        <v/>
      </c>
      <c r="H2" s="23" t="str">
        <f t="shared" ref="H2:H23" si="2">IF(OR(ISNUMBER(F2),ISNUMBER(G2)),C2+(0.5-E2)*(C3-C2)/(E3-E2),"")</f>
        <v/>
      </c>
      <c r="I2" s="23" t="e">
        <f t="shared" ref="I2:I23" si="3">IF(AND(ISNUMBER(E2),ISNUMBER($M$15)),C2-$M$15,NA())</f>
        <v>#N/A</v>
      </c>
      <c r="J2" s="25" t="e">
        <f t="shared" ref="J2:J23" si="4">IF(ISNUMBER(E2),E2,NA())</f>
        <v>#N/A</v>
      </c>
      <c r="K2" s="23">
        <f t="shared" ref="K2:K23" si="5">IF(AND(ISNUMBER(C2),ISNUMBER(C3)),SIGN(C3-C2),"")</f>
        <v>1</v>
      </c>
      <c r="L2" s="5" t="s">
        <v>52</v>
      </c>
      <c r="M2" s="10">
        <f>COUNT($A$2:$A$23)</f>
        <v>22</v>
      </c>
    </row>
    <row r="3" spans="1:13" x14ac:dyDescent="0.3">
      <c r="A3" s="21">
        <v>10</v>
      </c>
      <c r="B3" s="22"/>
      <c r="C3" s="23">
        <f t="shared" si="0"/>
        <v>66.712819039630403</v>
      </c>
      <c r="D3" s="24" t="str">
        <f>IF(ISNUMBER(B3),AVERAGE(INDEX($B$2:$B$23,MAX(1,2-semi)):INDEX($B$2:$B$23,MIN($M$3,2+semi))),"")</f>
        <v/>
      </c>
      <c r="E3" s="25" t="str">
        <f t="shared" si="1"/>
        <v/>
      </c>
      <c r="F3" s="23" t="str">
        <f>IF(AND(ISNUMBER(E3),ISNUMBER(E4),ISNUMBER($M$6)),IF(AND(3&lt;$M$6,E3&lt;0.5,E4&gt;=0.5),3,""),"")</f>
        <v/>
      </c>
      <c r="G3" s="23" t="str">
        <f>IF(AND(ISNUMBER(E3),ISNUMBER(E4),ISNUMBER($M$6)),IF(AND(3&gt;=$M$6,E3&gt;=0.5,E4&lt;0.5),3,""),"")</f>
        <v/>
      </c>
      <c r="H3" s="23" t="str">
        <f t="shared" si="2"/>
        <v/>
      </c>
      <c r="I3" s="23" t="e">
        <f t="shared" si="3"/>
        <v>#N/A</v>
      </c>
      <c r="J3" s="25" t="e">
        <f t="shared" si="4"/>
        <v>#N/A</v>
      </c>
      <c r="K3" s="23">
        <f t="shared" si="5"/>
        <v>1</v>
      </c>
      <c r="L3" s="5" t="s">
        <v>53</v>
      </c>
      <c r="M3" s="10">
        <f>COUNT($B$2:$B$23)</f>
        <v>0</v>
      </c>
    </row>
    <row r="4" spans="1:13" x14ac:dyDescent="0.3">
      <c r="A4" s="21">
        <v>20</v>
      </c>
      <c r="B4" s="22"/>
      <c r="C4" s="23">
        <f t="shared" si="0"/>
        <v>133.42563807926081</v>
      </c>
      <c r="D4" s="24" t="str">
        <f>IF(ISNUMBER(B4),AVERAGE(INDEX($B$2:$B$23,MAX(1,3-semi)):INDEX($B$2:$B$23,MIN($M$3,3+semi))),"")</f>
        <v/>
      </c>
      <c r="E4" s="25" t="str">
        <f t="shared" si="1"/>
        <v/>
      </c>
      <c r="F4" s="23" t="str">
        <f>IF(AND(ISNUMBER(E4),ISNUMBER(E5),ISNUMBER($M$6)),IF(AND(4&lt;$M$6,E4&lt;0.5,E5&gt;=0.5),4,""),"")</f>
        <v/>
      </c>
      <c r="G4" s="23" t="str">
        <f>IF(AND(ISNUMBER(E4),ISNUMBER(E5),ISNUMBER($M$6)),IF(AND(4&gt;=$M$6,E4&gt;=0.5,E5&lt;0.5),4,""),"")</f>
        <v/>
      </c>
      <c r="H4" s="23" t="str">
        <f t="shared" si="2"/>
        <v/>
      </c>
      <c r="I4" s="23" t="e">
        <f t="shared" si="3"/>
        <v>#N/A</v>
      </c>
      <c r="J4" s="25" t="e">
        <f t="shared" si="4"/>
        <v>#N/A</v>
      </c>
      <c r="K4" s="23">
        <f t="shared" si="5"/>
        <v>1</v>
      </c>
      <c r="L4" s="5" t="s">
        <v>54</v>
      </c>
      <c r="M4" s="26" t="str">
        <f>IF($M$3&lt;$M$2,"",(AVERAGE(INDEX($B$2:$B$23,1):INDEX($B$2:$B$23,n_fondo))+AVERAGE(INDEX($B$2:$B$23,$M$3-n_fondo+1):INDEX($B$2:$B$23,$M$3)))/2)</f>
        <v/>
      </c>
    </row>
    <row r="5" spans="1:13" x14ac:dyDescent="0.3">
      <c r="A5" s="21">
        <v>30</v>
      </c>
      <c r="B5" s="22"/>
      <c r="C5" s="23">
        <f t="shared" si="0"/>
        <v>200.13845711889124</v>
      </c>
      <c r="D5" s="24" t="str">
        <f>IF(ISNUMBER(B5),AVERAGE(INDEX($B$2:$B$23,MAX(1,4-semi)):INDEX($B$2:$B$23,MIN($M$3,4+semi))),"")</f>
        <v/>
      </c>
      <c r="E5" s="25" t="str">
        <f t="shared" si="1"/>
        <v/>
      </c>
      <c r="F5" s="23" t="str">
        <f>IF(AND(ISNUMBER(E5),ISNUMBER(E6),ISNUMBER($M$6)),IF(AND(5&lt;$M$6,E5&lt;0.5,E6&gt;=0.5),5,""),"")</f>
        <v/>
      </c>
      <c r="G5" s="23" t="str">
        <f>IF(AND(ISNUMBER(E5),ISNUMBER(E6),ISNUMBER($M$6)),IF(AND(5&gt;=$M$6,E5&gt;=0.5,E6&lt;0.5),5,""),"")</f>
        <v/>
      </c>
      <c r="H5" s="23" t="str">
        <f t="shared" si="2"/>
        <v/>
      </c>
      <c r="I5" s="23" t="e">
        <f t="shared" si="3"/>
        <v>#N/A</v>
      </c>
      <c r="J5" s="25" t="e">
        <f t="shared" si="4"/>
        <v>#N/A</v>
      </c>
      <c r="K5" s="23">
        <f t="shared" si="5"/>
        <v>1</v>
      </c>
      <c r="L5" s="5" t="s">
        <v>55</v>
      </c>
      <c r="M5" s="26" t="str">
        <f>IF($M$3&lt;$M$2,"",MAX($D$2:$D$23))</f>
        <v/>
      </c>
    </row>
    <row r="6" spans="1:13" x14ac:dyDescent="0.3">
      <c r="A6" s="21">
        <v>40</v>
      </c>
      <c r="B6" s="22"/>
      <c r="C6" s="23">
        <f t="shared" si="0"/>
        <v>266.85127615852161</v>
      </c>
      <c r="D6" s="24" t="str">
        <f>IF(ISNUMBER(B6),AVERAGE(INDEX($B$2:$B$23,MAX(1,5-semi)):INDEX($B$2:$B$23,MIN($M$3,5+semi))),"")</f>
        <v/>
      </c>
      <c r="E6" s="25" t="str">
        <f t="shared" si="1"/>
        <v/>
      </c>
      <c r="F6" s="23" t="str">
        <f>IF(AND(ISNUMBER(E6),ISNUMBER(E7),ISNUMBER($M$6)),IF(AND(6&lt;$M$6,E6&lt;0.5,E7&gt;=0.5),6,""),"")</f>
        <v/>
      </c>
      <c r="G6" s="23" t="str">
        <f>IF(AND(ISNUMBER(E6),ISNUMBER(E7),ISNUMBER($M$6)),IF(AND(6&gt;=$M$6,E6&gt;=0.5,E7&lt;0.5),6,""),"")</f>
        <v/>
      </c>
      <c r="H6" s="23" t="str">
        <f t="shared" si="2"/>
        <v/>
      </c>
      <c r="I6" s="23" t="e">
        <f t="shared" si="3"/>
        <v>#N/A</v>
      </c>
      <c r="J6" s="25" t="e">
        <f t="shared" si="4"/>
        <v>#N/A</v>
      </c>
      <c r="K6" s="23">
        <f t="shared" si="5"/>
        <v>1</v>
      </c>
      <c r="L6" s="5" t="s">
        <v>56</v>
      </c>
      <c r="M6" s="10">
        <f>IFERROR(MATCH($M$5,$D$2:$D$23,0)+1,"")</f>
        <v>2</v>
      </c>
    </row>
    <row r="7" spans="1:13" x14ac:dyDescent="0.3">
      <c r="A7" s="21">
        <v>50</v>
      </c>
      <c r="B7" s="22"/>
      <c r="C7" s="23">
        <f t="shared" si="0"/>
        <v>333.56409519815202</v>
      </c>
      <c r="D7" s="24" t="str">
        <f>IF(ISNUMBER(B7),AVERAGE(INDEX($B$2:$B$23,MAX(1,6-semi)):INDEX($B$2:$B$23,MIN($M$3,6+semi))),"")</f>
        <v/>
      </c>
      <c r="E7" s="25" t="str">
        <f t="shared" si="1"/>
        <v/>
      </c>
      <c r="F7" s="23" t="str">
        <f>IF(AND(ISNUMBER(E7),ISNUMBER(E8),ISNUMBER($M$6)),IF(AND(7&lt;$M$6,E7&lt;0.5,E8&gt;=0.5),7,""),"")</f>
        <v/>
      </c>
      <c r="G7" s="23" t="str">
        <f>IF(AND(ISNUMBER(E7),ISNUMBER(E8),ISNUMBER($M$6)),IF(AND(7&gt;=$M$6,E7&gt;=0.5,E8&lt;0.5),7,""),"")</f>
        <v/>
      </c>
      <c r="H7" s="23" t="str">
        <f t="shared" si="2"/>
        <v/>
      </c>
      <c r="I7" s="23" t="e">
        <f t="shared" si="3"/>
        <v>#N/A</v>
      </c>
      <c r="J7" s="25" t="e">
        <f t="shared" si="4"/>
        <v>#N/A</v>
      </c>
      <c r="K7" s="23">
        <f t="shared" si="5"/>
        <v>1</v>
      </c>
      <c r="L7" s="5" t="s">
        <v>57</v>
      </c>
      <c r="M7" s="6">
        <f>IFERROR(INDEX($C$1:$C$23,$M$6),"")</f>
        <v>0</v>
      </c>
    </row>
    <row r="8" spans="1:13" x14ac:dyDescent="0.3">
      <c r="A8" s="21">
        <v>60</v>
      </c>
      <c r="B8" s="22"/>
      <c r="C8" s="23">
        <f t="shared" si="0"/>
        <v>400.27691423778248</v>
      </c>
      <c r="D8" s="24" t="str">
        <f>IF(ISNUMBER(B8),AVERAGE(INDEX($B$2:$B$23,MAX(1,7-semi)):INDEX($B$2:$B$23,MIN($M$3,7+semi))),"")</f>
        <v/>
      </c>
      <c r="E8" s="25" t="str">
        <f t="shared" si="1"/>
        <v/>
      </c>
      <c r="F8" s="23" t="str">
        <f>IF(AND(ISNUMBER(E8),ISNUMBER(E9),ISNUMBER($M$6)),IF(AND(8&lt;$M$6,E8&lt;0.5,E9&gt;=0.5),8,""),"")</f>
        <v/>
      </c>
      <c r="G8" s="23" t="str">
        <f>IF(AND(ISNUMBER(E8),ISNUMBER(E9),ISNUMBER($M$6)),IF(AND(8&gt;=$M$6,E8&gt;=0.5,E9&lt;0.5),8,""),"")</f>
        <v/>
      </c>
      <c r="H8" s="23" t="str">
        <f t="shared" si="2"/>
        <v/>
      </c>
      <c r="I8" s="23" t="e">
        <f t="shared" si="3"/>
        <v>#N/A</v>
      </c>
      <c r="J8" s="25" t="e">
        <f t="shared" si="4"/>
        <v>#N/A</v>
      </c>
      <c r="K8" s="23">
        <f t="shared" si="5"/>
        <v>1</v>
      </c>
      <c r="L8" s="5" t="s">
        <v>58</v>
      </c>
      <c r="M8" s="10">
        <f>MAX($F$2:$F$23)</f>
        <v>0</v>
      </c>
    </row>
    <row r="9" spans="1:13" x14ac:dyDescent="0.3">
      <c r="A9" s="21">
        <v>70</v>
      </c>
      <c r="B9" s="22"/>
      <c r="C9" s="23">
        <f t="shared" si="0"/>
        <v>466.98973327741288</v>
      </c>
      <c r="D9" s="24" t="str">
        <f>IF(ISNUMBER(B9),AVERAGE(INDEX($B$2:$B$23,MAX(1,8-semi)):INDEX($B$2:$B$23,MIN($M$3,8+semi))),"")</f>
        <v/>
      </c>
      <c r="E9" s="25" t="str">
        <f t="shared" si="1"/>
        <v/>
      </c>
      <c r="F9" s="23" t="str">
        <f>IF(AND(ISNUMBER(E9),ISNUMBER(E10),ISNUMBER($M$6)),IF(AND(9&lt;$M$6,E9&lt;0.5,E10&gt;=0.5),9,""),"")</f>
        <v/>
      </c>
      <c r="G9" s="23" t="str">
        <f>IF(AND(ISNUMBER(E9),ISNUMBER(E10),ISNUMBER($M$6)),IF(AND(9&gt;=$M$6,E9&gt;=0.5,E10&lt;0.5),9,""),"")</f>
        <v/>
      </c>
      <c r="H9" s="23" t="str">
        <f t="shared" si="2"/>
        <v/>
      </c>
      <c r="I9" s="23" t="e">
        <f t="shared" si="3"/>
        <v>#N/A</v>
      </c>
      <c r="J9" s="25" t="e">
        <f t="shared" si="4"/>
        <v>#N/A</v>
      </c>
      <c r="K9" s="23">
        <f t="shared" si="5"/>
        <v>1</v>
      </c>
      <c r="L9" s="5" t="s">
        <v>59</v>
      </c>
      <c r="M9" s="10">
        <f>MIN($G$2:$G$23)</f>
        <v>0</v>
      </c>
    </row>
    <row r="10" spans="1:13" x14ac:dyDescent="0.3">
      <c r="A10" s="21">
        <v>80</v>
      </c>
      <c r="B10" s="22"/>
      <c r="C10" s="23">
        <f t="shared" si="0"/>
        <v>533.70255231704323</v>
      </c>
      <c r="D10" s="24" t="str">
        <f>IF(ISNUMBER(B10),AVERAGE(INDEX($B$2:$B$23,MAX(1,9-semi)):INDEX($B$2:$B$23,MIN($M$3,9+semi))),"")</f>
        <v/>
      </c>
      <c r="E10" s="25" t="str">
        <f t="shared" si="1"/>
        <v/>
      </c>
      <c r="F10" s="23" t="str">
        <f>IF(AND(ISNUMBER(E10),ISNUMBER(E11),ISNUMBER($M$6)),IF(AND(10&lt;$M$6,E10&lt;0.5,E11&gt;=0.5),10,""),"")</f>
        <v/>
      </c>
      <c r="G10" s="23" t="str">
        <f>IF(AND(ISNUMBER(E10),ISNUMBER(E11),ISNUMBER($M$6)),IF(AND(10&gt;=$M$6,E10&gt;=0.5,E11&lt;0.5),10,""),"")</f>
        <v/>
      </c>
      <c r="H10" s="23" t="str">
        <f t="shared" si="2"/>
        <v/>
      </c>
      <c r="I10" s="23" t="e">
        <f t="shared" si="3"/>
        <v>#N/A</v>
      </c>
      <c r="J10" s="25" t="e">
        <f t="shared" si="4"/>
        <v>#N/A</v>
      </c>
      <c r="K10" s="23">
        <f t="shared" si="5"/>
        <v>1</v>
      </c>
      <c r="L10" s="5" t="s">
        <v>60</v>
      </c>
      <c r="M10" s="6" t="str">
        <f>IF($M$8&gt;0,INDEX($H$1:$H$23,$M$8),"")</f>
        <v/>
      </c>
    </row>
    <row r="11" spans="1:13" x14ac:dyDescent="0.3">
      <c r="A11" s="21">
        <v>90</v>
      </c>
      <c r="B11" s="22"/>
      <c r="C11" s="23">
        <f t="shared" si="0"/>
        <v>600.41537135667363</v>
      </c>
      <c r="D11" s="24" t="str">
        <f>IF(ISNUMBER(B11),AVERAGE(INDEX($B$2:$B$23,MAX(1,10-semi)):INDEX($B$2:$B$23,MIN($M$3,10+semi))),"")</f>
        <v/>
      </c>
      <c r="E11" s="25" t="str">
        <f t="shared" si="1"/>
        <v/>
      </c>
      <c r="F11" s="23" t="str">
        <f>IF(AND(ISNUMBER(E11),ISNUMBER(E12),ISNUMBER($M$6)),IF(AND(11&lt;$M$6,E11&lt;0.5,E12&gt;=0.5),11,""),"")</f>
        <v/>
      </c>
      <c r="G11" s="23" t="str">
        <f>IF(AND(ISNUMBER(E11),ISNUMBER(E12),ISNUMBER($M$6)),IF(AND(11&gt;=$M$6,E11&gt;=0.5,E12&lt;0.5),11,""),"")</f>
        <v/>
      </c>
      <c r="H11" s="23" t="str">
        <f t="shared" si="2"/>
        <v/>
      </c>
      <c r="I11" s="23" t="e">
        <f t="shared" si="3"/>
        <v>#N/A</v>
      </c>
      <c r="J11" s="25" t="e">
        <f t="shared" si="4"/>
        <v>#N/A</v>
      </c>
      <c r="K11" s="23">
        <f t="shared" si="5"/>
        <v>1</v>
      </c>
      <c r="L11" s="5" t="s">
        <v>61</v>
      </c>
      <c r="M11" s="6" t="str">
        <f>IF($M$9&gt;0,INDEX($H$1:$H$23,$M$9),"")</f>
        <v/>
      </c>
    </row>
    <row r="12" spans="1:13" ht="15.6" x14ac:dyDescent="0.3">
      <c r="A12" s="21">
        <v>100</v>
      </c>
      <c r="B12" s="22"/>
      <c r="C12" s="23">
        <f t="shared" si="0"/>
        <v>667.12819039630403</v>
      </c>
      <c r="D12" s="24" t="str">
        <f>IF(ISNUMBER(B12),AVERAGE(INDEX($B$2:$B$23,MAX(1,11-semi)):INDEX($B$2:$B$23,MIN($M$3,11+semi))),"")</f>
        <v/>
      </c>
      <c r="E12" s="25" t="str">
        <f t="shared" si="1"/>
        <v/>
      </c>
      <c r="F12" s="23" t="str">
        <f>IF(AND(ISNUMBER(E12),ISNUMBER(E13),ISNUMBER($M$6)),IF(AND(12&lt;$M$6,E12&lt;0.5,E13&gt;=0.5),12,""),"")</f>
        <v/>
      </c>
      <c r="G12" s="23" t="str">
        <f>IF(AND(ISNUMBER(E12),ISNUMBER(E13),ISNUMBER($M$6)),IF(AND(12&gt;=$M$6,E12&gt;=0.5,E13&lt;0.5),12,""),"")</f>
        <v/>
      </c>
      <c r="H12" s="23" t="str">
        <f t="shared" si="2"/>
        <v/>
      </c>
      <c r="I12" s="23" t="e">
        <f t="shared" si="3"/>
        <v>#N/A</v>
      </c>
      <c r="J12" s="25" t="e">
        <f t="shared" si="4"/>
        <v>#N/A</v>
      </c>
      <c r="K12" s="23">
        <f t="shared" si="5"/>
        <v>1</v>
      </c>
      <c r="L12" s="5" t="s">
        <v>62</v>
      </c>
      <c r="M12" s="18" t="str">
        <f>IF(AND($M$8&gt;0,$M$9&gt;0),ABS($M$11-$M$10),"")</f>
        <v/>
      </c>
    </row>
    <row r="13" spans="1:13" ht="15.6" x14ac:dyDescent="0.3">
      <c r="A13" s="21">
        <v>110</v>
      </c>
      <c r="B13" s="22"/>
      <c r="C13" s="23">
        <f t="shared" si="0"/>
        <v>733.84100943593455</v>
      </c>
      <c r="D13" s="24" t="str">
        <f>IF(ISNUMBER(B13),AVERAGE(INDEX($B$2:$B$23,MAX(1,12-semi)):INDEX($B$2:$B$23,MIN($M$3,12+semi))),"")</f>
        <v/>
      </c>
      <c r="E13" s="25" t="str">
        <f t="shared" si="1"/>
        <v/>
      </c>
      <c r="F13" s="23" t="str">
        <f>IF(AND(ISNUMBER(E13),ISNUMBER(E14),ISNUMBER($M$6)),IF(AND(13&lt;$M$6,E13&lt;0.5,E14&gt;=0.5),13,""),"")</f>
        <v/>
      </c>
      <c r="G13" s="23" t="str">
        <f>IF(AND(ISNUMBER(E13),ISNUMBER(E14),ISNUMBER($M$6)),IF(AND(13&gt;=$M$6,E13&gt;=0.5,E14&lt;0.5),13,""),"")</f>
        <v/>
      </c>
      <c r="H13" s="23" t="str">
        <f t="shared" si="2"/>
        <v/>
      </c>
      <c r="I13" s="23" t="e">
        <f t="shared" si="3"/>
        <v>#N/A</v>
      </c>
      <c r="J13" s="25" t="e">
        <f t="shared" si="4"/>
        <v>#N/A</v>
      </c>
      <c r="K13" s="23">
        <f t="shared" si="5"/>
        <v>1</v>
      </c>
      <c r="L13" s="5" t="s">
        <v>63</v>
      </c>
      <c r="M13" s="18" t="str">
        <f>IF(ISNUMBER($M$12),factor_forma*$M$12,"")</f>
        <v/>
      </c>
    </row>
    <row r="14" spans="1:13" x14ac:dyDescent="0.3">
      <c r="A14" s="21">
        <v>120</v>
      </c>
      <c r="B14" s="22"/>
      <c r="C14" s="23">
        <f t="shared" si="0"/>
        <v>800.55382847556496</v>
      </c>
      <c r="D14" s="24" t="str">
        <f>IF(ISNUMBER(B14),AVERAGE(INDEX($B$2:$B$23,MAX(1,13-semi)):INDEX($B$2:$B$23,MIN($M$3,13+semi))),"")</f>
        <v/>
      </c>
      <c r="E14" s="25" t="str">
        <f t="shared" si="1"/>
        <v/>
      </c>
      <c r="F14" s="23" t="str">
        <f>IF(AND(ISNUMBER(E14),ISNUMBER(E15),ISNUMBER($M$6)),IF(AND(14&lt;$M$6,E14&lt;0.5,E15&gt;=0.5),14,""),"")</f>
        <v/>
      </c>
      <c r="G14" s="23" t="str">
        <f>IF(AND(ISNUMBER(E14),ISNUMBER(E15),ISNUMBER($M$6)),IF(AND(14&gt;=$M$6,E14&gt;=0.5,E15&lt;0.5),14,""),"")</f>
        <v/>
      </c>
      <c r="H14" s="23" t="str">
        <f t="shared" si="2"/>
        <v/>
      </c>
      <c r="I14" s="23" t="e">
        <f t="shared" si="3"/>
        <v>#N/A</v>
      </c>
      <c r="J14" s="25" t="e">
        <f t="shared" si="4"/>
        <v>#N/A</v>
      </c>
      <c r="K14" s="23">
        <f t="shared" si="5"/>
        <v>1</v>
      </c>
      <c r="L14" s="5" t="s">
        <v>64</v>
      </c>
      <c r="M14" s="6" t="str">
        <f>IF(ISNUMBER($M$12),0.7071*$M$12,"")</f>
        <v/>
      </c>
    </row>
    <row r="15" spans="1:13" x14ac:dyDescent="0.3">
      <c r="A15" s="21">
        <v>130</v>
      </c>
      <c r="B15" s="22"/>
      <c r="C15" s="23">
        <f t="shared" si="0"/>
        <v>867.26664751519536</v>
      </c>
      <c r="D15" s="24" t="str">
        <f>IF(ISNUMBER(B15),AVERAGE(INDEX($B$2:$B$23,MAX(1,14-semi)):INDEX($B$2:$B$23,MIN($M$3,14+semi))),"")</f>
        <v/>
      </c>
      <c r="E15" s="25" t="str">
        <f t="shared" si="1"/>
        <v/>
      </c>
      <c r="F15" s="23" t="str">
        <f>IF(AND(ISNUMBER(E15),ISNUMBER(E16),ISNUMBER($M$6)),IF(AND(15&lt;$M$6,E15&lt;0.5,E16&gt;=0.5),15,""),"")</f>
        <v/>
      </c>
      <c r="G15" s="23" t="str">
        <f>IF(AND(ISNUMBER(E15),ISNUMBER(E16),ISNUMBER($M$6)),IF(AND(15&gt;=$M$6,E15&gt;=0.5,E16&lt;0.5),15,""),"")</f>
        <v/>
      </c>
      <c r="H15" s="23" t="str">
        <f t="shared" si="2"/>
        <v/>
      </c>
      <c r="I15" s="23" t="e">
        <f t="shared" si="3"/>
        <v>#N/A</v>
      </c>
      <c r="J15" s="25" t="e">
        <f t="shared" si="4"/>
        <v>#N/A</v>
      </c>
      <c r="K15" s="23">
        <f t="shared" si="5"/>
        <v>1</v>
      </c>
      <c r="L15" s="5" t="s">
        <v>65</v>
      </c>
      <c r="M15" s="6">
        <f>IF(ISNUMBER($M$12),($M$10+$M$11)/2,$M$7)</f>
        <v>0</v>
      </c>
    </row>
    <row r="16" spans="1:13" x14ac:dyDescent="0.3">
      <c r="A16" s="21">
        <v>140</v>
      </c>
      <c r="B16" s="22"/>
      <c r="C16" s="23">
        <f t="shared" si="0"/>
        <v>933.97946655482576</v>
      </c>
      <c r="D16" s="24" t="str">
        <f>IF(ISNUMBER(B16),AVERAGE(INDEX($B$2:$B$23,MAX(1,15-semi)):INDEX($B$2:$B$23,MIN($M$3,15+semi))),"")</f>
        <v/>
      </c>
      <c r="E16" s="25" t="str">
        <f t="shared" si="1"/>
        <v/>
      </c>
      <c r="F16" s="23" t="str">
        <f>IF(AND(ISNUMBER(E16),ISNUMBER(E17),ISNUMBER($M$6)),IF(AND(16&lt;$M$6,E16&lt;0.5,E17&gt;=0.5),16,""),"")</f>
        <v/>
      </c>
      <c r="G16" s="23" t="str">
        <f>IF(AND(ISNUMBER(E16),ISNUMBER(E17),ISNUMBER($M$6)),IF(AND(16&gt;=$M$6,E16&gt;=0.5,E17&lt;0.5),16,""),"")</f>
        <v/>
      </c>
      <c r="H16" s="23" t="str">
        <f t="shared" si="2"/>
        <v/>
      </c>
      <c r="I16" s="23" t="e">
        <f t="shared" si="3"/>
        <v>#N/A</v>
      </c>
      <c r="J16" s="25" t="e">
        <f t="shared" si="4"/>
        <v>#N/A</v>
      </c>
      <c r="K16" s="23">
        <f t="shared" si="5"/>
        <v>1</v>
      </c>
      <c r="L16" s="5" t="s">
        <v>66</v>
      </c>
      <c r="M16" s="10">
        <f>COUNTIF($E$2:$E$23,"&gt;=0.5")</f>
        <v>0</v>
      </c>
    </row>
    <row r="17" spans="1:13" x14ac:dyDescent="0.3">
      <c r="A17" s="21">
        <v>150</v>
      </c>
      <c r="B17" s="22"/>
      <c r="C17" s="23">
        <f t="shared" si="0"/>
        <v>1000.6922855944562</v>
      </c>
      <c r="D17" s="24" t="str">
        <f>IF(ISNUMBER(B17),AVERAGE(INDEX($B$2:$B$23,MAX(1,16-semi)):INDEX($B$2:$B$23,MIN($M$3,16+semi))),"")</f>
        <v/>
      </c>
      <c r="E17" s="25" t="str">
        <f t="shared" si="1"/>
        <v/>
      </c>
      <c r="F17" s="23" t="str">
        <f>IF(AND(ISNUMBER(E17),ISNUMBER(E18),ISNUMBER($M$6)),IF(AND(17&lt;$M$6,E17&lt;0.5,E18&gt;=0.5),17,""),"")</f>
        <v/>
      </c>
      <c r="G17" s="23" t="str">
        <f>IF(AND(ISNUMBER(E17),ISNUMBER(E18),ISNUMBER($M$6)),IF(AND(17&gt;=$M$6,E17&gt;=0.5,E18&lt;0.5),17,""),"")</f>
        <v/>
      </c>
      <c r="H17" s="23" t="str">
        <f t="shared" si="2"/>
        <v/>
      </c>
      <c r="I17" s="23" t="e">
        <f t="shared" si="3"/>
        <v>#N/A</v>
      </c>
      <c r="J17" s="25" t="e">
        <f t="shared" si="4"/>
        <v>#N/A</v>
      </c>
      <c r="K17" s="23">
        <f t="shared" si="5"/>
        <v>1</v>
      </c>
      <c r="L17" s="5" t="s">
        <v>67</v>
      </c>
      <c r="M17" s="6">
        <f>IFERROR($M$15-MIN($C$2:$C$23),"")</f>
        <v>0</v>
      </c>
    </row>
    <row r="18" spans="1:13" x14ac:dyDescent="0.3">
      <c r="A18" s="21">
        <v>160</v>
      </c>
      <c r="B18" s="22"/>
      <c r="C18" s="23">
        <f t="shared" si="0"/>
        <v>1067.4051046340865</v>
      </c>
      <c r="D18" s="24" t="str">
        <f>IF(ISNUMBER(B18),AVERAGE(INDEX($B$2:$B$23,MAX(1,17-semi)):INDEX($B$2:$B$23,MIN($M$3,17+semi))),"")</f>
        <v/>
      </c>
      <c r="E18" s="25" t="str">
        <f t="shared" si="1"/>
        <v/>
      </c>
      <c r="F18" s="23" t="str">
        <f>IF(AND(ISNUMBER(E18),ISNUMBER(E19),ISNUMBER($M$6)),IF(AND(18&lt;$M$6,E18&lt;0.5,E19&gt;=0.5),18,""),"")</f>
        <v/>
      </c>
      <c r="G18" s="23" t="str">
        <f>IF(AND(ISNUMBER(E18),ISNUMBER(E19),ISNUMBER($M$6)),IF(AND(18&gt;=$M$6,E18&gt;=0.5,E19&lt;0.5),18,""),"")</f>
        <v/>
      </c>
      <c r="H18" s="23" t="str">
        <f t="shared" si="2"/>
        <v/>
      </c>
      <c r="I18" s="23" t="e">
        <f t="shared" si="3"/>
        <v>#N/A</v>
      </c>
      <c r="J18" s="25" t="e">
        <f t="shared" si="4"/>
        <v>#N/A</v>
      </c>
      <c r="K18" s="23">
        <f t="shared" si="5"/>
        <v>1</v>
      </c>
      <c r="L18" s="5" t="s">
        <v>68</v>
      </c>
      <c r="M18" s="6">
        <f>IFERROR(MAX($C$2:$C$23)-$M$15,"")</f>
        <v>1400.9691998322385</v>
      </c>
    </row>
    <row r="19" spans="1:13" x14ac:dyDescent="0.3">
      <c r="A19" s="21">
        <v>170</v>
      </c>
      <c r="B19" s="22"/>
      <c r="C19" s="23">
        <f t="shared" si="0"/>
        <v>1134.1179236737169</v>
      </c>
      <c r="D19" s="24" t="str">
        <f>IF(ISNUMBER(B19),AVERAGE(INDEX($B$2:$B$23,MAX(1,18-semi)):INDEX($B$2:$B$23,MIN($M$3,18+semi))),"")</f>
        <v/>
      </c>
      <c r="E19" s="25" t="str">
        <f t="shared" si="1"/>
        <v/>
      </c>
      <c r="F19" s="23" t="str">
        <f>IF(AND(ISNUMBER(E19),ISNUMBER(E20),ISNUMBER($M$6)),IF(AND(19&lt;$M$6,E19&lt;0.5,E20&gt;=0.5),19,""),"")</f>
        <v/>
      </c>
      <c r="G19" s="23" t="str">
        <f>IF(AND(ISNUMBER(E19),ISNUMBER(E20),ISNUMBER($M$6)),IF(AND(19&gt;=$M$6,E19&gt;=0.5,E20&lt;0.5),19,""),"")</f>
        <v/>
      </c>
      <c r="H19" s="23" t="str">
        <f t="shared" si="2"/>
        <v/>
      </c>
      <c r="I19" s="23" t="e">
        <f t="shared" si="3"/>
        <v>#N/A</v>
      </c>
      <c r="J19" s="25" t="e">
        <f t="shared" si="4"/>
        <v>#N/A</v>
      </c>
      <c r="K19" s="23">
        <f t="shared" si="5"/>
        <v>1</v>
      </c>
      <c r="L19" s="5" t="s">
        <v>69</v>
      </c>
      <c r="M19" s="10" t="str">
        <f>IF($M$3&lt;$M$2,"",IFERROR(INDEX($A$1:$A$23,$M$6),""))</f>
        <v/>
      </c>
    </row>
    <row r="20" spans="1:13" x14ac:dyDescent="0.3">
      <c r="A20" s="21">
        <v>180</v>
      </c>
      <c r="B20" s="22"/>
      <c r="C20" s="23">
        <f t="shared" si="0"/>
        <v>1200.8307427133473</v>
      </c>
      <c r="D20" s="24" t="str">
        <f>IF(ISNUMBER(B20),AVERAGE(INDEX($B$2:$B$23,MAX(1,19-semi)):INDEX($B$2:$B$23,MIN($M$3,19+semi))),"")</f>
        <v/>
      </c>
      <c r="E20" s="25" t="str">
        <f t="shared" si="1"/>
        <v/>
      </c>
      <c r="F20" s="23" t="str">
        <f>IF(AND(ISNUMBER(E20),ISNUMBER(E21),ISNUMBER($M$6)),IF(AND(20&lt;$M$6,E20&lt;0.5,E21&gt;=0.5),20,""),"")</f>
        <v/>
      </c>
      <c r="G20" s="23" t="str">
        <f>IF(AND(ISNUMBER(E20),ISNUMBER(E21),ISNUMBER($M$6)),IF(AND(20&gt;=$M$6,E20&gt;=0.5,E21&lt;0.5),20,""),"")</f>
        <v/>
      </c>
      <c r="H20" s="23" t="str">
        <f t="shared" si="2"/>
        <v/>
      </c>
      <c r="I20" s="23" t="e">
        <f t="shared" si="3"/>
        <v>#N/A</v>
      </c>
      <c r="J20" s="25" t="e">
        <f t="shared" si="4"/>
        <v>#N/A</v>
      </c>
      <c r="K20" s="23">
        <f t="shared" si="5"/>
        <v>1</v>
      </c>
      <c r="L20" s="5" t="s">
        <v>70</v>
      </c>
      <c r="M20" s="20" t="str">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Sin datos</v>
      </c>
    </row>
    <row r="21" spans="1:13" x14ac:dyDescent="0.3">
      <c r="A21" s="21">
        <v>190</v>
      </c>
      <c r="B21" s="22"/>
      <c r="C21" s="23">
        <f t="shared" si="0"/>
        <v>1267.5435617529777</v>
      </c>
      <c r="D21" s="24" t="str">
        <f>IF(ISNUMBER(B21),AVERAGE(INDEX($B$2:$B$23,MAX(1,20-semi)):INDEX($B$2:$B$23,MIN($M$3,20+semi))),"")</f>
        <v/>
      </c>
      <c r="E21" s="25" t="str">
        <f t="shared" si="1"/>
        <v/>
      </c>
      <c r="F21" s="23" t="str">
        <f>IF(AND(ISNUMBER(E21),ISNUMBER(E22),ISNUMBER($M$6)),IF(AND(21&lt;$M$6,E21&lt;0.5,E22&gt;=0.5),21,""),"")</f>
        <v/>
      </c>
      <c r="G21" s="23" t="str">
        <f>IF(AND(ISNUMBER(E21),ISNUMBER(E22),ISNUMBER($M$6)),IF(AND(21&gt;=$M$6,E21&gt;=0.5,E22&lt;0.5),21,""),"")</f>
        <v/>
      </c>
      <c r="H21" s="23" t="str">
        <f t="shared" si="2"/>
        <v/>
      </c>
      <c r="I21" s="23" t="e">
        <f t="shared" si="3"/>
        <v>#N/A</v>
      </c>
      <c r="J21" s="25" t="e">
        <f t="shared" si="4"/>
        <v>#N/A</v>
      </c>
      <c r="K21" s="23">
        <f t="shared" si="5"/>
        <v>1</v>
      </c>
    </row>
    <row r="22" spans="1:13" x14ac:dyDescent="0.3">
      <c r="A22" s="21">
        <v>200</v>
      </c>
      <c r="B22" s="22"/>
      <c r="C22" s="23">
        <f t="shared" si="0"/>
        <v>1334.2563807926081</v>
      </c>
      <c r="D22" s="24" t="str">
        <f>IF(ISNUMBER(B22),AVERAGE(INDEX($B$2:$B$23,MAX(1,21-semi)):INDEX($B$2:$B$23,MIN($M$3,21+semi))),"")</f>
        <v/>
      </c>
      <c r="E22" s="25" t="str">
        <f t="shared" si="1"/>
        <v/>
      </c>
      <c r="F22" s="23" t="str">
        <f>IF(AND(ISNUMBER(E22),ISNUMBER(E23),ISNUMBER($M$6)),IF(AND(22&lt;$M$6,E22&lt;0.5,E23&gt;=0.5),22,""),"")</f>
        <v/>
      </c>
      <c r="G22" s="23" t="str">
        <f>IF(AND(ISNUMBER(E22),ISNUMBER(E23),ISNUMBER($M$6)),IF(AND(22&gt;=$M$6,E22&gt;=0.5,E23&lt;0.5),22,""),"")</f>
        <v/>
      </c>
      <c r="H22" s="23" t="str">
        <f t="shared" si="2"/>
        <v/>
      </c>
      <c r="I22" s="23" t="e">
        <f t="shared" si="3"/>
        <v>#N/A</v>
      </c>
      <c r="J22" s="25" t="e">
        <f t="shared" si="4"/>
        <v>#N/A</v>
      </c>
      <c r="K22" s="23">
        <f t="shared" si="5"/>
        <v>1</v>
      </c>
      <c r="L22" s="2" t="s">
        <v>73</v>
      </c>
    </row>
    <row r="23" spans="1:13" x14ac:dyDescent="0.3">
      <c r="A23" s="21">
        <v>210</v>
      </c>
      <c r="B23" s="22"/>
      <c r="C23" s="23">
        <f t="shared" si="0"/>
        <v>1400.9691998322385</v>
      </c>
      <c r="D23" s="24" t="str">
        <f>IF(ISNUMBER(B23),AVERAGE(INDEX($B$2:$B$23,MAX(1,22-semi)):INDEX($B$2:$B$23,MIN($M$3,22+semi))),"")</f>
        <v/>
      </c>
      <c r="E23" s="25" t="str">
        <f t="shared" si="1"/>
        <v/>
      </c>
      <c r="F23" s="23" t="str">
        <f>IF(AND(ISNUMBER(E23),ISNUMBER(E24),ISNUMBER($M$6)),IF(AND(23&lt;$M$6,E23&lt;0.5,E24&gt;=0.5),23,""),"")</f>
        <v/>
      </c>
      <c r="G23" s="23" t="str">
        <f>IF(AND(ISNUMBER(E23),ISNUMBER(E24),ISNUMBER($M$6)),IF(AND(23&gt;=$M$6,E23&gt;=0.5,E24&lt;0.5),23,""),"")</f>
        <v/>
      </c>
      <c r="H23" s="23" t="str">
        <f t="shared" si="2"/>
        <v/>
      </c>
      <c r="I23" s="23" t="e">
        <f t="shared" si="3"/>
        <v>#N/A</v>
      </c>
      <c r="J23" s="25" t="e">
        <f t="shared" si="4"/>
        <v>#N/A</v>
      </c>
      <c r="K23" s="23" t="str">
        <f t="shared" si="5"/>
        <v/>
      </c>
      <c r="L23" s="23" t="e">
        <f>IF(ISNUMBER($M$12),$M$10-$M$15,NA())</f>
        <v>#N/A</v>
      </c>
      <c r="M23" s="23" t="e">
        <f>IF(ISNUMBER($M$12),0.5,NA())</f>
        <v>#N/A</v>
      </c>
    </row>
    <row r="24" spans="1:13" x14ac:dyDescent="0.3">
      <c r="L24" s="23" t="e">
        <f>IF(ISNUMBER($M$12),$M$11-$M$15,NA())</f>
        <v>#N/A</v>
      </c>
      <c r="M24" s="23" t="e">
        <f>IF(ISNUMBER($M$12),0.5,NA())</f>
        <v>#N/A</v>
      </c>
    </row>
    <row r="26" spans="1:13" ht="26.4" x14ac:dyDescent="0.3">
      <c r="L26" s="7" t="s">
        <v>74</v>
      </c>
    </row>
  </sheetData>
  <sheetProtection sheet="1" objects="1" scenarios="1" formatColumns="0" formatRows="0"/>
  <conditionalFormatting sqref="I2:J23">
    <cfRule type="containsErrors" dxfId="14" priority="4">
      <formula>ISERROR(I2)</formula>
    </cfRule>
  </conditionalFormatting>
  <conditionalFormatting sqref="L23:M24">
    <cfRule type="containsErrors" dxfId="13" priority="5">
      <formula>ISERROR(L23)</formula>
    </cfRule>
  </conditionalFormatting>
  <conditionalFormatting sqref="M20">
    <cfRule type="cellIs" dxfId="12" priority="1" operator="equal">
      <formula>"OK"</formula>
    </cfRule>
    <cfRule type="beginsWith" dxfId="11" priority="2" operator="beginsWith" text="Aviso">
      <formula>LEFT(M20,5)="Aviso"</formula>
    </cfRule>
    <cfRule type="beginsWith" dxfId="10"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xr:uid="{00000000-0002-0000-0D00-000000000000}">
      <formula1>-1</formula1>
      <formula2>1</formula2>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6A6A6"/>
  </sheetPr>
  <dimension ref="A1:M26"/>
  <sheetViews>
    <sheetView workbookViewId="0">
      <pane ySplit="1" topLeftCell="A2" activePane="bottomLeft" state="frozen"/>
      <selection pane="bottomLeft"/>
    </sheetView>
  </sheetViews>
  <sheetFormatPr baseColWidth="10" defaultColWidth="8.88671875" defaultRowHeight="14.4" x14ac:dyDescent="0.3"/>
  <cols>
    <col min="1" max="1" width="14.6640625" customWidth="1"/>
    <col min="2" max="2" width="15.6640625" customWidth="1"/>
    <col min="3" max="5" width="12.6640625" customWidth="1"/>
    <col min="6" max="8" width="9.6640625" customWidth="1"/>
    <col min="9" max="10" width="11.6640625" customWidth="1"/>
    <col min="11" max="11" width="7.6640625" customWidth="1"/>
    <col min="12" max="12" width="42.6640625" customWidth="1"/>
    <col min="13" max="13" width="14.6640625" customWidth="1"/>
  </cols>
  <sheetData>
    <row r="1" spans="1:13" ht="42" customHeight="1" x14ac:dyDescent="0.3">
      <c r="A1" s="4" t="s">
        <v>41</v>
      </c>
      <c r="B1" s="4" t="s">
        <v>42</v>
      </c>
      <c r="C1" s="4" t="s">
        <v>43</v>
      </c>
      <c r="D1" s="4" t="s">
        <v>44</v>
      </c>
      <c r="E1" s="4" t="s">
        <v>45</v>
      </c>
      <c r="F1" s="4" t="s">
        <v>46</v>
      </c>
      <c r="G1" s="4" t="s">
        <v>47</v>
      </c>
      <c r="H1" s="4" t="s">
        <v>48</v>
      </c>
      <c r="I1" s="4" t="s">
        <v>49</v>
      </c>
      <c r="J1" s="4" t="s">
        <v>50</v>
      </c>
      <c r="K1" s="4" t="s">
        <v>51</v>
      </c>
      <c r="L1" s="4" t="s">
        <v>84</v>
      </c>
      <c r="M1" s="4" t="s">
        <v>72</v>
      </c>
    </row>
    <row r="2" spans="1:13" x14ac:dyDescent="0.3">
      <c r="A2" s="21">
        <v>0</v>
      </c>
      <c r="B2" s="22"/>
      <c r="C2" s="23">
        <f t="shared" ref="C2:C23" si="0">IF(ISNUMBER(A2),A2*conv,"")</f>
        <v>0</v>
      </c>
      <c r="D2" s="24" t="str">
        <f>IF(ISNUMBER(B2),AVERAGE(INDEX($B$2:$B$23,MAX(1,1-semi)):INDEX($B$2:$B$23,MIN($M$3,1+semi))),"")</f>
        <v/>
      </c>
      <c r="E2" s="25" t="str">
        <f t="shared" ref="E2:E23" si="1">IF(AND(ISNUMBER(D2),ISNUMBER($M$4)),(D2-$M$4)/($M$5-$M$4),"")</f>
        <v/>
      </c>
      <c r="F2" s="23" t="str">
        <f>IF(AND(ISNUMBER(E2),ISNUMBER(E3),ISNUMBER($M$6)),IF(AND(2&lt;$M$6,E2&lt;0.5,E3&gt;=0.5),2,""),"")</f>
        <v/>
      </c>
      <c r="G2" s="23" t="str">
        <f>IF(AND(ISNUMBER(E2),ISNUMBER(E3),ISNUMBER($M$6)),IF(AND(2&gt;=$M$6,E2&gt;=0.5,E3&lt;0.5),2,""),"")</f>
        <v/>
      </c>
      <c r="H2" s="23" t="str">
        <f t="shared" ref="H2:H23" si="2">IF(OR(ISNUMBER(F2),ISNUMBER(G2)),C2+(0.5-E2)*(C3-C2)/(E3-E2),"")</f>
        <v/>
      </c>
      <c r="I2" s="23" t="e">
        <f t="shared" ref="I2:I23" si="3">IF(AND(ISNUMBER(E2),ISNUMBER($M$15)),C2-$M$15,NA())</f>
        <v>#N/A</v>
      </c>
      <c r="J2" s="25" t="e">
        <f t="shared" ref="J2:J23" si="4">IF(ISNUMBER(E2),E2,NA())</f>
        <v>#N/A</v>
      </c>
      <c r="K2" s="23">
        <f t="shared" ref="K2:K23" si="5">IF(AND(ISNUMBER(C2),ISNUMBER(C3)),SIGN(C3-C2),"")</f>
        <v>1</v>
      </c>
      <c r="L2" s="5" t="s">
        <v>52</v>
      </c>
      <c r="M2" s="10">
        <f>COUNT($A$2:$A$23)</f>
        <v>22</v>
      </c>
    </row>
    <row r="3" spans="1:13" x14ac:dyDescent="0.3">
      <c r="A3" s="21">
        <v>10</v>
      </c>
      <c r="B3" s="22"/>
      <c r="C3" s="23">
        <f t="shared" si="0"/>
        <v>66.712819039630403</v>
      </c>
      <c r="D3" s="24" t="str">
        <f>IF(ISNUMBER(B3),AVERAGE(INDEX($B$2:$B$23,MAX(1,2-semi)):INDEX($B$2:$B$23,MIN($M$3,2+semi))),"")</f>
        <v/>
      </c>
      <c r="E3" s="25" t="str">
        <f t="shared" si="1"/>
        <v/>
      </c>
      <c r="F3" s="23" t="str">
        <f>IF(AND(ISNUMBER(E3),ISNUMBER(E4),ISNUMBER($M$6)),IF(AND(3&lt;$M$6,E3&lt;0.5,E4&gt;=0.5),3,""),"")</f>
        <v/>
      </c>
      <c r="G3" s="23" t="str">
        <f>IF(AND(ISNUMBER(E3),ISNUMBER(E4),ISNUMBER($M$6)),IF(AND(3&gt;=$M$6,E3&gt;=0.5,E4&lt;0.5),3,""),"")</f>
        <v/>
      </c>
      <c r="H3" s="23" t="str">
        <f t="shared" si="2"/>
        <v/>
      </c>
      <c r="I3" s="23" t="e">
        <f t="shared" si="3"/>
        <v>#N/A</v>
      </c>
      <c r="J3" s="25" t="e">
        <f t="shared" si="4"/>
        <v>#N/A</v>
      </c>
      <c r="K3" s="23">
        <f t="shared" si="5"/>
        <v>1</v>
      </c>
      <c r="L3" s="5" t="s">
        <v>53</v>
      </c>
      <c r="M3" s="10">
        <f>COUNT($B$2:$B$23)</f>
        <v>0</v>
      </c>
    </row>
    <row r="4" spans="1:13" x14ac:dyDescent="0.3">
      <c r="A4" s="21">
        <v>20</v>
      </c>
      <c r="B4" s="22"/>
      <c r="C4" s="23">
        <f t="shared" si="0"/>
        <v>133.42563807926081</v>
      </c>
      <c r="D4" s="24" t="str">
        <f>IF(ISNUMBER(B4),AVERAGE(INDEX($B$2:$B$23,MAX(1,3-semi)):INDEX($B$2:$B$23,MIN($M$3,3+semi))),"")</f>
        <v/>
      </c>
      <c r="E4" s="25" t="str">
        <f t="shared" si="1"/>
        <v/>
      </c>
      <c r="F4" s="23" t="str">
        <f>IF(AND(ISNUMBER(E4),ISNUMBER(E5),ISNUMBER($M$6)),IF(AND(4&lt;$M$6,E4&lt;0.5,E5&gt;=0.5),4,""),"")</f>
        <v/>
      </c>
      <c r="G4" s="23" t="str">
        <f>IF(AND(ISNUMBER(E4),ISNUMBER(E5),ISNUMBER($M$6)),IF(AND(4&gt;=$M$6,E4&gt;=0.5,E5&lt;0.5),4,""),"")</f>
        <v/>
      </c>
      <c r="H4" s="23" t="str">
        <f t="shared" si="2"/>
        <v/>
      </c>
      <c r="I4" s="23" t="e">
        <f t="shared" si="3"/>
        <v>#N/A</v>
      </c>
      <c r="J4" s="25" t="e">
        <f t="shared" si="4"/>
        <v>#N/A</v>
      </c>
      <c r="K4" s="23">
        <f t="shared" si="5"/>
        <v>1</v>
      </c>
      <c r="L4" s="5" t="s">
        <v>54</v>
      </c>
      <c r="M4" s="26" t="str">
        <f>IF($M$3&lt;$M$2,"",(AVERAGE(INDEX($B$2:$B$23,1):INDEX($B$2:$B$23,n_fondo))+AVERAGE(INDEX($B$2:$B$23,$M$3-n_fondo+1):INDEX($B$2:$B$23,$M$3)))/2)</f>
        <v/>
      </c>
    </row>
    <row r="5" spans="1:13" x14ac:dyDescent="0.3">
      <c r="A5" s="21">
        <v>30</v>
      </c>
      <c r="B5" s="22"/>
      <c r="C5" s="23">
        <f t="shared" si="0"/>
        <v>200.13845711889124</v>
      </c>
      <c r="D5" s="24" t="str">
        <f>IF(ISNUMBER(B5),AVERAGE(INDEX($B$2:$B$23,MAX(1,4-semi)):INDEX($B$2:$B$23,MIN($M$3,4+semi))),"")</f>
        <v/>
      </c>
      <c r="E5" s="25" t="str">
        <f t="shared" si="1"/>
        <v/>
      </c>
      <c r="F5" s="23" t="str">
        <f>IF(AND(ISNUMBER(E5),ISNUMBER(E6),ISNUMBER($M$6)),IF(AND(5&lt;$M$6,E5&lt;0.5,E6&gt;=0.5),5,""),"")</f>
        <v/>
      </c>
      <c r="G5" s="23" t="str">
        <f>IF(AND(ISNUMBER(E5),ISNUMBER(E6),ISNUMBER($M$6)),IF(AND(5&gt;=$M$6,E5&gt;=0.5,E6&lt;0.5),5,""),"")</f>
        <v/>
      </c>
      <c r="H5" s="23" t="str">
        <f t="shared" si="2"/>
        <v/>
      </c>
      <c r="I5" s="23" t="e">
        <f t="shared" si="3"/>
        <v>#N/A</v>
      </c>
      <c r="J5" s="25" t="e">
        <f t="shared" si="4"/>
        <v>#N/A</v>
      </c>
      <c r="K5" s="23">
        <f t="shared" si="5"/>
        <v>1</v>
      </c>
      <c r="L5" s="5" t="s">
        <v>55</v>
      </c>
      <c r="M5" s="26" t="str">
        <f>IF($M$3&lt;$M$2,"",MAX($D$2:$D$23))</f>
        <v/>
      </c>
    </row>
    <row r="6" spans="1:13" x14ac:dyDescent="0.3">
      <c r="A6" s="21">
        <v>40</v>
      </c>
      <c r="B6" s="22"/>
      <c r="C6" s="23">
        <f t="shared" si="0"/>
        <v>266.85127615852161</v>
      </c>
      <c r="D6" s="24" t="str">
        <f>IF(ISNUMBER(B6),AVERAGE(INDEX($B$2:$B$23,MAX(1,5-semi)):INDEX($B$2:$B$23,MIN($M$3,5+semi))),"")</f>
        <v/>
      </c>
      <c r="E6" s="25" t="str">
        <f t="shared" si="1"/>
        <v/>
      </c>
      <c r="F6" s="23" t="str">
        <f>IF(AND(ISNUMBER(E6),ISNUMBER(E7),ISNUMBER($M$6)),IF(AND(6&lt;$M$6,E6&lt;0.5,E7&gt;=0.5),6,""),"")</f>
        <v/>
      </c>
      <c r="G6" s="23" t="str">
        <f>IF(AND(ISNUMBER(E6),ISNUMBER(E7),ISNUMBER($M$6)),IF(AND(6&gt;=$M$6,E6&gt;=0.5,E7&lt;0.5),6,""),"")</f>
        <v/>
      </c>
      <c r="H6" s="23" t="str">
        <f t="shared" si="2"/>
        <v/>
      </c>
      <c r="I6" s="23" t="e">
        <f t="shared" si="3"/>
        <v>#N/A</v>
      </c>
      <c r="J6" s="25" t="e">
        <f t="shared" si="4"/>
        <v>#N/A</v>
      </c>
      <c r="K6" s="23">
        <f t="shared" si="5"/>
        <v>1</v>
      </c>
      <c r="L6" s="5" t="s">
        <v>56</v>
      </c>
      <c r="M6" s="10">
        <f>IFERROR(MATCH($M$5,$D$2:$D$23,0)+1,"")</f>
        <v>2</v>
      </c>
    </row>
    <row r="7" spans="1:13" x14ac:dyDescent="0.3">
      <c r="A7" s="21">
        <v>50</v>
      </c>
      <c r="B7" s="22"/>
      <c r="C7" s="23">
        <f t="shared" si="0"/>
        <v>333.56409519815202</v>
      </c>
      <c r="D7" s="24" t="str">
        <f>IF(ISNUMBER(B7),AVERAGE(INDEX($B$2:$B$23,MAX(1,6-semi)):INDEX($B$2:$B$23,MIN($M$3,6+semi))),"")</f>
        <v/>
      </c>
      <c r="E7" s="25" t="str">
        <f t="shared" si="1"/>
        <v/>
      </c>
      <c r="F7" s="23" t="str">
        <f>IF(AND(ISNUMBER(E7),ISNUMBER(E8),ISNUMBER($M$6)),IF(AND(7&lt;$M$6,E7&lt;0.5,E8&gt;=0.5),7,""),"")</f>
        <v/>
      </c>
      <c r="G7" s="23" t="str">
        <f>IF(AND(ISNUMBER(E7),ISNUMBER(E8),ISNUMBER($M$6)),IF(AND(7&gt;=$M$6,E7&gt;=0.5,E8&lt;0.5),7,""),"")</f>
        <v/>
      </c>
      <c r="H7" s="23" t="str">
        <f t="shared" si="2"/>
        <v/>
      </c>
      <c r="I7" s="23" t="e">
        <f t="shared" si="3"/>
        <v>#N/A</v>
      </c>
      <c r="J7" s="25" t="e">
        <f t="shared" si="4"/>
        <v>#N/A</v>
      </c>
      <c r="K7" s="23">
        <f t="shared" si="5"/>
        <v>1</v>
      </c>
      <c r="L7" s="5" t="s">
        <v>57</v>
      </c>
      <c r="M7" s="6">
        <f>IFERROR(INDEX($C$1:$C$23,$M$6),"")</f>
        <v>0</v>
      </c>
    </row>
    <row r="8" spans="1:13" x14ac:dyDescent="0.3">
      <c r="A8" s="21">
        <v>60</v>
      </c>
      <c r="B8" s="22"/>
      <c r="C8" s="23">
        <f t="shared" si="0"/>
        <v>400.27691423778248</v>
      </c>
      <c r="D8" s="24" t="str">
        <f>IF(ISNUMBER(B8),AVERAGE(INDEX($B$2:$B$23,MAX(1,7-semi)):INDEX($B$2:$B$23,MIN($M$3,7+semi))),"")</f>
        <v/>
      </c>
      <c r="E8" s="25" t="str">
        <f t="shared" si="1"/>
        <v/>
      </c>
      <c r="F8" s="23" t="str">
        <f>IF(AND(ISNUMBER(E8),ISNUMBER(E9),ISNUMBER($M$6)),IF(AND(8&lt;$M$6,E8&lt;0.5,E9&gt;=0.5),8,""),"")</f>
        <v/>
      </c>
      <c r="G8" s="23" t="str">
        <f>IF(AND(ISNUMBER(E8),ISNUMBER(E9),ISNUMBER($M$6)),IF(AND(8&gt;=$M$6,E8&gt;=0.5,E9&lt;0.5),8,""),"")</f>
        <v/>
      </c>
      <c r="H8" s="23" t="str">
        <f t="shared" si="2"/>
        <v/>
      </c>
      <c r="I8" s="23" t="e">
        <f t="shared" si="3"/>
        <v>#N/A</v>
      </c>
      <c r="J8" s="25" t="e">
        <f t="shared" si="4"/>
        <v>#N/A</v>
      </c>
      <c r="K8" s="23">
        <f t="shared" si="5"/>
        <v>1</v>
      </c>
      <c r="L8" s="5" t="s">
        <v>58</v>
      </c>
      <c r="M8" s="10">
        <f>MAX($F$2:$F$23)</f>
        <v>0</v>
      </c>
    </row>
    <row r="9" spans="1:13" x14ac:dyDescent="0.3">
      <c r="A9" s="21">
        <v>70</v>
      </c>
      <c r="B9" s="22"/>
      <c r="C9" s="23">
        <f t="shared" si="0"/>
        <v>466.98973327741288</v>
      </c>
      <c r="D9" s="24" t="str">
        <f>IF(ISNUMBER(B9),AVERAGE(INDEX($B$2:$B$23,MAX(1,8-semi)):INDEX($B$2:$B$23,MIN($M$3,8+semi))),"")</f>
        <v/>
      </c>
      <c r="E9" s="25" t="str">
        <f t="shared" si="1"/>
        <v/>
      </c>
      <c r="F9" s="23" t="str">
        <f>IF(AND(ISNUMBER(E9),ISNUMBER(E10),ISNUMBER($M$6)),IF(AND(9&lt;$M$6,E9&lt;0.5,E10&gt;=0.5),9,""),"")</f>
        <v/>
      </c>
      <c r="G9" s="23" t="str">
        <f>IF(AND(ISNUMBER(E9),ISNUMBER(E10),ISNUMBER($M$6)),IF(AND(9&gt;=$M$6,E9&gt;=0.5,E10&lt;0.5),9,""),"")</f>
        <v/>
      </c>
      <c r="H9" s="23" t="str">
        <f t="shared" si="2"/>
        <v/>
      </c>
      <c r="I9" s="23" t="e">
        <f t="shared" si="3"/>
        <v>#N/A</v>
      </c>
      <c r="J9" s="25" t="e">
        <f t="shared" si="4"/>
        <v>#N/A</v>
      </c>
      <c r="K9" s="23">
        <f t="shared" si="5"/>
        <v>1</v>
      </c>
      <c r="L9" s="5" t="s">
        <v>59</v>
      </c>
      <c r="M9" s="10">
        <f>MIN($G$2:$G$23)</f>
        <v>0</v>
      </c>
    </row>
    <row r="10" spans="1:13" x14ac:dyDescent="0.3">
      <c r="A10" s="21">
        <v>80</v>
      </c>
      <c r="B10" s="22"/>
      <c r="C10" s="23">
        <f t="shared" si="0"/>
        <v>533.70255231704323</v>
      </c>
      <c r="D10" s="24" t="str">
        <f>IF(ISNUMBER(B10),AVERAGE(INDEX($B$2:$B$23,MAX(1,9-semi)):INDEX($B$2:$B$23,MIN($M$3,9+semi))),"")</f>
        <v/>
      </c>
      <c r="E10" s="25" t="str">
        <f t="shared" si="1"/>
        <v/>
      </c>
      <c r="F10" s="23" t="str">
        <f>IF(AND(ISNUMBER(E10),ISNUMBER(E11),ISNUMBER($M$6)),IF(AND(10&lt;$M$6,E10&lt;0.5,E11&gt;=0.5),10,""),"")</f>
        <v/>
      </c>
      <c r="G10" s="23" t="str">
        <f>IF(AND(ISNUMBER(E10),ISNUMBER(E11),ISNUMBER($M$6)),IF(AND(10&gt;=$M$6,E10&gt;=0.5,E11&lt;0.5),10,""),"")</f>
        <v/>
      </c>
      <c r="H10" s="23" t="str">
        <f t="shared" si="2"/>
        <v/>
      </c>
      <c r="I10" s="23" t="e">
        <f t="shared" si="3"/>
        <v>#N/A</v>
      </c>
      <c r="J10" s="25" t="e">
        <f t="shared" si="4"/>
        <v>#N/A</v>
      </c>
      <c r="K10" s="23">
        <f t="shared" si="5"/>
        <v>1</v>
      </c>
      <c r="L10" s="5" t="s">
        <v>60</v>
      </c>
      <c r="M10" s="6" t="str">
        <f>IF($M$8&gt;0,INDEX($H$1:$H$23,$M$8),"")</f>
        <v/>
      </c>
    </row>
    <row r="11" spans="1:13" x14ac:dyDescent="0.3">
      <c r="A11" s="21">
        <v>90</v>
      </c>
      <c r="B11" s="22"/>
      <c r="C11" s="23">
        <f t="shared" si="0"/>
        <v>600.41537135667363</v>
      </c>
      <c r="D11" s="24" t="str">
        <f>IF(ISNUMBER(B11),AVERAGE(INDEX($B$2:$B$23,MAX(1,10-semi)):INDEX($B$2:$B$23,MIN($M$3,10+semi))),"")</f>
        <v/>
      </c>
      <c r="E11" s="25" t="str">
        <f t="shared" si="1"/>
        <v/>
      </c>
      <c r="F11" s="23" t="str">
        <f>IF(AND(ISNUMBER(E11),ISNUMBER(E12),ISNUMBER($M$6)),IF(AND(11&lt;$M$6,E11&lt;0.5,E12&gt;=0.5),11,""),"")</f>
        <v/>
      </c>
      <c r="G11" s="23" t="str">
        <f>IF(AND(ISNUMBER(E11),ISNUMBER(E12),ISNUMBER($M$6)),IF(AND(11&gt;=$M$6,E11&gt;=0.5,E12&lt;0.5),11,""),"")</f>
        <v/>
      </c>
      <c r="H11" s="23" t="str">
        <f t="shared" si="2"/>
        <v/>
      </c>
      <c r="I11" s="23" t="e">
        <f t="shared" si="3"/>
        <v>#N/A</v>
      </c>
      <c r="J11" s="25" t="e">
        <f t="shared" si="4"/>
        <v>#N/A</v>
      </c>
      <c r="K11" s="23">
        <f t="shared" si="5"/>
        <v>1</v>
      </c>
      <c r="L11" s="5" t="s">
        <v>61</v>
      </c>
      <c r="M11" s="6" t="str">
        <f>IF($M$9&gt;0,INDEX($H$1:$H$23,$M$9),"")</f>
        <v/>
      </c>
    </row>
    <row r="12" spans="1:13" ht="15.6" x14ac:dyDescent="0.3">
      <c r="A12" s="21">
        <v>100</v>
      </c>
      <c r="B12" s="22"/>
      <c r="C12" s="23">
        <f t="shared" si="0"/>
        <v>667.12819039630403</v>
      </c>
      <c r="D12" s="24" t="str">
        <f>IF(ISNUMBER(B12),AVERAGE(INDEX($B$2:$B$23,MAX(1,11-semi)):INDEX($B$2:$B$23,MIN($M$3,11+semi))),"")</f>
        <v/>
      </c>
      <c r="E12" s="25" t="str">
        <f t="shared" si="1"/>
        <v/>
      </c>
      <c r="F12" s="23" t="str">
        <f>IF(AND(ISNUMBER(E12),ISNUMBER(E13),ISNUMBER($M$6)),IF(AND(12&lt;$M$6,E12&lt;0.5,E13&gt;=0.5),12,""),"")</f>
        <v/>
      </c>
      <c r="G12" s="23" t="str">
        <f>IF(AND(ISNUMBER(E12),ISNUMBER(E13),ISNUMBER($M$6)),IF(AND(12&gt;=$M$6,E12&gt;=0.5,E13&lt;0.5),12,""),"")</f>
        <v/>
      </c>
      <c r="H12" s="23" t="str">
        <f t="shared" si="2"/>
        <v/>
      </c>
      <c r="I12" s="23" t="e">
        <f t="shared" si="3"/>
        <v>#N/A</v>
      </c>
      <c r="J12" s="25" t="e">
        <f t="shared" si="4"/>
        <v>#N/A</v>
      </c>
      <c r="K12" s="23">
        <f t="shared" si="5"/>
        <v>1</v>
      </c>
      <c r="L12" s="5" t="s">
        <v>62</v>
      </c>
      <c r="M12" s="18" t="str">
        <f>IF(AND($M$8&gt;0,$M$9&gt;0),ABS($M$11-$M$10),"")</f>
        <v/>
      </c>
    </row>
    <row r="13" spans="1:13" ht="15.6" x14ac:dyDescent="0.3">
      <c r="A13" s="21">
        <v>110</v>
      </c>
      <c r="B13" s="22"/>
      <c r="C13" s="23">
        <f t="shared" si="0"/>
        <v>733.84100943593455</v>
      </c>
      <c r="D13" s="24" t="str">
        <f>IF(ISNUMBER(B13),AVERAGE(INDEX($B$2:$B$23,MAX(1,12-semi)):INDEX($B$2:$B$23,MIN($M$3,12+semi))),"")</f>
        <v/>
      </c>
      <c r="E13" s="25" t="str">
        <f t="shared" si="1"/>
        <v/>
      </c>
      <c r="F13" s="23" t="str">
        <f>IF(AND(ISNUMBER(E13),ISNUMBER(E14),ISNUMBER($M$6)),IF(AND(13&lt;$M$6,E13&lt;0.5,E14&gt;=0.5),13,""),"")</f>
        <v/>
      </c>
      <c r="G13" s="23" t="str">
        <f>IF(AND(ISNUMBER(E13),ISNUMBER(E14),ISNUMBER($M$6)),IF(AND(13&gt;=$M$6,E13&gt;=0.5,E14&lt;0.5),13,""),"")</f>
        <v/>
      </c>
      <c r="H13" s="23" t="str">
        <f t="shared" si="2"/>
        <v/>
      </c>
      <c r="I13" s="23" t="e">
        <f t="shared" si="3"/>
        <v>#N/A</v>
      </c>
      <c r="J13" s="25" t="e">
        <f t="shared" si="4"/>
        <v>#N/A</v>
      </c>
      <c r="K13" s="23">
        <f t="shared" si="5"/>
        <v>1</v>
      </c>
      <c r="L13" s="5" t="s">
        <v>63</v>
      </c>
      <c r="M13" s="18" t="str">
        <f>IF(ISNUMBER($M$12),factor_forma*$M$12,"")</f>
        <v/>
      </c>
    </row>
    <row r="14" spans="1:13" x14ac:dyDescent="0.3">
      <c r="A14" s="21">
        <v>120</v>
      </c>
      <c r="B14" s="22"/>
      <c r="C14" s="23">
        <f t="shared" si="0"/>
        <v>800.55382847556496</v>
      </c>
      <c r="D14" s="24" t="str">
        <f>IF(ISNUMBER(B14),AVERAGE(INDEX($B$2:$B$23,MAX(1,13-semi)):INDEX($B$2:$B$23,MIN($M$3,13+semi))),"")</f>
        <v/>
      </c>
      <c r="E14" s="25" t="str">
        <f t="shared" si="1"/>
        <v/>
      </c>
      <c r="F14" s="23" t="str">
        <f>IF(AND(ISNUMBER(E14),ISNUMBER(E15),ISNUMBER($M$6)),IF(AND(14&lt;$M$6,E14&lt;0.5,E15&gt;=0.5),14,""),"")</f>
        <v/>
      </c>
      <c r="G14" s="23" t="str">
        <f>IF(AND(ISNUMBER(E14),ISNUMBER(E15),ISNUMBER($M$6)),IF(AND(14&gt;=$M$6,E14&gt;=0.5,E15&lt;0.5),14,""),"")</f>
        <v/>
      </c>
      <c r="H14" s="23" t="str">
        <f t="shared" si="2"/>
        <v/>
      </c>
      <c r="I14" s="23" t="e">
        <f t="shared" si="3"/>
        <v>#N/A</v>
      </c>
      <c r="J14" s="25" t="e">
        <f t="shared" si="4"/>
        <v>#N/A</v>
      </c>
      <c r="K14" s="23">
        <f t="shared" si="5"/>
        <v>1</v>
      </c>
      <c r="L14" s="5" t="s">
        <v>64</v>
      </c>
      <c r="M14" s="6" t="str">
        <f>IF(ISNUMBER($M$12),0.7071*$M$12,"")</f>
        <v/>
      </c>
    </row>
    <row r="15" spans="1:13" x14ac:dyDescent="0.3">
      <c r="A15" s="21">
        <v>130</v>
      </c>
      <c r="B15" s="22"/>
      <c r="C15" s="23">
        <f t="shared" si="0"/>
        <v>867.26664751519536</v>
      </c>
      <c r="D15" s="24" t="str">
        <f>IF(ISNUMBER(B15),AVERAGE(INDEX($B$2:$B$23,MAX(1,14-semi)):INDEX($B$2:$B$23,MIN($M$3,14+semi))),"")</f>
        <v/>
      </c>
      <c r="E15" s="25" t="str">
        <f t="shared" si="1"/>
        <v/>
      </c>
      <c r="F15" s="23" t="str">
        <f>IF(AND(ISNUMBER(E15),ISNUMBER(E16),ISNUMBER($M$6)),IF(AND(15&lt;$M$6,E15&lt;0.5,E16&gt;=0.5),15,""),"")</f>
        <v/>
      </c>
      <c r="G15" s="23" t="str">
        <f>IF(AND(ISNUMBER(E15),ISNUMBER(E16),ISNUMBER($M$6)),IF(AND(15&gt;=$M$6,E15&gt;=0.5,E16&lt;0.5),15,""),"")</f>
        <v/>
      </c>
      <c r="H15" s="23" t="str">
        <f t="shared" si="2"/>
        <v/>
      </c>
      <c r="I15" s="23" t="e">
        <f t="shared" si="3"/>
        <v>#N/A</v>
      </c>
      <c r="J15" s="25" t="e">
        <f t="shared" si="4"/>
        <v>#N/A</v>
      </c>
      <c r="K15" s="23">
        <f t="shared" si="5"/>
        <v>1</v>
      </c>
      <c r="L15" s="5" t="s">
        <v>65</v>
      </c>
      <c r="M15" s="6">
        <f>IF(ISNUMBER($M$12),($M$10+$M$11)/2,$M$7)</f>
        <v>0</v>
      </c>
    </row>
    <row r="16" spans="1:13" x14ac:dyDescent="0.3">
      <c r="A16" s="21">
        <v>140</v>
      </c>
      <c r="B16" s="22"/>
      <c r="C16" s="23">
        <f t="shared" si="0"/>
        <v>933.97946655482576</v>
      </c>
      <c r="D16" s="24" t="str">
        <f>IF(ISNUMBER(B16),AVERAGE(INDEX($B$2:$B$23,MAX(1,15-semi)):INDEX($B$2:$B$23,MIN($M$3,15+semi))),"")</f>
        <v/>
      </c>
      <c r="E16" s="25" t="str">
        <f t="shared" si="1"/>
        <v/>
      </c>
      <c r="F16" s="23" t="str">
        <f>IF(AND(ISNUMBER(E16),ISNUMBER(E17),ISNUMBER($M$6)),IF(AND(16&lt;$M$6,E16&lt;0.5,E17&gt;=0.5),16,""),"")</f>
        <v/>
      </c>
      <c r="G16" s="23" t="str">
        <f>IF(AND(ISNUMBER(E16),ISNUMBER(E17),ISNUMBER($M$6)),IF(AND(16&gt;=$M$6,E16&gt;=0.5,E17&lt;0.5),16,""),"")</f>
        <v/>
      </c>
      <c r="H16" s="23" t="str">
        <f t="shared" si="2"/>
        <v/>
      </c>
      <c r="I16" s="23" t="e">
        <f t="shared" si="3"/>
        <v>#N/A</v>
      </c>
      <c r="J16" s="25" t="e">
        <f t="shared" si="4"/>
        <v>#N/A</v>
      </c>
      <c r="K16" s="23">
        <f t="shared" si="5"/>
        <v>1</v>
      </c>
      <c r="L16" s="5" t="s">
        <v>66</v>
      </c>
      <c r="M16" s="10">
        <f>COUNTIF($E$2:$E$23,"&gt;=0.5")</f>
        <v>0</v>
      </c>
    </row>
    <row r="17" spans="1:13" x14ac:dyDescent="0.3">
      <c r="A17" s="21">
        <v>150</v>
      </c>
      <c r="B17" s="22"/>
      <c r="C17" s="23">
        <f t="shared" si="0"/>
        <v>1000.6922855944562</v>
      </c>
      <c r="D17" s="24" t="str">
        <f>IF(ISNUMBER(B17),AVERAGE(INDEX($B$2:$B$23,MAX(1,16-semi)):INDEX($B$2:$B$23,MIN($M$3,16+semi))),"")</f>
        <v/>
      </c>
      <c r="E17" s="25" t="str">
        <f t="shared" si="1"/>
        <v/>
      </c>
      <c r="F17" s="23" t="str">
        <f>IF(AND(ISNUMBER(E17),ISNUMBER(E18),ISNUMBER($M$6)),IF(AND(17&lt;$M$6,E17&lt;0.5,E18&gt;=0.5),17,""),"")</f>
        <v/>
      </c>
      <c r="G17" s="23" t="str">
        <f>IF(AND(ISNUMBER(E17),ISNUMBER(E18),ISNUMBER($M$6)),IF(AND(17&gt;=$M$6,E17&gt;=0.5,E18&lt;0.5),17,""),"")</f>
        <v/>
      </c>
      <c r="H17" s="23" t="str">
        <f t="shared" si="2"/>
        <v/>
      </c>
      <c r="I17" s="23" t="e">
        <f t="shared" si="3"/>
        <v>#N/A</v>
      </c>
      <c r="J17" s="25" t="e">
        <f t="shared" si="4"/>
        <v>#N/A</v>
      </c>
      <c r="K17" s="23">
        <f t="shared" si="5"/>
        <v>1</v>
      </c>
      <c r="L17" s="5" t="s">
        <v>67</v>
      </c>
      <c r="M17" s="6">
        <f>IFERROR($M$15-MIN($C$2:$C$23),"")</f>
        <v>0</v>
      </c>
    </row>
    <row r="18" spans="1:13" x14ac:dyDescent="0.3">
      <c r="A18" s="21">
        <v>160</v>
      </c>
      <c r="B18" s="22"/>
      <c r="C18" s="23">
        <f t="shared" si="0"/>
        <v>1067.4051046340865</v>
      </c>
      <c r="D18" s="24" t="str">
        <f>IF(ISNUMBER(B18),AVERAGE(INDEX($B$2:$B$23,MAX(1,17-semi)):INDEX($B$2:$B$23,MIN($M$3,17+semi))),"")</f>
        <v/>
      </c>
      <c r="E18" s="25" t="str">
        <f t="shared" si="1"/>
        <v/>
      </c>
      <c r="F18" s="23" t="str">
        <f>IF(AND(ISNUMBER(E18),ISNUMBER(E19),ISNUMBER($M$6)),IF(AND(18&lt;$M$6,E18&lt;0.5,E19&gt;=0.5),18,""),"")</f>
        <v/>
      </c>
      <c r="G18" s="23" t="str">
        <f>IF(AND(ISNUMBER(E18),ISNUMBER(E19),ISNUMBER($M$6)),IF(AND(18&gt;=$M$6,E18&gt;=0.5,E19&lt;0.5),18,""),"")</f>
        <v/>
      </c>
      <c r="H18" s="23" t="str">
        <f t="shared" si="2"/>
        <v/>
      </c>
      <c r="I18" s="23" t="e">
        <f t="shared" si="3"/>
        <v>#N/A</v>
      </c>
      <c r="J18" s="25" t="e">
        <f t="shared" si="4"/>
        <v>#N/A</v>
      </c>
      <c r="K18" s="23">
        <f t="shared" si="5"/>
        <v>1</v>
      </c>
      <c r="L18" s="5" t="s">
        <v>68</v>
      </c>
      <c r="M18" s="6">
        <f>IFERROR(MAX($C$2:$C$23)-$M$15,"")</f>
        <v>1400.9691998322385</v>
      </c>
    </row>
    <row r="19" spans="1:13" x14ac:dyDescent="0.3">
      <c r="A19" s="21">
        <v>170</v>
      </c>
      <c r="B19" s="22"/>
      <c r="C19" s="23">
        <f t="shared" si="0"/>
        <v>1134.1179236737169</v>
      </c>
      <c r="D19" s="24" t="str">
        <f>IF(ISNUMBER(B19),AVERAGE(INDEX($B$2:$B$23,MAX(1,18-semi)):INDEX($B$2:$B$23,MIN($M$3,18+semi))),"")</f>
        <v/>
      </c>
      <c r="E19" s="25" t="str">
        <f t="shared" si="1"/>
        <v/>
      </c>
      <c r="F19" s="23" t="str">
        <f>IF(AND(ISNUMBER(E19),ISNUMBER(E20),ISNUMBER($M$6)),IF(AND(19&lt;$M$6,E19&lt;0.5,E20&gt;=0.5),19,""),"")</f>
        <v/>
      </c>
      <c r="G19" s="23" t="str">
        <f>IF(AND(ISNUMBER(E19),ISNUMBER(E20),ISNUMBER($M$6)),IF(AND(19&gt;=$M$6,E19&gt;=0.5,E20&lt;0.5),19,""),"")</f>
        <v/>
      </c>
      <c r="H19" s="23" t="str">
        <f t="shared" si="2"/>
        <v/>
      </c>
      <c r="I19" s="23" t="e">
        <f t="shared" si="3"/>
        <v>#N/A</v>
      </c>
      <c r="J19" s="25" t="e">
        <f t="shared" si="4"/>
        <v>#N/A</v>
      </c>
      <c r="K19" s="23">
        <f t="shared" si="5"/>
        <v>1</v>
      </c>
      <c r="L19" s="5" t="s">
        <v>69</v>
      </c>
      <c r="M19" s="10" t="str">
        <f>IF($M$3&lt;$M$2,"",IFERROR(INDEX($A$1:$A$23,$M$6),""))</f>
        <v/>
      </c>
    </row>
    <row r="20" spans="1:13" x14ac:dyDescent="0.3">
      <c r="A20" s="21">
        <v>180</v>
      </c>
      <c r="B20" s="22"/>
      <c r="C20" s="23">
        <f t="shared" si="0"/>
        <v>1200.8307427133473</v>
      </c>
      <c r="D20" s="24" t="str">
        <f>IF(ISNUMBER(B20),AVERAGE(INDEX($B$2:$B$23,MAX(1,19-semi)):INDEX($B$2:$B$23,MIN($M$3,19+semi))),"")</f>
        <v/>
      </c>
      <c r="E20" s="25" t="str">
        <f t="shared" si="1"/>
        <v/>
      </c>
      <c r="F20" s="23" t="str">
        <f>IF(AND(ISNUMBER(E20),ISNUMBER(E21),ISNUMBER($M$6)),IF(AND(20&lt;$M$6,E20&lt;0.5,E21&gt;=0.5),20,""),"")</f>
        <v/>
      </c>
      <c r="G20" s="23" t="str">
        <f>IF(AND(ISNUMBER(E20),ISNUMBER(E21),ISNUMBER($M$6)),IF(AND(20&gt;=$M$6,E20&gt;=0.5,E21&lt;0.5),20,""),"")</f>
        <v/>
      </c>
      <c r="H20" s="23" t="str">
        <f t="shared" si="2"/>
        <v/>
      </c>
      <c r="I20" s="23" t="e">
        <f t="shared" si="3"/>
        <v>#N/A</v>
      </c>
      <c r="J20" s="25" t="e">
        <f t="shared" si="4"/>
        <v>#N/A</v>
      </c>
      <c r="K20" s="23">
        <f t="shared" si="5"/>
        <v>1</v>
      </c>
      <c r="L20" s="5" t="s">
        <v>70</v>
      </c>
      <c r="M20" s="20" t="str">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Sin datos</v>
      </c>
    </row>
    <row r="21" spans="1:13" x14ac:dyDescent="0.3">
      <c r="A21" s="21">
        <v>190</v>
      </c>
      <c r="B21" s="22"/>
      <c r="C21" s="23">
        <f t="shared" si="0"/>
        <v>1267.5435617529777</v>
      </c>
      <c r="D21" s="24" t="str">
        <f>IF(ISNUMBER(B21),AVERAGE(INDEX($B$2:$B$23,MAX(1,20-semi)):INDEX($B$2:$B$23,MIN($M$3,20+semi))),"")</f>
        <v/>
      </c>
      <c r="E21" s="25" t="str">
        <f t="shared" si="1"/>
        <v/>
      </c>
      <c r="F21" s="23" t="str">
        <f>IF(AND(ISNUMBER(E21),ISNUMBER(E22),ISNUMBER($M$6)),IF(AND(21&lt;$M$6,E21&lt;0.5,E22&gt;=0.5),21,""),"")</f>
        <v/>
      </c>
      <c r="G21" s="23" t="str">
        <f>IF(AND(ISNUMBER(E21),ISNUMBER(E22),ISNUMBER($M$6)),IF(AND(21&gt;=$M$6,E21&gt;=0.5,E22&lt;0.5),21,""),"")</f>
        <v/>
      </c>
      <c r="H21" s="23" t="str">
        <f t="shared" si="2"/>
        <v/>
      </c>
      <c r="I21" s="23" t="e">
        <f t="shared" si="3"/>
        <v>#N/A</v>
      </c>
      <c r="J21" s="25" t="e">
        <f t="shared" si="4"/>
        <v>#N/A</v>
      </c>
      <c r="K21" s="23">
        <f t="shared" si="5"/>
        <v>1</v>
      </c>
    </row>
    <row r="22" spans="1:13" x14ac:dyDescent="0.3">
      <c r="A22" s="21">
        <v>200</v>
      </c>
      <c r="B22" s="22"/>
      <c r="C22" s="23">
        <f t="shared" si="0"/>
        <v>1334.2563807926081</v>
      </c>
      <c r="D22" s="24" t="str">
        <f>IF(ISNUMBER(B22),AVERAGE(INDEX($B$2:$B$23,MAX(1,21-semi)):INDEX($B$2:$B$23,MIN($M$3,21+semi))),"")</f>
        <v/>
      </c>
      <c r="E22" s="25" t="str">
        <f t="shared" si="1"/>
        <v/>
      </c>
      <c r="F22" s="23" t="str">
        <f>IF(AND(ISNUMBER(E22),ISNUMBER(E23),ISNUMBER($M$6)),IF(AND(22&lt;$M$6,E22&lt;0.5,E23&gt;=0.5),22,""),"")</f>
        <v/>
      </c>
      <c r="G22" s="23" t="str">
        <f>IF(AND(ISNUMBER(E22),ISNUMBER(E23),ISNUMBER($M$6)),IF(AND(22&gt;=$M$6,E22&gt;=0.5,E23&lt;0.5),22,""),"")</f>
        <v/>
      </c>
      <c r="H22" s="23" t="str">
        <f t="shared" si="2"/>
        <v/>
      </c>
      <c r="I22" s="23" t="e">
        <f t="shared" si="3"/>
        <v>#N/A</v>
      </c>
      <c r="J22" s="25" t="e">
        <f t="shared" si="4"/>
        <v>#N/A</v>
      </c>
      <c r="K22" s="23">
        <f t="shared" si="5"/>
        <v>1</v>
      </c>
      <c r="L22" s="2" t="s">
        <v>73</v>
      </c>
    </row>
    <row r="23" spans="1:13" x14ac:dyDescent="0.3">
      <c r="A23" s="21">
        <v>210</v>
      </c>
      <c r="B23" s="22"/>
      <c r="C23" s="23">
        <f t="shared" si="0"/>
        <v>1400.9691998322385</v>
      </c>
      <c r="D23" s="24" t="str">
        <f>IF(ISNUMBER(B23),AVERAGE(INDEX($B$2:$B$23,MAX(1,22-semi)):INDEX($B$2:$B$23,MIN($M$3,22+semi))),"")</f>
        <v/>
      </c>
      <c r="E23" s="25" t="str">
        <f t="shared" si="1"/>
        <v/>
      </c>
      <c r="F23" s="23" t="str">
        <f>IF(AND(ISNUMBER(E23),ISNUMBER(E24),ISNUMBER($M$6)),IF(AND(23&lt;$M$6,E23&lt;0.5,E24&gt;=0.5),23,""),"")</f>
        <v/>
      </c>
      <c r="G23" s="23" t="str">
        <f>IF(AND(ISNUMBER(E23),ISNUMBER(E24),ISNUMBER($M$6)),IF(AND(23&gt;=$M$6,E23&gt;=0.5,E24&lt;0.5),23,""),"")</f>
        <v/>
      </c>
      <c r="H23" s="23" t="str">
        <f t="shared" si="2"/>
        <v/>
      </c>
      <c r="I23" s="23" t="e">
        <f t="shared" si="3"/>
        <v>#N/A</v>
      </c>
      <c r="J23" s="25" t="e">
        <f t="shared" si="4"/>
        <v>#N/A</v>
      </c>
      <c r="K23" s="23" t="str">
        <f t="shared" si="5"/>
        <v/>
      </c>
      <c r="L23" s="23" t="e">
        <f>IF(ISNUMBER($M$12),$M$10-$M$15,NA())</f>
        <v>#N/A</v>
      </c>
      <c r="M23" s="23" t="e">
        <f>IF(ISNUMBER($M$12),0.5,NA())</f>
        <v>#N/A</v>
      </c>
    </row>
    <row r="24" spans="1:13" x14ac:dyDescent="0.3">
      <c r="L24" s="23" t="e">
        <f>IF(ISNUMBER($M$12),$M$11-$M$15,NA())</f>
        <v>#N/A</v>
      </c>
      <c r="M24" s="23" t="e">
        <f>IF(ISNUMBER($M$12),0.5,NA())</f>
        <v>#N/A</v>
      </c>
    </row>
    <row r="26" spans="1:13" ht="26.4" x14ac:dyDescent="0.3">
      <c r="L26" s="7" t="s">
        <v>74</v>
      </c>
    </row>
  </sheetData>
  <sheetProtection sheet="1" objects="1" scenarios="1" formatColumns="0" formatRows="0"/>
  <conditionalFormatting sqref="I2:J23">
    <cfRule type="containsErrors" dxfId="9" priority="4">
      <formula>ISERROR(I2)</formula>
    </cfRule>
  </conditionalFormatting>
  <conditionalFormatting sqref="L23:M24">
    <cfRule type="containsErrors" dxfId="8" priority="5">
      <formula>ISERROR(L23)</formula>
    </cfRule>
  </conditionalFormatting>
  <conditionalFormatting sqref="M20">
    <cfRule type="cellIs" dxfId="7" priority="1" operator="equal">
      <formula>"OK"</formula>
    </cfRule>
    <cfRule type="beginsWith" dxfId="6" priority="2" operator="beginsWith" text="Aviso">
      <formula>LEFT(M20,5)="Aviso"</formula>
    </cfRule>
    <cfRule type="beginsWith" dxfId="5"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xr:uid="{00000000-0002-0000-0E00-000000000000}">
      <formula1>-1</formula1>
      <formula2>1</formula2>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M26"/>
  <sheetViews>
    <sheetView workbookViewId="0">
      <pane ySplit="1" topLeftCell="A2" activePane="bottomLeft" state="frozen"/>
      <selection pane="bottomLeft"/>
    </sheetView>
  </sheetViews>
  <sheetFormatPr baseColWidth="10" defaultColWidth="8.88671875" defaultRowHeight="14.4" x14ac:dyDescent="0.3"/>
  <cols>
    <col min="1" max="1" width="14.6640625" customWidth="1"/>
    <col min="2" max="2" width="15.6640625" customWidth="1"/>
    <col min="3" max="5" width="12.6640625" customWidth="1"/>
    <col min="6" max="8" width="9.6640625" customWidth="1"/>
    <col min="9" max="10" width="11.6640625" customWidth="1"/>
    <col min="11" max="11" width="7.6640625" customWidth="1"/>
    <col min="12" max="12" width="42.6640625" customWidth="1"/>
    <col min="13" max="13" width="14.6640625" customWidth="1"/>
  </cols>
  <sheetData>
    <row r="1" spans="1:13" ht="42" customHeight="1" x14ac:dyDescent="0.3">
      <c r="A1" s="4" t="s">
        <v>41</v>
      </c>
      <c r="B1" s="4" t="s">
        <v>42</v>
      </c>
      <c r="C1" s="4" t="s">
        <v>43</v>
      </c>
      <c r="D1" s="4" t="s">
        <v>44</v>
      </c>
      <c r="E1" s="4" t="s">
        <v>45</v>
      </c>
      <c r="F1" s="4" t="s">
        <v>46</v>
      </c>
      <c r="G1" s="4" t="s">
        <v>47</v>
      </c>
      <c r="H1" s="4" t="s">
        <v>48</v>
      </c>
      <c r="I1" s="4" t="s">
        <v>49</v>
      </c>
      <c r="J1" s="4" t="s">
        <v>50</v>
      </c>
      <c r="K1" s="4" t="s">
        <v>51</v>
      </c>
      <c r="L1" s="4" t="s">
        <v>85</v>
      </c>
      <c r="M1" s="4" t="s">
        <v>72</v>
      </c>
    </row>
    <row r="2" spans="1:13" x14ac:dyDescent="0.3">
      <c r="A2" s="21">
        <v>0</v>
      </c>
      <c r="B2" s="22"/>
      <c r="C2" s="23">
        <f t="shared" ref="C2:C23" si="0">IF(ISNUMBER(A2),A2*conv,"")</f>
        <v>0</v>
      </c>
      <c r="D2" s="24" t="str">
        <f>IF(ISNUMBER(B2),AVERAGE(INDEX($B$2:$B$23,MAX(1,1-semi)):INDEX($B$2:$B$23,MIN($M$3,1+semi))),"")</f>
        <v/>
      </c>
      <c r="E2" s="25" t="str">
        <f t="shared" ref="E2:E23" si="1">IF(AND(ISNUMBER(D2),ISNUMBER($M$4)),(D2-$M$4)/($M$5-$M$4),"")</f>
        <v/>
      </c>
      <c r="F2" s="23" t="str">
        <f>IF(AND(ISNUMBER(E2),ISNUMBER(E3),ISNUMBER($M$6)),IF(AND(2&lt;$M$6,E2&lt;0.5,E3&gt;=0.5),2,""),"")</f>
        <v/>
      </c>
      <c r="G2" s="23" t="str">
        <f>IF(AND(ISNUMBER(E2),ISNUMBER(E3),ISNUMBER($M$6)),IF(AND(2&gt;=$M$6,E2&gt;=0.5,E3&lt;0.5),2,""),"")</f>
        <v/>
      </c>
      <c r="H2" s="23" t="str">
        <f t="shared" ref="H2:H23" si="2">IF(OR(ISNUMBER(F2),ISNUMBER(G2)),C2+(0.5-E2)*(C3-C2)/(E3-E2),"")</f>
        <v/>
      </c>
      <c r="I2" s="23" t="e">
        <f t="shared" ref="I2:I23" si="3">IF(AND(ISNUMBER(E2),ISNUMBER($M$15)),C2-$M$15,NA())</f>
        <v>#N/A</v>
      </c>
      <c r="J2" s="25" t="e">
        <f t="shared" ref="J2:J23" si="4">IF(ISNUMBER(E2),E2,NA())</f>
        <v>#N/A</v>
      </c>
      <c r="K2" s="23">
        <f t="shared" ref="K2:K23" si="5">IF(AND(ISNUMBER(C2),ISNUMBER(C3)),SIGN(C3-C2),"")</f>
        <v>1</v>
      </c>
      <c r="L2" s="5" t="s">
        <v>52</v>
      </c>
      <c r="M2" s="10">
        <f>COUNT($A$2:$A$23)</f>
        <v>22</v>
      </c>
    </row>
    <row r="3" spans="1:13" x14ac:dyDescent="0.3">
      <c r="A3" s="21">
        <v>10</v>
      </c>
      <c r="B3" s="22"/>
      <c r="C3" s="23">
        <f t="shared" si="0"/>
        <v>66.712819039630403</v>
      </c>
      <c r="D3" s="24" t="str">
        <f>IF(ISNUMBER(B3),AVERAGE(INDEX($B$2:$B$23,MAX(1,2-semi)):INDEX($B$2:$B$23,MIN($M$3,2+semi))),"")</f>
        <v/>
      </c>
      <c r="E3" s="25" t="str">
        <f t="shared" si="1"/>
        <v/>
      </c>
      <c r="F3" s="23" t="str">
        <f>IF(AND(ISNUMBER(E3),ISNUMBER(E4),ISNUMBER($M$6)),IF(AND(3&lt;$M$6,E3&lt;0.5,E4&gt;=0.5),3,""),"")</f>
        <v/>
      </c>
      <c r="G3" s="23" t="str">
        <f>IF(AND(ISNUMBER(E3),ISNUMBER(E4),ISNUMBER($M$6)),IF(AND(3&gt;=$M$6,E3&gt;=0.5,E4&lt;0.5),3,""),"")</f>
        <v/>
      </c>
      <c r="H3" s="23" t="str">
        <f t="shared" si="2"/>
        <v/>
      </c>
      <c r="I3" s="23" t="e">
        <f t="shared" si="3"/>
        <v>#N/A</v>
      </c>
      <c r="J3" s="25" t="e">
        <f t="shared" si="4"/>
        <v>#N/A</v>
      </c>
      <c r="K3" s="23">
        <f t="shared" si="5"/>
        <v>1</v>
      </c>
      <c r="L3" s="5" t="s">
        <v>53</v>
      </c>
      <c r="M3" s="10">
        <f>COUNT($B$2:$B$23)</f>
        <v>0</v>
      </c>
    </row>
    <row r="4" spans="1:13" x14ac:dyDescent="0.3">
      <c r="A4" s="21">
        <v>20</v>
      </c>
      <c r="B4" s="22"/>
      <c r="C4" s="23">
        <f t="shared" si="0"/>
        <v>133.42563807926081</v>
      </c>
      <c r="D4" s="24" t="str">
        <f>IF(ISNUMBER(B4),AVERAGE(INDEX($B$2:$B$23,MAX(1,3-semi)):INDEX($B$2:$B$23,MIN($M$3,3+semi))),"")</f>
        <v/>
      </c>
      <c r="E4" s="25" t="str">
        <f t="shared" si="1"/>
        <v/>
      </c>
      <c r="F4" s="23" t="str">
        <f>IF(AND(ISNUMBER(E4),ISNUMBER(E5),ISNUMBER($M$6)),IF(AND(4&lt;$M$6,E4&lt;0.5,E5&gt;=0.5),4,""),"")</f>
        <v/>
      </c>
      <c r="G4" s="23" t="str">
        <f>IF(AND(ISNUMBER(E4),ISNUMBER(E5),ISNUMBER($M$6)),IF(AND(4&gt;=$M$6,E4&gt;=0.5,E5&lt;0.5),4,""),"")</f>
        <v/>
      </c>
      <c r="H4" s="23" t="str">
        <f t="shared" si="2"/>
        <v/>
      </c>
      <c r="I4" s="23" t="e">
        <f t="shared" si="3"/>
        <v>#N/A</v>
      </c>
      <c r="J4" s="25" t="e">
        <f t="shared" si="4"/>
        <v>#N/A</v>
      </c>
      <c r="K4" s="23">
        <f t="shared" si="5"/>
        <v>1</v>
      </c>
      <c r="L4" s="5" t="s">
        <v>54</v>
      </c>
      <c r="M4" s="26" t="str">
        <f>IF($M$3&lt;$M$2,"",(AVERAGE(INDEX($B$2:$B$23,1):INDEX($B$2:$B$23,n_fondo))+AVERAGE(INDEX($B$2:$B$23,$M$3-n_fondo+1):INDEX($B$2:$B$23,$M$3)))/2)</f>
        <v/>
      </c>
    </row>
    <row r="5" spans="1:13" x14ac:dyDescent="0.3">
      <c r="A5" s="21">
        <v>30</v>
      </c>
      <c r="B5" s="22"/>
      <c r="C5" s="23">
        <f t="shared" si="0"/>
        <v>200.13845711889124</v>
      </c>
      <c r="D5" s="24" t="str">
        <f>IF(ISNUMBER(B5),AVERAGE(INDEX($B$2:$B$23,MAX(1,4-semi)):INDEX($B$2:$B$23,MIN($M$3,4+semi))),"")</f>
        <v/>
      </c>
      <c r="E5" s="25" t="str">
        <f t="shared" si="1"/>
        <v/>
      </c>
      <c r="F5" s="23" t="str">
        <f>IF(AND(ISNUMBER(E5),ISNUMBER(E6),ISNUMBER($M$6)),IF(AND(5&lt;$M$6,E5&lt;0.5,E6&gt;=0.5),5,""),"")</f>
        <v/>
      </c>
      <c r="G5" s="23" t="str">
        <f>IF(AND(ISNUMBER(E5),ISNUMBER(E6),ISNUMBER($M$6)),IF(AND(5&gt;=$M$6,E5&gt;=0.5,E6&lt;0.5),5,""),"")</f>
        <v/>
      </c>
      <c r="H5" s="23" t="str">
        <f t="shared" si="2"/>
        <v/>
      </c>
      <c r="I5" s="23" t="e">
        <f t="shared" si="3"/>
        <v>#N/A</v>
      </c>
      <c r="J5" s="25" t="e">
        <f t="shared" si="4"/>
        <v>#N/A</v>
      </c>
      <c r="K5" s="23">
        <f t="shared" si="5"/>
        <v>1</v>
      </c>
      <c r="L5" s="5" t="s">
        <v>55</v>
      </c>
      <c r="M5" s="26" t="str">
        <f>IF($M$3&lt;$M$2,"",MAX($D$2:$D$23))</f>
        <v/>
      </c>
    </row>
    <row r="6" spans="1:13" x14ac:dyDescent="0.3">
      <c r="A6" s="21">
        <v>40</v>
      </c>
      <c r="B6" s="22"/>
      <c r="C6" s="23">
        <f t="shared" si="0"/>
        <v>266.85127615852161</v>
      </c>
      <c r="D6" s="24" t="str">
        <f>IF(ISNUMBER(B6),AVERAGE(INDEX($B$2:$B$23,MAX(1,5-semi)):INDEX($B$2:$B$23,MIN($M$3,5+semi))),"")</f>
        <v/>
      </c>
      <c r="E6" s="25" t="str">
        <f t="shared" si="1"/>
        <v/>
      </c>
      <c r="F6" s="23" t="str">
        <f>IF(AND(ISNUMBER(E6),ISNUMBER(E7),ISNUMBER($M$6)),IF(AND(6&lt;$M$6,E6&lt;0.5,E7&gt;=0.5),6,""),"")</f>
        <v/>
      </c>
      <c r="G6" s="23" t="str">
        <f>IF(AND(ISNUMBER(E6),ISNUMBER(E7),ISNUMBER($M$6)),IF(AND(6&gt;=$M$6,E6&gt;=0.5,E7&lt;0.5),6,""),"")</f>
        <v/>
      </c>
      <c r="H6" s="23" t="str">
        <f t="shared" si="2"/>
        <v/>
      </c>
      <c r="I6" s="23" t="e">
        <f t="shared" si="3"/>
        <v>#N/A</v>
      </c>
      <c r="J6" s="25" t="e">
        <f t="shared" si="4"/>
        <v>#N/A</v>
      </c>
      <c r="K6" s="23">
        <f t="shared" si="5"/>
        <v>1</v>
      </c>
      <c r="L6" s="5" t="s">
        <v>56</v>
      </c>
      <c r="M6" s="10">
        <f>IFERROR(MATCH($M$5,$D$2:$D$23,0)+1,"")</f>
        <v>2</v>
      </c>
    </row>
    <row r="7" spans="1:13" x14ac:dyDescent="0.3">
      <c r="A7" s="21">
        <v>50</v>
      </c>
      <c r="B7" s="22"/>
      <c r="C7" s="23">
        <f t="shared" si="0"/>
        <v>333.56409519815202</v>
      </c>
      <c r="D7" s="24" t="str">
        <f>IF(ISNUMBER(B7),AVERAGE(INDEX($B$2:$B$23,MAX(1,6-semi)):INDEX($B$2:$B$23,MIN($M$3,6+semi))),"")</f>
        <v/>
      </c>
      <c r="E7" s="25" t="str">
        <f t="shared" si="1"/>
        <v/>
      </c>
      <c r="F7" s="23" t="str">
        <f>IF(AND(ISNUMBER(E7),ISNUMBER(E8),ISNUMBER($M$6)),IF(AND(7&lt;$M$6,E7&lt;0.5,E8&gt;=0.5),7,""),"")</f>
        <v/>
      </c>
      <c r="G7" s="23" t="str">
        <f>IF(AND(ISNUMBER(E7),ISNUMBER(E8),ISNUMBER($M$6)),IF(AND(7&gt;=$M$6,E7&gt;=0.5,E8&lt;0.5),7,""),"")</f>
        <v/>
      </c>
      <c r="H7" s="23" t="str">
        <f t="shared" si="2"/>
        <v/>
      </c>
      <c r="I7" s="23" t="e">
        <f t="shared" si="3"/>
        <v>#N/A</v>
      </c>
      <c r="J7" s="25" t="e">
        <f t="shared" si="4"/>
        <v>#N/A</v>
      </c>
      <c r="K7" s="23">
        <f t="shared" si="5"/>
        <v>1</v>
      </c>
      <c r="L7" s="5" t="s">
        <v>57</v>
      </c>
      <c r="M7" s="6">
        <f>IFERROR(INDEX($C$1:$C$23,$M$6),"")</f>
        <v>0</v>
      </c>
    </row>
    <row r="8" spans="1:13" x14ac:dyDescent="0.3">
      <c r="A8" s="21">
        <v>60</v>
      </c>
      <c r="B8" s="22"/>
      <c r="C8" s="23">
        <f t="shared" si="0"/>
        <v>400.27691423778248</v>
      </c>
      <c r="D8" s="24" t="str">
        <f>IF(ISNUMBER(B8),AVERAGE(INDEX($B$2:$B$23,MAX(1,7-semi)):INDEX($B$2:$B$23,MIN($M$3,7+semi))),"")</f>
        <v/>
      </c>
      <c r="E8" s="25" t="str">
        <f t="shared" si="1"/>
        <v/>
      </c>
      <c r="F8" s="23" t="str">
        <f>IF(AND(ISNUMBER(E8),ISNUMBER(E9),ISNUMBER($M$6)),IF(AND(8&lt;$M$6,E8&lt;0.5,E9&gt;=0.5),8,""),"")</f>
        <v/>
      </c>
      <c r="G8" s="23" t="str">
        <f>IF(AND(ISNUMBER(E8),ISNUMBER(E9),ISNUMBER($M$6)),IF(AND(8&gt;=$M$6,E8&gt;=0.5,E9&lt;0.5),8,""),"")</f>
        <v/>
      </c>
      <c r="H8" s="23" t="str">
        <f t="shared" si="2"/>
        <v/>
      </c>
      <c r="I8" s="23" t="e">
        <f t="shared" si="3"/>
        <v>#N/A</v>
      </c>
      <c r="J8" s="25" t="e">
        <f t="shared" si="4"/>
        <v>#N/A</v>
      </c>
      <c r="K8" s="23">
        <f t="shared" si="5"/>
        <v>1</v>
      </c>
      <c r="L8" s="5" t="s">
        <v>58</v>
      </c>
      <c r="M8" s="10">
        <f>MAX($F$2:$F$23)</f>
        <v>0</v>
      </c>
    </row>
    <row r="9" spans="1:13" x14ac:dyDescent="0.3">
      <c r="A9" s="21">
        <v>70</v>
      </c>
      <c r="B9" s="22"/>
      <c r="C9" s="23">
        <f t="shared" si="0"/>
        <v>466.98973327741288</v>
      </c>
      <c r="D9" s="24" t="str">
        <f>IF(ISNUMBER(B9),AVERAGE(INDEX($B$2:$B$23,MAX(1,8-semi)):INDEX($B$2:$B$23,MIN($M$3,8+semi))),"")</f>
        <v/>
      </c>
      <c r="E9" s="25" t="str">
        <f t="shared" si="1"/>
        <v/>
      </c>
      <c r="F9" s="23" t="str">
        <f>IF(AND(ISNUMBER(E9),ISNUMBER(E10),ISNUMBER($M$6)),IF(AND(9&lt;$M$6,E9&lt;0.5,E10&gt;=0.5),9,""),"")</f>
        <v/>
      </c>
      <c r="G9" s="23" t="str">
        <f>IF(AND(ISNUMBER(E9),ISNUMBER(E10),ISNUMBER($M$6)),IF(AND(9&gt;=$M$6,E9&gt;=0.5,E10&lt;0.5),9,""),"")</f>
        <v/>
      </c>
      <c r="H9" s="23" t="str">
        <f t="shared" si="2"/>
        <v/>
      </c>
      <c r="I9" s="23" t="e">
        <f t="shared" si="3"/>
        <v>#N/A</v>
      </c>
      <c r="J9" s="25" t="e">
        <f t="shared" si="4"/>
        <v>#N/A</v>
      </c>
      <c r="K9" s="23">
        <f t="shared" si="5"/>
        <v>1</v>
      </c>
      <c r="L9" s="5" t="s">
        <v>59</v>
      </c>
      <c r="M9" s="10">
        <f>MIN($G$2:$G$23)</f>
        <v>0</v>
      </c>
    </row>
    <row r="10" spans="1:13" x14ac:dyDescent="0.3">
      <c r="A10" s="21">
        <v>80</v>
      </c>
      <c r="B10" s="22"/>
      <c r="C10" s="23">
        <f t="shared" si="0"/>
        <v>533.70255231704323</v>
      </c>
      <c r="D10" s="24" t="str">
        <f>IF(ISNUMBER(B10),AVERAGE(INDEX($B$2:$B$23,MAX(1,9-semi)):INDEX($B$2:$B$23,MIN($M$3,9+semi))),"")</f>
        <v/>
      </c>
      <c r="E10" s="25" t="str">
        <f t="shared" si="1"/>
        <v/>
      </c>
      <c r="F10" s="23" t="str">
        <f>IF(AND(ISNUMBER(E10),ISNUMBER(E11),ISNUMBER($M$6)),IF(AND(10&lt;$M$6,E10&lt;0.5,E11&gt;=0.5),10,""),"")</f>
        <v/>
      </c>
      <c r="G10" s="23" t="str">
        <f>IF(AND(ISNUMBER(E10),ISNUMBER(E11),ISNUMBER($M$6)),IF(AND(10&gt;=$M$6,E10&gt;=0.5,E11&lt;0.5),10,""),"")</f>
        <v/>
      </c>
      <c r="H10" s="23" t="str">
        <f t="shared" si="2"/>
        <v/>
      </c>
      <c r="I10" s="23" t="e">
        <f t="shared" si="3"/>
        <v>#N/A</v>
      </c>
      <c r="J10" s="25" t="e">
        <f t="shared" si="4"/>
        <v>#N/A</v>
      </c>
      <c r="K10" s="23">
        <f t="shared" si="5"/>
        <v>1</v>
      </c>
      <c r="L10" s="5" t="s">
        <v>60</v>
      </c>
      <c r="M10" s="6" t="str">
        <f>IF($M$8&gt;0,INDEX($H$1:$H$23,$M$8),"")</f>
        <v/>
      </c>
    </row>
    <row r="11" spans="1:13" x14ac:dyDescent="0.3">
      <c r="A11" s="21">
        <v>90</v>
      </c>
      <c r="B11" s="22"/>
      <c r="C11" s="23">
        <f t="shared" si="0"/>
        <v>600.41537135667363</v>
      </c>
      <c r="D11" s="24" t="str">
        <f>IF(ISNUMBER(B11),AVERAGE(INDEX($B$2:$B$23,MAX(1,10-semi)):INDEX($B$2:$B$23,MIN($M$3,10+semi))),"")</f>
        <v/>
      </c>
      <c r="E11" s="25" t="str">
        <f t="shared" si="1"/>
        <v/>
      </c>
      <c r="F11" s="23" t="str">
        <f>IF(AND(ISNUMBER(E11),ISNUMBER(E12),ISNUMBER($M$6)),IF(AND(11&lt;$M$6,E11&lt;0.5,E12&gt;=0.5),11,""),"")</f>
        <v/>
      </c>
      <c r="G11" s="23" t="str">
        <f>IF(AND(ISNUMBER(E11),ISNUMBER(E12),ISNUMBER($M$6)),IF(AND(11&gt;=$M$6,E11&gt;=0.5,E12&lt;0.5),11,""),"")</f>
        <v/>
      </c>
      <c r="H11" s="23" t="str">
        <f t="shared" si="2"/>
        <v/>
      </c>
      <c r="I11" s="23" t="e">
        <f t="shared" si="3"/>
        <v>#N/A</v>
      </c>
      <c r="J11" s="25" t="e">
        <f t="shared" si="4"/>
        <v>#N/A</v>
      </c>
      <c r="K11" s="23">
        <f t="shared" si="5"/>
        <v>1</v>
      </c>
      <c r="L11" s="5" t="s">
        <v>61</v>
      </c>
      <c r="M11" s="6" t="str">
        <f>IF($M$9&gt;0,INDEX($H$1:$H$23,$M$9),"")</f>
        <v/>
      </c>
    </row>
    <row r="12" spans="1:13" ht="15.6" x14ac:dyDescent="0.3">
      <c r="A12" s="21">
        <v>100</v>
      </c>
      <c r="B12" s="22"/>
      <c r="C12" s="23">
        <f t="shared" si="0"/>
        <v>667.12819039630403</v>
      </c>
      <c r="D12" s="24" t="str">
        <f>IF(ISNUMBER(B12),AVERAGE(INDEX($B$2:$B$23,MAX(1,11-semi)):INDEX($B$2:$B$23,MIN($M$3,11+semi))),"")</f>
        <v/>
      </c>
      <c r="E12" s="25" t="str">
        <f t="shared" si="1"/>
        <v/>
      </c>
      <c r="F12" s="23" t="str">
        <f>IF(AND(ISNUMBER(E12),ISNUMBER(E13),ISNUMBER($M$6)),IF(AND(12&lt;$M$6,E12&lt;0.5,E13&gt;=0.5),12,""),"")</f>
        <v/>
      </c>
      <c r="G12" s="23" t="str">
        <f>IF(AND(ISNUMBER(E12),ISNUMBER(E13),ISNUMBER($M$6)),IF(AND(12&gt;=$M$6,E12&gt;=0.5,E13&lt;0.5),12,""),"")</f>
        <v/>
      </c>
      <c r="H12" s="23" t="str">
        <f t="shared" si="2"/>
        <v/>
      </c>
      <c r="I12" s="23" t="e">
        <f t="shared" si="3"/>
        <v>#N/A</v>
      </c>
      <c r="J12" s="25" t="e">
        <f t="shared" si="4"/>
        <v>#N/A</v>
      </c>
      <c r="K12" s="23">
        <f t="shared" si="5"/>
        <v>1</v>
      </c>
      <c r="L12" s="5" t="s">
        <v>62</v>
      </c>
      <c r="M12" s="18" t="str">
        <f>IF(AND($M$8&gt;0,$M$9&gt;0),ABS($M$11-$M$10),"")</f>
        <v/>
      </c>
    </row>
    <row r="13" spans="1:13" ht="15.6" x14ac:dyDescent="0.3">
      <c r="A13" s="21">
        <v>110</v>
      </c>
      <c r="B13" s="22"/>
      <c r="C13" s="23">
        <f t="shared" si="0"/>
        <v>733.84100943593455</v>
      </c>
      <c r="D13" s="24" t="str">
        <f>IF(ISNUMBER(B13),AVERAGE(INDEX($B$2:$B$23,MAX(1,12-semi)):INDEX($B$2:$B$23,MIN($M$3,12+semi))),"")</f>
        <v/>
      </c>
      <c r="E13" s="25" t="str">
        <f t="shared" si="1"/>
        <v/>
      </c>
      <c r="F13" s="23" t="str">
        <f>IF(AND(ISNUMBER(E13),ISNUMBER(E14),ISNUMBER($M$6)),IF(AND(13&lt;$M$6,E13&lt;0.5,E14&gt;=0.5),13,""),"")</f>
        <v/>
      </c>
      <c r="G13" s="23" t="str">
        <f>IF(AND(ISNUMBER(E13),ISNUMBER(E14),ISNUMBER($M$6)),IF(AND(13&gt;=$M$6,E13&gt;=0.5,E14&lt;0.5),13,""),"")</f>
        <v/>
      </c>
      <c r="H13" s="23" t="str">
        <f t="shared" si="2"/>
        <v/>
      </c>
      <c r="I13" s="23" t="e">
        <f t="shared" si="3"/>
        <v>#N/A</v>
      </c>
      <c r="J13" s="25" t="e">
        <f t="shared" si="4"/>
        <v>#N/A</v>
      </c>
      <c r="K13" s="23">
        <f t="shared" si="5"/>
        <v>1</v>
      </c>
      <c r="L13" s="5" t="s">
        <v>63</v>
      </c>
      <c r="M13" s="18" t="str">
        <f>IF(ISNUMBER($M$12),factor_forma*$M$12,"")</f>
        <v/>
      </c>
    </row>
    <row r="14" spans="1:13" x14ac:dyDescent="0.3">
      <c r="A14" s="21">
        <v>120</v>
      </c>
      <c r="B14" s="22"/>
      <c r="C14" s="23">
        <f t="shared" si="0"/>
        <v>800.55382847556496</v>
      </c>
      <c r="D14" s="24" t="str">
        <f>IF(ISNUMBER(B14),AVERAGE(INDEX($B$2:$B$23,MAX(1,13-semi)):INDEX($B$2:$B$23,MIN($M$3,13+semi))),"")</f>
        <v/>
      </c>
      <c r="E14" s="25" t="str">
        <f t="shared" si="1"/>
        <v/>
      </c>
      <c r="F14" s="23" t="str">
        <f>IF(AND(ISNUMBER(E14),ISNUMBER(E15),ISNUMBER($M$6)),IF(AND(14&lt;$M$6,E14&lt;0.5,E15&gt;=0.5),14,""),"")</f>
        <v/>
      </c>
      <c r="G14" s="23" t="str">
        <f>IF(AND(ISNUMBER(E14),ISNUMBER(E15),ISNUMBER($M$6)),IF(AND(14&gt;=$M$6,E14&gt;=0.5,E15&lt;0.5),14,""),"")</f>
        <v/>
      </c>
      <c r="H14" s="23" t="str">
        <f t="shared" si="2"/>
        <v/>
      </c>
      <c r="I14" s="23" t="e">
        <f t="shared" si="3"/>
        <v>#N/A</v>
      </c>
      <c r="J14" s="25" t="e">
        <f t="shared" si="4"/>
        <v>#N/A</v>
      </c>
      <c r="K14" s="23">
        <f t="shared" si="5"/>
        <v>1</v>
      </c>
      <c r="L14" s="5" t="s">
        <v>64</v>
      </c>
      <c r="M14" s="6" t="str">
        <f>IF(ISNUMBER($M$12),0.7071*$M$12,"")</f>
        <v/>
      </c>
    </row>
    <row r="15" spans="1:13" x14ac:dyDescent="0.3">
      <c r="A15" s="21">
        <v>130</v>
      </c>
      <c r="B15" s="22"/>
      <c r="C15" s="23">
        <f t="shared" si="0"/>
        <v>867.26664751519536</v>
      </c>
      <c r="D15" s="24" t="str">
        <f>IF(ISNUMBER(B15),AVERAGE(INDEX($B$2:$B$23,MAX(1,14-semi)):INDEX($B$2:$B$23,MIN($M$3,14+semi))),"")</f>
        <v/>
      </c>
      <c r="E15" s="25" t="str">
        <f t="shared" si="1"/>
        <v/>
      </c>
      <c r="F15" s="23" t="str">
        <f>IF(AND(ISNUMBER(E15),ISNUMBER(E16),ISNUMBER($M$6)),IF(AND(15&lt;$M$6,E15&lt;0.5,E16&gt;=0.5),15,""),"")</f>
        <v/>
      </c>
      <c r="G15" s="23" t="str">
        <f>IF(AND(ISNUMBER(E15),ISNUMBER(E16),ISNUMBER($M$6)),IF(AND(15&gt;=$M$6,E15&gt;=0.5,E16&lt;0.5),15,""),"")</f>
        <v/>
      </c>
      <c r="H15" s="23" t="str">
        <f t="shared" si="2"/>
        <v/>
      </c>
      <c r="I15" s="23" t="e">
        <f t="shared" si="3"/>
        <v>#N/A</v>
      </c>
      <c r="J15" s="25" t="e">
        <f t="shared" si="4"/>
        <v>#N/A</v>
      </c>
      <c r="K15" s="23">
        <f t="shared" si="5"/>
        <v>1</v>
      </c>
      <c r="L15" s="5" t="s">
        <v>65</v>
      </c>
      <c r="M15" s="6">
        <f>IF(ISNUMBER($M$12),($M$10+$M$11)/2,$M$7)</f>
        <v>0</v>
      </c>
    </row>
    <row r="16" spans="1:13" x14ac:dyDescent="0.3">
      <c r="A16" s="21">
        <v>140</v>
      </c>
      <c r="B16" s="22"/>
      <c r="C16" s="23">
        <f t="shared" si="0"/>
        <v>933.97946655482576</v>
      </c>
      <c r="D16" s="24" t="str">
        <f>IF(ISNUMBER(B16),AVERAGE(INDEX($B$2:$B$23,MAX(1,15-semi)):INDEX($B$2:$B$23,MIN($M$3,15+semi))),"")</f>
        <v/>
      </c>
      <c r="E16" s="25" t="str">
        <f t="shared" si="1"/>
        <v/>
      </c>
      <c r="F16" s="23" t="str">
        <f>IF(AND(ISNUMBER(E16),ISNUMBER(E17),ISNUMBER($M$6)),IF(AND(16&lt;$M$6,E16&lt;0.5,E17&gt;=0.5),16,""),"")</f>
        <v/>
      </c>
      <c r="G16" s="23" t="str">
        <f>IF(AND(ISNUMBER(E16),ISNUMBER(E17),ISNUMBER($M$6)),IF(AND(16&gt;=$M$6,E16&gt;=0.5,E17&lt;0.5),16,""),"")</f>
        <v/>
      </c>
      <c r="H16" s="23" t="str">
        <f t="shared" si="2"/>
        <v/>
      </c>
      <c r="I16" s="23" t="e">
        <f t="shared" si="3"/>
        <v>#N/A</v>
      </c>
      <c r="J16" s="25" t="e">
        <f t="shared" si="4"/>
        <v>#N/A</v>
      </c>
      <c r="K16" s="23">
        <f t="shared" si="5"/>
        <v>1</v>
      </c>
      <c r="L16" s="5" t="s">
        <v>66</v>
      </c>
      <c r="M16" s="10">
        <f>COUNTIF($E$2:$E$23,"&gt;=0.5")</f>
        <v>0</v>
      </c>
    </row>
    <row r="17" spans="1:13" x14ac:dyDescent="0.3">
      <c r="A17" s="21">
        <v>150</v>
      </c>
      <c r="B17" s="22"/>
      <c r="C17" s="23">
        <f t="shared" si="0"/>
        <v>1000.6922855944562</v>
      </c>
      <c r="D17" s="24" t="str">
        <f>IF(ISNUMBER(B17),AVERAGE(INDEX($B$2:$B$23,MAX(1,16-semi)):INDEX($B$2:$B$23,MIN($M$3,16+semi))),"")</f>
        <v/>
      </c>
      <c r="E17" s="25" t="str">
        <f t="shared" si="1"/>
        <v/>
      </c>
      <c r="F17" s="23" t="str">
        <f>IF(AND(ISNUMBER(E17),ISNUMBER(E18),ISNUMBER($M$6)),IF(AND(17&lt;$M$6,E17&lt;0.5,E18&gt;=0.5),17,""),"")</f>
        <v/>
      </c>
      <c r="G17" s="23" t="str">
        <f>IF(AND(ISNUMBER(E17),ISNUMBER(E18),ISNUMBER($M$6)),IF(AND(17&gt;=$M$6,E17&gt;=0.5,E18&lt;0.5),17,""),"")</f>
        <v/>
      </c>
      <c r="H17" s="23" t="str">
        <f t="shared" si="2"/>
        <v/>
      </c>
      <c r="I17" s="23" t="e">
        <f t="shared" si="3"/>
        <v>#N/A</v>
      </c>
      <c r="J17" s="25" t="e">
        <f t="shared" si="4"/>
        <v>#N/A</v>
      </c>
      <c r="K17" s="23">
        <f t="shared" si="5"/>
        <v>1</v>
      </c>
      <c r="L17" s="5" t="s">
        <v>67</v>
      </c>
      <c r="M17" s="6">
        <f>IFERROR($M$15-MIN($C$2:$C$23),"")</f>
        <v>0</v>
      </c>
    </row>
    <row r="18" spans="1:13" x14ac:dyDescent="0.3">
      <c r="A18" s="21">
        <v>160</v>
      </c>
      <c r="B18" s="22"/>
      <c r="C18" s="23">
        <f t="shared" si="0"/>
        <v>1067.4051046340865</v>
      </c>
      <c r="D18" s="24" t="str">
        <f>IF(ISNUMBER(B18),AVERAGE(INDEX($B$2:$B$23,MAX(1,17-semi)):INDEX($B$2:$B$23,MIN($M$3,17+semi))),"")</f>
        <v/>
      </c>
      <c r="E18" s="25" t="str">
        <f t="shared" si="1"/>
        <v/>
      </c>
      <c r="F18" s="23" t="str">
        <f>IF(AND(ISNUMBER(E18),ISNUMBER(E19),ISNUMBER($M$6)),IF(AND(18&lt;$M$6,E18&lt;0.5,E19&gt;=0.5),18,""),"")</f>
        <v/>
      </c>
      <c r="G18" s="23" t="str">
        <f>IF(AND(ISNUMBER(E18),ISNUMBER(E19),ISNUMBER($M$6)),IF(AND(18&gt;=$M$6,E18&gt;=0.5,E19&lt;0.5),18,""),"")</f>
        <v/>
      </c>
      <c r="H18" s="23" t="str">
        <f t="shared" si="2"/>
        <v/>
      </c>
      <c r="I18" s="23" t="e">
        <f t="shared" si="3"/>
        <v>#N/A</v>
      </c>
      <c r="J18" s="25" t="e">
        <f t="shared" si="4"/>
        <v>#N/A</v>
      </c>
      <c r="K18" s="23">
        <f t="shared" si="5"/>
        <v>1</v>
      </c>
      <c r="L18" s="5" t="s">
        <v>68</v>
      </c>
      <c r="M18" s="6">
        <f>IFERROR(MAX($C$2:$C$23)-$M$15,"")</f>
        <v>1400.9691998322385</v>
      </c>
    </row>
    <row r="19" spans="1:13" x14ac:dyDescent="0.3">
      <c r="A19" s="21">
        <v>170</v>
      </c>
      <c r="B19" s="22"/>
      <c r="C19" s="23">
        <f t="shared" si="0"/>
        <v>1134.1179236737169</v>
      </c>
      <c r="D19" s="24" t="str">
        <f>IF(ISNUMBER(B19),AVERAGE(INDEX($B$2:$B$23,MAX(1,18-semi)):INDEX($B$2:$B$23,MIN($M$3,18+semi))),"")</f>
        <v/>
      </c>
      <c r="E19" s="25" t="str">
        <f t="shared" si="1"/>
        <v/>
      </c>
      <c r="F19" s="23" t="str">
        <f>IF(AND(ISNUMBER(E19),ISNUMBER(E20),ISNUMBER($M$6)),IF(AND(19&lt;$M$6,E19&lt;0.5,E20&gt;=0.5),19,""),"")</f>
        <v/>
      </c>
      <c r="G19" s="23" t="str">
        <f>IF(AND(ISNUMBER(E19),ISNUMBER(E20),ISNUMBER($M$6)),IF(AND(19&gt;=$M$6,E19&gt;=0.5,E20&lt;0.5),19,""),"")</f>
        <v/>
      </c>
      <c r="H19" s="23" t="str">
        <f t="shared" si="2"/>
        <v/>
      </c>
      <c r="I19" s="23" t="e">
        <f t="shared" si="3"/>
        <v>#N/A</v>
      </c>
      <c r="J19" s="25" t="e">
        <f t="shared" si="4"/>
        <v>#N/A</v>
      </c>
      <c r="K19" s="23">
        <f t="shared" si="5"/>
        <v>1</v>
      </c>
      <c r="L19" s="5" t="s">
        <v>69</v>
      </c>
      <c r="M19" s="10" t="str">
        <f>IF($M$3&lt;$M$2,"",IFERROR(INDEX($A$1:$A$23,$M$6),""))</f>
        <v/>
      </c>
    </row>
    <row r="20" spans="1:13" x14ac:dyDescent="0.3">
      <c r="A20" s="21">
        <v>180</v>
      </c>
      <c r="B20" s="22"/>
      <c r="C20" s="23">
        <f t="shared" si="0"/>
        <v>1200.8307427133473</v>
      </c>
      <c r="D20" s="24" t="str">
        <f>IF(ISNUMBER(B20),AVERAGE(INDEX($B$2:$B$23,MAX(1,19-semi)):INDEX($B$2:$B$23,MIN($M$3,19+semi))),"")</f>
        <v/>
      </c>
      <c r="E20" s="25" t="str">
        <f t="shared" si="1"/>
        <v/>
      </c>
      <c r="F20" s="23" t="str">
        <f>IF(AND(ISNUMBER(E20),ISNUMBER(E21),ISNUMBER($M$6)),IF(AND(20&lt;$M$6,E20&lt;0.5,E21&gt;=0.5),20,""),"")</f>
        <v/>
      </c>
      <c r="G20" s="23" t="str">
        <f>IF(AND(ISNUMBER(E20),ISNUMBER(E21),ISNUMBER($M$6)),IF(AND(20&gt;=$M$6,E20&gt;=0.5,E21&lt;0.5),20,""),"")</f>
        <v/>
      </c>
      <c r="H20" s="23" t="str">
        <f t="shared" si="2"/>
        <v/>
      </c>
      <c r="I20" s="23" t="e">
        <f t="shared" si="3"/>
        <v>#N/A</v>
      </c>
      <c r="J20" s="25" t="e">
        <f t="shared" si="4"/>
        <v>#N/A</v>
      </c>
      <c r="K20" s="23">
        <f t="shared" si="5"/>
        <v>1</v>
      </c>
      <c r="L20" s="5" t="s">
        <v>70</v>
      </c>
      <c r="M20" s="20" t="str">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Sin datos</v>
      </c>
    </row>
    <row r="21" spans="1:13" x14ac:dyDescent="0.3">
      <c r="A21" s="21">
        <v>190</v>
      </c>
      <c r="B21" s="22"/>
      <c r="C21" s="23">
        <f t="shared" si="0"/>
        <v>1267.5435617529777</v>
      </c>
      <c r="D21" s="24" t="str">
        <f>IF(ISNUMBER(B21),AVERAGE(INDEX($B$2:$B$23,MAX(1,20-semi)):INDEX($B$2:$B$23,MIN($M$3,20+semi))),"")</f>
        <v/>
      </c>
      <c r="E21" s="25" t="str">
        <f t="shared" si="1"/>
        <v/>
      </c>
      <c r="F21" s="23" t="str">
        <f>IF(AND(ISNUMBER(E21),ISNUMBER(E22),ISNUMBER($M$6)),IF(AND(21&lt;$M$6,E21&lt;0.5,E22&gt;=0.5),21,""),"")</f>
        <v/>
      </c>
      <c r="G21" s="23" t="str">
        <f>IF(AND(ISNUMBER(E21),ISNUMBER(E22),ISNUMBER($M$6)),IF(AND(21&gt;=$M$6,E21&gt;=0.5,E22&lt;0.5),21,""),"")</f>
        <v/>
      </c>
      <c r="H21" s="23" t="str">
        <f t="shared" si="2"/>
        <v/>
      </c>
      <c r="I21" s="23" t="e">
        <f t="shared" si="3"/>
        <v>#N/A</v>
      </c>
      <c r="J21" s="25" t="e">
        <f t="shared" si="4"/>
        <v>#N/A</v>
      </c>
      <c r="K21" s="23">
        <f t="shared" si="5"/>
        <v>1</v>
      </c>
    </row>
    <row r="22" spans="1:13" x14ac:dyDescent="0.3">
      <c r="A22" s="21">
        <v>200</v>
      </c>
      <c r="B22" s="22"/>
      <c r="C22" s="23">
        <f t="shared" si="0"/>
        <v>1334.2563807926081</v>
      </c>
      <c r="D22" s="24" t="str">
        <f>IF(ISNUMBER(B22),AVERAGE(INDEX($B$2:$B$23,MAX(1,21-semi)):INDEX($B$2:$B$23,MIN($M$3,21+semi))),"")</f>
        <v/>
      </c>
      <c r="E22" s="25" t="str">
        <f t="shared" si="1"/>
        <v/>
      </c>
      <c r="F22" s="23" t="str">
        <f>IF(AND(ISNUMBER(E22),ISNUMBER(E23),ISNUMBER($M$6)),IF(AND(22&lt;$M$6,E22&lt;0.5,E23&gt;=0.5),22,""),"")</f>
        <v/>
      </c>
      <c r="G22" s="23" t="str">
        <f>IF(AND(ISNUMBER(E22),ISNUMBER(E23),ISNUMBER($M$6)),IF(AND(22&gt;=$M$6,E22&gt;=0.5,E23&lt;0.5),22,""),"")</f>
        <v/>
      </c>
      <c r="H22" s="23" t="str">
        <f t="shared" si="2"/>
        <v/>
      </c>
      <c r="I22" s="23" t="e">
        <f t="shared" si="3"/>
        <v>#N/A</v>
      </c>
      <c r="J22" s="25" t="e">
        <f t="shared" si="4"/>
        <v>#N/A</v>
      </c>
      <c r="K22" s="23">
        <f t="shared" si="5"/>
        <v>1</v>
      </c>
      <c r="L22" s="2" t="s">
        <v>73</v>
      </c>
    </row>
    <row r="23" spans="1:13" x14ac:dyDescent="0.3">
      <c r="A23" s="21">
        <v>210</v>
      </c>
      <c r="B23" s="22"/>
      <c r="C23" s="23">
        <f t="shared" si="0"/>
        <v>1400.9691998322385</v>
      </c>
      <c r="D23" s="24" t="str">
        <f>IF(ISNUMBER(B23),AVERAGE(INDEX($B$2:$B$23,MAX(1,22-semi)):INDEX($B$2:$B$23,MIN($M$3,22+semi))),"")</f>
        <v/>
      </c>
      <c r="E23" s="25" t="str">
        <f t="shared" si="1"/>
        <v/>
      </c>
      <c r="F23" s="23" t="str">
        <f>IF(AND(ISNUMBER(E23),ISNUMBER(E24),ISNUMBER($M$6)),IF(AND(23&lt;$M$6,E23&lt;0.5,E24&gt;=0.5),23,""),"")</f>
        <v/>
      </c>
      <c r="G23" s="23" t="str">
        <f>IF(AND(ISNUMBER(E23),ISNUMBER(E24),ISNUMBER($M$6)),IF(AND(23&gt;=$M$6,E23&gt;=0.5,E24&lt;0.5),23,""),"")</f>
        <v/>
      </c>
      <c r="H23" s="23" t="str">
        <f t="shared" si="2"/>
        <v/>
      </c>
      <c r="I23" s="23" t="e">
        <f t="shared" si="3"/>
        <v>#N/A</v>
      </c>
      <c r="J23" s="25" t="e">
        <f t="shared" si="4"/>
        <v>#N/A</v>
      </c>
      <c r="K23" s="23" t="str">
        <f t="shared" si="5"/>
        <v/>
      </c>
      <c r="L23" s="23" t="e">
        <f>IF(ISNUMBER($M$12),$M$10-$M$15,NA())</f>
        <v>#N/A</v>
      </c>
      <c r="M23" s="23" t="e">
        <f>IF(ISNUMBER($M$12),0.5,NA())</f>
        <v>#N/A</v>
      </c>
    </row>
    <row r="24" spans="1:13" x14ac:dyDescent="0.3">
      <c r="L24" s="23" t="e">
        <f>IF(ISNUMBER($M$12),$M$11-$M$15,NA())</f>
        <v>#N/A</v>
      </c>
      <c r="M24" s="23" t="e">
        <f>IF(ISNUMBER($M$12),0.5,NA())</f>
        <v>#N/A</v>
      </c>
    </row>
    <row r="26" spans="1:13" ht="26.4" x14ac:dyDescent="0.3">
      <c r="L26" s="7" t="s">
        <v>74</v>
      </c>
    </row>
  </sheetData>
  <sheetProtection sheet="1" objects="1" scenarios="1" formatColumns="0" formatRows="0"/>
  <conditionalFormatting sqref="I2:J23">
    <cfRule type="containsErrors" dxfId="4" priority="4">
      <formula>ISERROR(I2)</formula>
    </cfRule>
  </conditionalFormatting>
  <conditionalFormatting sqref="L23:M24">
    <cfRule type="containsErrors" dxfId="3" priority="5">
      <formula>ISERROR(L23)</formula>
    </cfRule>
  </conditionalFormatting>
  <conditionalFormatting sqref="M20">
    <cfRule type="cellIs" dxfId="2" priority="1" operator="equal">
      <formula>"OK"</formula>
    </cfRule>
    <cfRule type="beginsWith" dxfId="1" priority="2" operator="beginsWith" text="Aviso">
      <formula>LEFT(M20,5)="Aviso"</formula>
    </cfRule>
    <cfRule type="beginsWith" dxfId="0"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xr:uid="{00000000-0002-0000-0F00-000000000000}">
      <formula1>-1</formula1>
      <formula2>1</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13</vt:i4>
      </vt:variant>
    </vt:vector>
  </HeadingPairs>
  <TitlesOfParts>
    <vt:vector size="29" baseType="lpstr">
      <vt:lpstr>Instrucciones</vt:lpstr>
      <vt:lpstr>Configuración</vt:lpstr>
      <vt:lpstr>Registro</vt:lpstr>
      <vt:lpstr>Resumen</vt:lpstr>
      <vt:lpstr>R01</vt:lpstr>
      <vt:lpstr>R02</vt:lpstr>
      <vt:lpstr>R03</vt:lpstr>
      <vt:lpstr>R04</vt:lpstr>
      <vt:lpstr>R05</vt:lpstr>
      <vt:lpstr>R06</vt:lpstr>
      <vt:lpstr>R07</vt:lpstr>
      <vt:lpstr>R08</vt:lpstr>
      <vt:lpstr>R09</vt:lpstr>
      <vt:lpstr>R10</vt:lpstr>
      <vt:lpstr>R11</vt:lpstr>
      <vt:lpstr>R12</vt:lpstr>
      <vt:lpstr>alfa</vt:lpstr>
      <vt:lpstr>c_luz</vt:lpstr>
      <vt:lpstr>conv</vt:lpstr>
      <vt:lpstr>corriente</vt:lpstr>
      <vt:lpstr>factor_forma</vt:lpstr>
      <vt:lpstr>n_fondo</vt:lpstr>
      <vt:lpstr>paso</vt:lpstr>
      <vt:lpstr>pasos</vt:lpstr>
      <vt:lpstr>pfab</vt:lpstr>
      <vt:lpstr>pts_min</vt:lpstr>
      <vt:lpstr>rec_min</vt:lpstr>
      <vt:lpstr>semi</vt:lpstr>
      <vt:lpstr>tau0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Medición del autocorrelador · 5 A</dc:title>
  <dc:creator>Juan Esteban Rodríguez Ochoa · Sebastián Zapata Henao</dc:creator>
  <cp:lastModifiedBy>Juan esteban rodri</cp:lastModifiedBy>
  <dcterms:created xsi:type="dcterms:W3CDTF">2026-10-27T23:21:26Z</dcterms:created>
  <dcterms:modified xsi:type="dcterms:W3CDTF">2026-10-28T03:10:11Z</dcterms:modified>
</cp:coreProperties>
</file>