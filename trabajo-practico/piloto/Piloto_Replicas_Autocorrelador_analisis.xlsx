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Configuración" sheetId="2" r:id="rId2"/>
    <sheet name="Registro piloto" sheetId="3" r:id="rId3"/>
    <sheet name="Resumen piloto" sheetId="4" r:id="rId4"/>
    <sheet name="Réplicas" sheetId="5" r:id="rId5"/>
    <sheet name="Plan semana" sheetId="6" r:id="rId6"/>
    <sheet name="Ajustes" sheetId="7" r:id="rId7"/>
    <sheet name="R01" sheetId="8" r:id="rId8"/>
    <sheet name="R02" sheetId="9" r:id="rId9"/>
    <sheet name="R03" sheetId="10" r:id="rId10"/>
    <sheet name="R04" sheetId="11" r:id="rId11"/>
    <sheet name="R05" sheetId="12" r:id="rId12"/>
    <sheet name="R06" sheetId="13" r:id="rId13"/>
    <sheet name="R07" sheetId="14" r:id="rId14"/>
    <sheet name="R08" sheetId="15" r:id="rId15"/>
    <sheet name="R09" sheetId="16" r:id="rId16"/>
    <sheet name="R10" sheetId="17" r:id="rId17"/>
    <sheet name="R11" sheetId="18" r:id="rId18"/>
    <sheet name="R12" sheetId="19" r:id="rId19"/>
    <sheet name="R13" sheetId="20" r:id="rId20"/>
    <sheet name="R14" sheetId="21" r:id="rId21"/>
    <sheet name="R15" sheetId="22" r:id="rId22"/>
    <sheet name="Ejemplo" sheetId="23" r:id="rId23"/>
  </sheets>
  <definedNames>
    <definedName name="a_metros">'Configuración'!$B$9</definedName>
    <definedName name="alfa">'Configuración'!$B$30</definedName>
    <definedName name="banda_1">'Configuración'!$B$41</definedName>
    <definedName name="banda_2">'Configuración'!$C$41</definedName>
    <definedName name="banda_3">'Configuración'!$D$41</definedName>
    <definedName name="c_luz">'Configuración'!$B$8</definedName>
    <definedName name="colas">'Configuración'!$B$32</definedName>
    <definedName name="conf_sigma">'Configuración'!$B$33</definedName>
    <definedName name="conv">'Configuración'!$B$10</definedName>
    <definedName name="corrientes">'Configuración'!$B$25:$B$27</definedName>
    <definedName name="delta_def">'Configuración'!$B$34</definedName>
    <definedName name="dias">'Réplicas'!$B$37</definedName>
    <definedName name="dur_piloto">'Registro piloto'!$J$21</definedName>
    <definedName name="estab_1">'Configuración'!$B$42</definedName>
    <definedName name="estab_2">'Configuración'!$C$42</definedName>
    <definedName name="estab_3">'Configuración'!$D$42</definedName>
    <definedName name="estimador">'Configuración'!$B$14</definedName>
    <definedName name="factor_forma">'Configuración'!$B$13</definedName>
    <definedName name="horas_dia">'Configuración'!$B$48</definedName>
    <definedName name="I1_A">'Configuración'!$B$25</definedName>
    <definedName name="I2_A">'Configuración'!$B$26</definedName>
    <definedName name="I3_A">'Configuración'!$B$27</definedName>
    <definedName name="incert_1">'Configuración'!$B$43</definedName>
    <definedName name="incert_2">'Configuración'!$C$43</definedName>
    <definedName name="incert_3">'Configuración'!$D$43</definedName>
    <definedName name="min_traza_man">'Configuración'!$B$49</definedName>
    <definedName name="n_fondo">'Configuración'!$B$15</definedName>
    <definedName name="n_I1">'Resumen piloto'!$B$22</definedName>
    <definedName name="n_I2">'Resumen piloto'!$B$23</definedName>
    <definedName name="n_I3">'Resumen piloto'!$B$24</definedName>
    <definedName name="n_zona">'Configuración'!$B$20</definedName>
    <definedName name="pasos">'Configuración'!$B$7</definedName>
    <definedName name="pfab_1">'Configuración'!$B$44</definedName>
    <definedName name="pfab_2">'Configuración'!$C$44</definedName>
    <definedName name="pfab_3">'Configuración'!$D$44</definedName>
    <definedName name="potencia">'Configuración'!$B$31</definedName>
    <definedName name="_xlnm.Print_Area" localSheetId="22">Ejemplo!$L$1:$R$62</definedName>
    <definedName name="_xlnm.Print_Area" localSheetId="7">'R01'!$L$1:$R$62</definedName>
    <definedName name="_xlnm.Print_Area" localSheetId="8">'R02'!$L$1:$R$62</definedName>
    <definedName name="_xlnm.Print_Area" localSheetId="9">'R03'!$L$1:$R$62</definedName>
    <definedName name="_xlnm.Print_Area" localSheetId="10">'R04'!$L$1:$R$62</definedName>
    <definedName name="_xlnm.Print_Area" localSheetId="11">'R05'!$L$1:$R$62</definedName>
    <definedName name="_xlnm.Print_Area" localSheetId="12">'R06'!$L$1:$R$62</definedName>
    <definedName name="_xlnm.Print_Area" localSheetId="13">'R07'!$L$1:$R$62</definedName>
    <definedName name="_xlnm.Print_Area" localSheetId="14">'R08'!$L$1:$R$62</definedName>
    <definedName name="_xlnm.Print_Area" localSheetId="15">'R09'!$L$1:$R$62</definedName>
    <definedName name="_xlnm.Print_Area" localSheetId="16">'R10'!$L$1:$R$62</definedName>
    <definedName name="_xlnm.Print_Area" localSheetId="17">'R11'!$L$1:$R$62</definedName>
    <definedName name="_xlnm.Print_Area" localSheetId="18">'R12'!$L$1:$R$62</definedName>
    <definedName name="_xlnm.Print_Area" localSheetId="19">'R13'!$L$1:$R$62</definedName>
    <definedName name="_xlnm.Print_Area" localSheetId="20">'R14'!$L$1:$R$62</definedName>
    <definedName name="_xlnm.Print_Area" localSheetId="21">'R15'!$L$1:$R$62</definedName>
    <definedName name="_xlnm.Print_Area" localSheetId="3">'Resumen piloto'!$A$1:$P$45</definedName>
    <definedName name="_xlnm.Print_Area" localSheetId="4">Réplicas!$A$1:$G$40</definedName>
    <definedName name="pts_min">'Configuración'!$B$18</definedName>
    <definedName name="rec_min">'Configuración'!$B$19</definedName>
    <definedName name="resol">'Configuración'!$B$22</definedName>
    <definedName name="rpd">'Réplicas'!$B$38</definedName>
    <definedName name="S_I1">'Resumen piloto'!$D$22</definedName>
    <definedName name="S_I2">'Resumen piloto'!$D$23</definedName>
    <definedName name="S_I3">'Resumen piloto'!$D$24</definedName>
    <definedName name="semi">'Configuración'!$B$17</definedName>
    <definedName name="semilla">'Configuración'!$B$50</definedName>
    <definedName name="tau0_1">'Configuración'!$B$38</definedName>
    <definedName name="tau0_2">'Configuración'!$C$38</definedName>
    <definedName name="tau0_3">'Configuración'!$D$38</definedName>
    <definedName name="taumax_1">'Configuración'!$B$40</definedName>
    <definedName name="taumax_2">'Configuración'!$C$40</definedName>
    <definedName name="taumax_3">'Configuración'!$D$40</definedName>
    <definedName name="tol_1">'Configuración'!$B$39</definedName>
    <definedName name="tol_2">'Configuración'!$C$39</definedName>
    <definedName name="tol_3">'Configuración'!$D$39</definedName>
    <definedName name="unidad">'Configuración'!$B$6</definedName>
    <definedName name="ventana">'Configuración'!$B$16</definedName>
    <definedName name="zona_ac">'Configuración'!$B$21</definedName>
  </definedNames>
  <calcPr calcId="124519" fullCalcOnLoad="1"/>
</workbook>
</file>

<file path=xl/sharedStrings.xml><?xml version="1.0" encoding="utf-8"?>
<sst xmlns="http://schemas.openxmlformats.org/spreadsheetml/2006/main" count="902" uniqueCount="326">
  <si>
    <t>Configuración del piloto y del cálculo de réplicas</t>
  </si>
  <si>
    <t>Celdas amarillas con letra azul = se pueden editar. Todo lo demás es fórmula.</t>
  </si>
  <si>
    <t>Parámetro</t>
  </si>
  <si>
    <t>Valor</t>
  </si>
  <si>
    <t>Nota</t>
  </si>
  <si>
    <t>1. Conversión del desplazamiento a retardo</t>
  </si>
  <si>
    <t>Unidad de la posición del micrómetro (columna A de R01–R15)</t>
  </si>
  <si>
    <t>µm</t>
  </si>
  <si>
    <t>Fija en µm (p. ej. 12483 para 12,483 mm). La potencia óptica de la columna B va en W, tal como la da el medidor.</t>
  </si>
  <si>
    <t>Número de veces que el haz recorre el desplazamiento</t>
  </si>
  <si>
    <t>2 = retrorreflector en el brazo móvil (ida y vuelta): τ = 2Δx/c. Usar 4 si el brazo es de doble paso.</t>
  </si>
  <si>
    <t>Velocidad de la luz c (m/s)</t>
  </si>
  <si>
    <t>Valor exacto (SI).</t>
  </si>
  <si>
    <t>Factor de la unidad a metros</t>
  </si>
  <si>
    <t>Automático según la unidad.</t>
  </si>
  <si>
    <t>Retardo por unidad de desplazamiento (fs por unidad)</t>
  </si>
  <si>
    <t>Automático. Con µm y 2 pasos da 6,6713 fs por cada µm del micrómetro.</t>
  </si>
  <si>
    <t>2. Lectura del ancho de pulso</t>
  </si>
  <si>
    <t>Factor de forma: τp = factor × ancho de la traza</t>
  </si>
  <si>
    <t>0,65 = el que usa Calmar (sech²; el valor teórico es 0,648). Gaussiano: 0,7071.</t>
  </si>
  <si>
    <t>Estimador de τp que usan el Resumen, Réplicas y Plan semana</t>
  </si>
  <si>
    <t>Ajuste sech²</t>
  </si>
  <si>
    <t>FWHM = ancho a media altura leído en la traza × factor. Ajuste = mínimos cuadrados de la autocorrelación completa (hoja Ajustes; valores calculados con scipy). Con pasos gruesos el ajuste usa todos los puntos y es más estable; las cuatro opciones están en la hoja Ajustes.</t>
  </si>
  <si>
    <t>Lecturas en cada ala (fuera del solapamiento) para el fondo</t>
  </si>
  <si>
    <t>El fondo es el promedio de las primeras y las últimas N lecturas de la traza. Con el montaje actual: 2 por ala, a 2 y 3 Δτ_AC del pico (ver la guía de muestreo).</t>
  </si>
  <si>
    <t>Ventana de suavizado (puntos, número impar)</t>
  </si>
  <si>
    <t>1 = sin suavizar. Con toma manual (pocos puntos) dejarla en 1: promediar lecturas vecinas ensancha la traza. No cambiarla durante el experimento: es parte del programa de análisis fijo del protocolo.</t>
  </si>
  <si>
    <t>Semiventana (automático)</t>
  </si>
  <si>
    <t>Puntos a cada lado del promedio móvil.</t>
  </si>
  <si>
    <t>Lecturas mínimas dentro del ancho a media altura</t>
  </si>
  <si>
    <t>Por debajo de esto la interpolación de los cruces pierde precisión: afinar el paso cerca del pico.</t>
  </si>
  <si>
    <t>Recorrido mínimo a cada lado del centro (múltiplos de Δτ_AC)</t>
  </si>
  <si>
    <t>Las lecturas del fondo deben quedar a 2 Δτ_AC o más del centro, donde la autocorrelación sech² es &lt; 0,5 % del pico. Si quedan más cerca, el fondo sale alto y el ancho sale corto (≈ −1,5 fs en simulación).</t>
  </si>
  <si>
    <t>Lecturas en la zona de solapamiento</t>
  </si>
  <si>
    <t>Con el montaje actual caben 16 o 17 lecturas en la zona donde hay solapamiento (señal). Más 2 por ala = 20.</t>
  </si>
  <si>
    <t>Semiancho de la zona de solapamiento (múltiplos de Δτ_AC)</t>
  </si>
  <si>
    <t>A ±1,5 Δτ_AC la señal es ≈ 1 % del pico: ahí termina en la práctica el solapamiento.</t>
  </si>
  <si>
    <t>Resolución de lectura del micrómetro (µm)</t>
  </si>
  <si>
    <t>La menor división que se lee con seguridad (con nonio, 1 µm; sin nonio, 10 µm). Solo se usa en la guía de muestreo de abajo.</t>
  </si>
  <si>
    <t>3. Corrientes del diseño</t>
  </si>
  <si>
    <t>Corriente I1 (A)</t>
  </si>
  <si>
    <t>Corriente de bombeo del amplificador (AMP pump). Hoja de pruebas de fábrica, tabla 5. Se usan las tres corrientes altas alcanzables: el controlador llega a 7,12 A, así que la fila de 7,23 A queda fuera.</t>
  </si>
  <si>
    <t>Corriente I2 (A)</t>
  </si>
  <si>
    <t>Corriente I3 (A)</t>
  </si>
  <si>
    <t>4. Número de réplicas (protocolo, sección 4)</t>
  </si>
  <si>
    <t>α (riesgo de error tipo I)</t>
  </si>
  <si>
    <t>Protocolo: 0,05.</t>
  </si>
  <si>
    <t>Potencia deseada 1 − β</t>
  </si>
  <si>
    <t>Protocolo: 0,90.</t>
  </si>
  <si>
    <t>Colas de la prueba (1 o 2)</t>
  </si>
  <si>
    <t>2 si τ0 es un valor medido por el fabricante (cualquier cambio importa); 1 si solo se tiene el máximo garantizado. Con 2 colas el n es algo mayor (más conservador).</t>
  </si>
  <si>
    <t>Confianza del límite superior de σ</t>
  </si>
  <si>
    <t>Protocolo: σ = límite superior del 80 % de S (con n = 5 multiplica S por 1,56).</t>
  </si>
  <si>
    <t>δ por defecto si el fabricante no da ningún dato (fs)</t>
  </si>
  <si>
    <t>Protocolo, sección 4, regla 5.</t>
  </si>
  <si>
    <t>5. Datos del fabricante para fijar δ (llenar los que existan; ver hoja Réplicas)</t>
  </si>
  <si>
    <t>Dato</t>
  </si>
  <si>
    <t>I1</t>
  </si>
  <si>
    <t>I2</t>
  </si>
  <si>
    <t>I3</t>
  </si>
  <si>
    <t>τ0: ancho medido por el fabricante (fs)</t>
  </si>
  <si>
    <t>(1) Tolerancia del valor medido t, en τ0 ± t (fs)</t>
  </si>
  <si>
    <t>(2) Máximo garantizado τmáx (fs)</t>
  </si>
  <si>
    <t>(3) Semiancho de la banda de aceptación (fs)</t>
  </si>
  <si>
    <t>(4) Estabilidad declarada del ancho (% rms, p. ej. 2 para 2 %)</t>
  </si>
  <si>
    <t>Incertidumbre u del fabricante (fs); piso δ ≥ 2u</t>
  </si>
  <si>
    <t>Referencia: potencia media de fábrica (mW)</t>
  </si>
  <si>
    <t>Fuente: hoja de pruebas de fábrica (tabla 5: 5 A → 107 fs, 6 A → 76 fs, 7 A → 54 fs). La hoja no da tolerancia, banda de aceptación, estabilidad del ancho ni incertidumbre. La estabilidad de 0,40 % rms es de la potencia, no del ancho, y por eso no se usa en la regla 4. τmáx = 80 fs es la especificación de la tabla 4, válida solo en el punto nominal (7,0 A). Ojo: la tabla 4 reporta 70 fs a 7,0 A y la tabla 5 reporta 54 fs a 7 A; se usa la tabla 5 porque da las tres corrientes con el mismo método.</t>
  </si>
  <si>
    <t>6. Tiempo disponible para la semana</t>
  </si>
  <si>
    <t>Horas de medición útiles por día (sin calentamiento)</t>
  </si>
  <si>
    <t>Tiempo neto para tomar trazas cada día (lun 26 – jue 29).</t>
  </si>
  <si>
    <t>Minutos por traza (dejar vacío para usar el cronometraje del piloto)</t>
  </si>
  <si>
    <t>Si se llena, reemplaza la duración medida en el Registro del piloto.</t>
  </si>
  <si>
    <t>Semilla del sorteo del orden de la semana</t>
  </si>
  <si>
    <t>Cambiarla genera otro orden aleatorio en la hoja Plan semana. Fijar el definitivo el sábado por la noche.</t>
  </si>
  <si>
    <t>7. Guía de muestreo manual por corriente (automática)</t>
  </si>
  <si>
    <t>Cálculo</t>
  </si>
  <si>
    <t>τ0 de fábrica (fs)</t>
  </si>
  <si>
    <t>Ancho de la autocorrelación esperado Δτ_AC = τ0 / factor (fs)</t>
  </si>
  <si>
    <t>Δτ_AC en recorrido del micrómetro (µm)</t>
  </si>
  <si>
    <t>Zona de solapamiento: ± desde el pico (µm)</t>
  </si>
  <si>
    <t>Paso en la zona = 2 × zona / (lecturas − 1) (µm)</t>
  </si>
  <si>
    <t>Lecturas dentro del ancho a media altura</t>
  </si>
  <si>
    <t>Ala 1: lectura a ± 2 Δτ_AC del pico (µm)</t>
  </si>
  <si>
    <t>Ala 2: lectura a ± 3 Δτ_AC del pico (µm)</t>
  </si>
  <si>
    <t>Lecturas por traza = zona + 2 por ala</t>
  </si>
  <si>
    <t>¿El micrómetro lo resuelve?</t>
  </si>
  <si>
    <t>Cómo tomar una traza a mano: buscar el pico; ir a la lectura del ala 2 de un lado; avanzar girando el micrómetro siempre en el mismo sentido (así el juego mecánico no cambia la posición): ala 2, ala 1, las lecturas de la zona con el paso de la tabla, ala 1 y ala 2 del otro lado. Anotar posición y potencia de cada lectura en orden.</t>
  </si>
  <si>
    <t>Posición del micrómetro (µm)</t>
  </si>
  <si>
    <t>Potencia óptica (W)</t>
  </si>
  <si>
    <t>Retardo τ (fs)</t>
  </si>
  <si>
    <t>Señal suavizada</t>
  </si>
  <si>
    <t>Señal normalizada</t>
  </si>
  <si>
    <t>Cruce izq. (fila)</t>
  </si>
  <si>
    <t>Cruce der. (fila)</t>
  </si>
  <si>
    <t>τ de cruce (fs)</t>
  </si>
  <si>
    <t>Retardo centrado (fs) · gráfica</t>
  </si>
  <si>
    <t>Normalizada · gráfica</t>
  </si>
  <si>
    <t>Sentido</t>
  </si>
  <si>
    <t>Puntos de la traza</t>
  </si>
  <si>
    <t>Puntos con potencia</t>
  </si>
  <si>
    <t>Fondo (promedio de las alas)</t>
  </si>
  <si>
    <t>Máximo de la señal suavizada</t>
  </si>
  <si>
    <t>Fila del máximo</t>
  </si>
  <si>
    <t>Retardo del máximo (fs)</t>
  </si>
  <si>
    <t>Fila del cruce izquierdo a media altura</t>
  </si>
  <si>
    <t>Fila del cruce derecho a media altura</t>
  </si>
  <si>
    <t>τ del cruce izquierdo (fs)</t>
  </si>
  <si>
    <t>τ del cruce derecho (fs)</t>
  </si>
  <si>
    <t>Ancho de la traza a media altura Δτ_AC (fs)</t>
  </si>
  <si>
    <t>Ancho de pulso τp = factor × Δτ_AC (fs)</t>
  </si>
  <si>
    <t>Referencia: τp si fuera gaussiano (fs)</t>
  </si>
  <si>
    <t>Centro de la traza (fs)</t>
  </si>
  <si>
    <t>Recorrido a la izquierda del centro (fs)</t>
  </si>
  <si>
    <t>Recorrido a la derecha del centro (fs)</t>
  </si>
  <si>
    <t>¿Posiciones en un solo sentido?</t>
  </si>
  <si>
    <t>Estado de la traza</t>
  </si>
  <si>
    <t>Traza R01</t>
  </si>
  <si>
    <t>Línea de media altura (gráfica)</t>
  </si>
  <si>
    <t>Columnas A y B: desde la fila 2, sin filas vacías, en orden de posición (girando el micrómetro siempre en el mismo sentido). Posición en µm; potencia en W.</t>
  </si>
  <si>
    <t>Traza R02</t>
  </si>
  <si>
    <t>Traza R03</t>
  </si>
  <si>
    <t>Traza R04</t>
  </si>
  <si>
    <t>Traza R05</t>
  </si>
  <si>
    <t>Traza R06</t>
  </si>
  <si>
    <t>Traza R07</t>
  </si>
  <si>
    <t>Traza R08</t>
  </si>
  <si>
    <t>Traza R09</t>
  </si>
  <si>
    <t>Traza R10</t>
  </si>
  <si>
    <t>Traza R11</t>
  </si>
  <si>
    <t>Traza R12</t>
  </si>
  <si>
    <t>Traza R13</t>
  </si>
  <si>
    <t>Traza R14</t>
  </si>
  <si>
    <t>Traza R15</t>
  </si>
  <si>
    <t>Traza Ejemplo</t>
  </si>
  <si>
    <t>Traza manual simulada de un pulso sech² de 54 fs (7 A), con la guía de muestreo de Configuración: 16 lecturas cada 2 µm en la zona de solapamiento y 2 por ala, 20 en total; lecturas a 1 µm, ruido 1,5 %. Solo muestra cómo se ve una traza bien procesada; no entra al resumen.</t>
  </si>
  <si>
    <t>Registro del piloto · sábado 24 de octubre de 2026</t>
  </si>
  <si>
    <t>Orden sorteado (semilla 20261024): 5 réplicas por corriente, 15 trazas. Medir en este orden; la traza N° k se pega en la hoja Rk.</t>
  </si>
  <si>
    <t>Amarillo = llenar. La duración se toma de la hora de inicio de una traza a la de la siguiente (incluye el cambio de corriente).</t>
  </si>
  <si>
    <t>N°</t>
  </si>
  <si>
    <t>Hoja</t>
  </si>
  <si>
    <t>Corriente</t>
  </si>
  <si>
    <t>Corriente (A)</t>
  </si>
  <si>
    <t>Hora inicio</t>
  </si>
  <si>
    <t>Hora fin</t>
  </si>
  <si>
    <t>Potencia media del láser (mW)</t>
  </si>
  <si>
    <t>¿Válida?</t>
  </si>
  <si>
    <t>Observaciones (causa si no es válida)</t>
  </si>
  <si>
    <t>Δτ_AC (fs)</t>
  </si>
  <si>
    <t>τp (fs) · estimador elegido</t>
  </si>
  <si>
    <t>Δ inicio a la siguiente (min)</t>
  </si>
  <si>
    <t>R01</t>
  </si>
  <si>
    <t>No</t>
  </si>
  <si>
    <t>Excluida: sin señal de autocorrelación (potencia 10 veces menor que las demás trazas, sin pico).</t>
  </si>
  <si>
    <t>R02</t>
  </si>
  <si>
    <t>Descartada por error de medición (decisión del equipo, 24 oct)</t>
  </si>
  <si>
    <t>R03</t>
  </si>
  <si>
    <t>R04</t>
  </si>
  <si>
    <t>R05</t>
  </si>
  <si>
    <t>R06</t>
  </si>
  <si>
    <t>R07</t>
  </si>
  <si>
    <t>R08</t>
  </si>
  <si>
    <t>Sí</t>
  </si>
  <si>
    <t>R09</t>
  </si>
  <si>
    <t>R10</t>
  </si>
  <si>
    <t>R11</t>
  </si>
  <si>
    <t>R12</t>
  </si>
  <si>
    <t>R13</t>
  </si>
  <si>
    <t>R14</t>
  </si>
  <si>
    <t>R15</t>
  </si>
  <si>
    <t>Duración media por traza (min)</t>
  </si>
  <si>
    <t>entre inicios de dos trazas válidas consecutivas (columna M)</t>
  </si>
  <si>
    <t>Nota: R02 a R07 Descartar</t>
  </si>
  <si>
    <t>Duración media de la toma sola (min)</t>
  </si>
  <si>
    <t>de inicio a fin de cada traza</t>
  </si>
  <si>
    <t>Reglas del protocolo (sección 5): una traza solo se marca «No» por una causa anotada en el momento (el láser perdió los pulsos, la potencia salió del rango o el barrido se interrumpió). Nunca por dar un valor inesperado. Toda traza descartada se repone con una nueva (pegarla en la misma hoja y anotarlo).</t>
  </si>
  <si>
    <t>Resumen del piloto por corriente</t>
  </si>
  <si>
    <t>Solo cuentan las trazas con τp calculado y marcadas «Sí» en el Registro.</t>
  </si>
  <si>
    <t>τp usable (fs)</t>
  </si>
  <si>
    <t>(τp − media)²</t>
  </si>
  <si>
    <t>Orden</t>
  </si>
  <si>
    <t>x I1</t>
  </si>
  <si>
    <t>τp I1</t>
  </si>
  <si>
    <t>x I2</t>
  </si>
  <si>
    <t>τp I2</t>
  </si>
  <si>
    <t>x I3</t>
  </si>
  <si>
    <t>τp I3</t>
  </si>
  <si>
    <t>Columnas G:L: solo alimentan las gráficas (#N/A = punto que no se dibuja).</t>
  </si>
  <si>
    <t>n</t>
  </si>
  <si>
    <t>Media τp (fs)</t>
  </si>
  <si>
    <t>S (fs)</t>
  </si>
  <si>
    <t>CV (%)</t>
  </si>
  <si>
    <t>τ0 fábrica (fs)</t>
  </si>
  <si>
    <t>Media − τ0 (fs)</t>
  </si>
  <si>
    <t>x</t>
  </si>
  <si>
    <t>Con solo 5 datos por corriente no se prueba normalidad: el piloto solo estima S. La normalidad se revisa con los datos de la semana (protocolo, sección 6).</t>
  </si>
  <si>
    <t>Número de réplicas de la semana (protocolo, sección 4)</t>
  </si>
  <si>
    <t>Todo es automático. Celdas verdes = resultados clave. Montgomery, sec. 2-4.2 y curvas OC (apéndice V).</t>
  </si>
  <si>
    <t>Paso 1 · σ conservadora</t>
  </si>
  <si>
    <t>Usado</t>
  </si>
  <si>
    <t>n del piloto (trazas válidas)</t>
  </si>
  <si>
    <t>S del piloto (fs)</t>
  </si>
  <si>
    <t>Corriente con la S mayor</t>
  </si>
  <si>
    <t>n con que se estimó esa S</t>
  </si>
  <si>
    <t>Factor del límite superior: √[(n − 1)/χ²(1 − conf; n − 1)]</t>
  </si>
  <si>
    <t>σ para el diseño = factor × S mayor (fs)</t>
  </si>
  <si>
    <t>Con n = 5 y conf = 0,80 el factor es 1,557 (el «1,56» del protocolo).</t>
  </si>
  <si>
    <t>Paso 2 · δ que importa detectar</t>
  </si>
  <si>
    <t>Regla que aplica (primer dato del fabricante que exista)</t>
  </si>
  <si>
    <t>δ según la regla (fs)</t>
  </si>
  <si>
    <t>δ con el piso 2u (fs)</t>
  </si>
  <si>
    <t>Si δ cambia por corriente, se usa la menor (la que exige más réplicas). La regla 2 necesita τ0 medido; sin él cae a la 5 (10 fs).</t>
  </si>
  <si>
    <t>Paso 3 · Número de réplicas por corriente</t>
  </si>
  <si>
    <t>α · potencia · colas</t>
  </si>
  <si>
    <t>d = δ/σ</t>
  </si>
  <si>
    <t>n necesario por corriente (curva OC, t de una muestra)</t>
  </si>
  <si>
    <t>Potencia que se logra con ese n</t>
  </si>
  <si>
    <t>Verificar en Minitab: Estadísticas › Potencia y tamaño de la muestra › t de 1 muestra, con Diferencia = δ, Desv. Est. = σ y Potencia = 0,90.</t>
  </si>
  <si>
    <t>Paso 4 · Reparto en la semana</t>
  </si>
  <si>
    <t>3 días</t>
  </si>
  <si>
    <t>4 días</t>
  </si>
  <si>
    <t>Minutos por traza (incluye cambio de corriente)</t>
  </si>
  <si>
    <t>Trazas que caben por día</t>
  </si>
  <si>
    <t>Réplicas por corriente y por día = ⌈n / días⌉</t>
  </si>
  <si>
    <t>Trazas por día = 3 × réplicas por día</t>
  </si>
  <si>
    <t>¿Caben en el día?</t>
  </si>
  <si>
    <t>n por corriente del plan (réplicas por día × días)</t>
  </si>
  <si>
    <t>Si no caben: réplicas por corriente y día que sí caben</t>
  </si>
  <si>
    <t>n por corriente que sí cabe</t>
  </si>
  <si>
    <t>n por corriente que se mide</t>
  </si>
  <si>
    <t>δ detectable δdet con ese n (fs)</t>
  </si>
  <si>
    <t>¿δdet ≤ δ?</t>
  </si>
  <si>
    <t>Total de trazas de la semana</t>
  </si>
  <si>
    <t>Se redondea hacia arriba para repartir igual entre días; el n del plan puede quedar un poco por encima del necesario.</t>
  </si>
  <si>
    <t>Mínima diferencia que el plan detecta con α y potencia fijados (la «salida» de la curva OC con n fijo).</t>
  </si>
  <si>
    <t>Decisión: días de medición (3 = lun–mié; 4 = usar también el jueves 29)</t>
  </si>
  <si>
    <t>Réplicas por corriente y por día del plan</t>
  </si>
  <si>
    <t>n por corriente del plan</t>
  </si>
  <si>
    <t>La hoja Plan semana arma el orden sorteado de cada día con este número (máximo 20).</t>
  </si>
  <si>
    <t>Curva OC numérica: potencia de la t de una muestra (aproximación normal de la t no central)</t>
  </si>
  <si>
    <t>ν</t>
  </si>
  <si>
    <t>t crítico</t>
  </si>
  <si>
    <t>λ = d√n</t>
  </si>
  <si>
    <t>Potencia</t>
  </si>
  <si>
    <t>n si ≥ 1−β</t>
  </si>
  <si>
    <t>d₀</t>
  </si>
  <si>
    <t>d₁</t>
  </si>
  <si>
    <t>d₂</t>
  </si>
  <si>
    <t>d₃</t>
  </si>
  <si>
    <t>d_det</t>
  </si>
  <si>
    <t>Cuatro estimadores de τp por traza: ancho a media altura (FWHM) y ajuste por mínimos cuadrados, para pulso sech² y gaussiano</t>
  </si>
  <si>
    <t>Columnas E–J: fórmulas sobre las hojas R01–R15. Columnas K–P: ajuste no lineal de B + A·g(τ − τc; τp) a todos los puntos, calculado con scipy (scripts/trabajo-practico/analiza_piloto.py); son valores, no fórmulas. El Resumen usa el estimador elegido en Configuración.</t>
  </si>
  <si>
    <t>Puntos</t>
  </si>
  <si>
    <t>Paso (fs)</t>
  </si>
  <si>
    <t>Lecturas en el FWHM</t>
  </si>
  <si>
    <t>τp FWHM sech² (fs)</t>
  </si>
  <si>
    <t>τp FWHM gauss (fs)</t>
  </si>
  <si>
    <t>τp ajuste sech² (fs)</t>
  </si>
  <si>
    <t>± SE</t>
  </si>
  <si>
    <t>R² sech²</t>
  </si>
  <si>
    <t>τp ajuste gauss (fs)</t>
  </si>
  <si>
    <t>R² gauss</t>
  </si>
  <si>
    <t>h FWHM sech²</t>
  </si>
  <si>
    <t>h ajuste sech²</t>
  </si>
  <si>
    <t>h FWHM gauss</t>
  </si>
  <si>
    <t>h ajuste gauss</t>
  </si>
  <si>
    <t>Resumen por corriente y estimador (solo trazas válidas)</t>
  </si>
  <si>
    <t>τ0 fábrica</t>
  </si>
  <si>
    <t>FWHM sech²: media</t>
  </si>
  <si>
    <t>S</t>
  </si>
  <si>
    <t>Ajuste sech²: media</t>
  </si>
  <si>
    <t>FWHM gauss: media</t>
  </si>
  <si>
    <t>Ajuste gauss: media</t>
  </si>
  <si>
    <t>El ajuste gaussiano y el sech² dan anchos distintos para la misma traza porque suponen formas de pulso distintas; la hoja de pruebas de Calmar usa sech² (factor 0,65). Se reportan ambos porque la hoja del equipo no declara la forma.</t>
  </si>
  <si>
    <t>Plan de medición de la semana · orden sorteado por día</t>
  </si>
  <si>
    <t>Al fijar el plan el sábado por la noche, copiar estas columnas y pegarlas como valores en las hojas de registro de cada día: si se cambia un parámetro después, el orden cambia.</t>
  </si>
  <si>
    <t>Posición</t>
  </si>
  <si>
    <t>Lun 26 oct</t>
  </si>
  <si>
    <t>Valor (A)</t>
  </si>
  <si>
    <t>clave d1</t>
  </si>
  <si>
    <t>etiq d1</t>
  </si>
  <si>
    <t>rango d1</t>
  </si>
  <si>
    <t>Mar 27 oct</t>
  </si>
  <si>
    <t>clave d2</t>
  </si>
  <si>
    <t>etiq d2</t>
  </si>
  <si>
    <t>rango d2</t>
  </si>
  <si>
    <t>Mié 28 oct</t>
  </si>
  <si>
    <t>clave d3</t>
  </si>
  <si>
    <t>etiq d3</t>
  </si>
  <si>
    <t>rango d3</t>
  </si>
  <si>
    <t>Jue 29 oct</t>
  </si>
  <si>
    <t>clave d4</t>
  </si>
  <si>
    <t>etiq d4</t>
  </si>
  <si>
    <t>rango d4</t>
  </si>
  <si>
    <t>Columnas auxiliares del sorteo: grupo M:X, oculto</t>
  </si>
  <si>
    <t>Piloto del autocorrelador · cálculo del número de réplicas</t>
  </si>
  <si>
    <t>Trabajo práctico · Diseño de Experimentos Avanzados (3008475) · UNAL 2026-II · J. E. Rodríguez Ochoa y S. Zapata Henao · sábado 24 de octubre de 2026</t>
  </si>
  <si>
    <t>Antes de medir</t>
  </si>
  <si>
    <t>1</t>
  </si>
  <si>
    <t>Configuración: la posición va en µm y la potencia óptica en W. Revisar que el haz recorra 2 veces el desplazamiento (retrorreflector: τ = 2Δx/c). Las corrientes ya están puestas según la hoja de pruebas de fábrica: I1 = 5 A (τ0 = 107 fs), I2 = 6 A (76 fs), I3 = 7 A (54 fs).</t>
  </si>
  <si>
    <t>2</t>
  </si>
  <si>
    <t>Registro piloto: el orden de las 15 trazas ya está sorteado (5 por corriente). Medir en ese orden.</t>
  </si>
  <si>
    <t>Durante el piloto</t>
  </si>
  <si>
    <t>3</t>
  </si>
  <si>
    <t>En la hoja Rk (k = número de la traza en el Registro), escribir desde la fila 2 la posición del micrómetro (columna A, en µm) y la potencia óptica (columna B, en W), una lectura por fila, en orden de posición. Con el montaje actual son unas 20 lecturas (16–17 en la zona de solapamiento y 2 por ala); caben hasta 300. La guía de muestreo (Configuración, numeral 7) da el paso y la posición de las alas para cada corriente.</t>
  </si>
  <si>
    <t>4</t>
  </si>
  <si>
    <t>Mirar el Estado de la traza (celda M20) y las dos gráficas a la derecha. «OK» = la traza se procesó bien. Un «Aviso» no invalida la traza pero va al informe; un «Revisar» hay que mirarlo antes de seguir.</t>
  </si>
  <si>
    <t>5</t>
  </si>
  <si>
    <t>En el Registro, anotar la hora de inicio y de fin (hh:mm), la potencia media del láser en mW y, si la traza se descarta por una causa anotada, «No» y la causa.</t>
  </si>
  <si>
    <t>Al terminar (sábado por la noche)</t>
  </si>
  <si>
    <t>6</t>
  </si>
  <si>
    <t>Resumen piloto: media, S y CV de τp por corriente y las gráficas de puntos y de τp contra el orden.</t>
  </si>
  <si>
    <t>7</t>
  </si>
  <si>
    <t>Configuración, numeral 5: llenar los datos del fabricante que se tengan (si no hay ninguno, δ = 10 fs). Revisar también las horas útiles por día.</t>
  </si>
  <si>
    <t>8</t>
  </si>
  <si>
    <t>Réplicas: el n por corriente sale solo (σ = 1,56·S mayor, δ por la regla, α = 0,05, potencia 0,90). Elegir 3 o 4 días en la celda B37 y revisar si caben y el δ detectable.</t>
  </si>
  <si>
    <t>9</t>
  </si>
  <si>
    <t>Plan semana: orden sorteado de cada día. Copiarlo como valores a las hojas de registro de la semana.</t>
  </si>
  <si>
    <t>Cómo se calcula τp en cada traza</t>
  </si>
  <si>
    <t>·</t>
  </si>
  <si>
    <t>Retardo τ = (pasos × desplazamiento en metros / c) × 10¹⁵ fs; con 2 pasos, 6,67 fs por cada µm del micrómetro.</t>
  </si>
  <si>
    <t>Se resta el fondo (promedio de los primeros y últimos N puntos), se normaliza al máximo y se buscan los dos cruces a 0,5 más cercanos al pico, interpolando linealmente entre puntos.</t>
  </si>
  <si>
    <t>Δτ_AC = distancia entre los cruces; τp = 0,65 × Δτ_AC (factor de Calmar, sech²). Es el ancho a media altura medido directamente, sin ajuste por mínimos cuadrados. Con 20 lecturas según la guía (≈ 6 dentro del ancho) la simulación da un sesgo de +0,4 a +0,9 fs (igual para todas las trazas de una corriente), frente a una dispersión de 0,7 a 1,6 fs entre trazas.</t>
  </si>
  <si>
    <t>El número de réplicas usa la aproximación normal de la t no central; se comparó con el cálculo exacto (scipy) para d entre 0,3 y 4: da el mismo n en 147 de 148 casos (el otro difiere en 1). Confirmar el resultado final en Minitab.</t>
  </si>
  <si>
    <t>Colores</t>
  </si>
  <si>
    <t>Amarillo con letra azul = se escribe. Verde = resultado clave. Letra verde = viene de otra hoja. Gris = cálculo intermedio. La hoja Ejemplo tiene una traza manual simulada de 54 fs (7 A) para ver cómo debe quedar.</t>
  </si>
</sst>
</file>

<file path=xl/styles.xml><?xml version="1.0" encoding="utf-8"?>
<styleSheet xmlns="http://schemas.openxmlformats.org/spreadsheetml/2006/main">
  <numFmts count="6">
    <numFmt numFmtId="164" formatCode="0E+00"/>
    <numFmt numFmtId="165" formatCode="0.0000"/>
    <numFmt numFmtId="166" formatCode="0.00"/>
    <numFmt numFmtId="167" formatCode="0.000"/>
    <numFmt numFmtId="168" formatCode="hh:mm"/>
    <numFmt numFmtId="169" formatCode="0.00E+00"/>
  </numFmts>
  <fonts count="13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80808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7" fillId="3" borderId="2" xfId="0" applyFont="1" applyFill="1" applyBorder="1" applyAlignment="1">
      <alignment vertical="center"/>
    </xf>
    <xf numFmtId="1" fontId="5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" fontId="7" fillId="3" borderId="2" xfId="0" applyNumberFormat="1" applyFont="1" applyFill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8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166" fontId="9" fillId="0" borderId="0" xfId="0" applyNumberFormat="1" applyFont="1" applyAlignment="1">
      <alignment vertical="center"/>
    </xf>
    <xf numFmtId="166" fontId="10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2" xfId="0" applyFont="1" applyBorder="1" applyAlignment="1">
      <alignment vertical="center" wrapText="1"/>
    </xf>
    <xf numFmtId="1" fontId="10" fillId="4" borderId="3" xfId="0" applyNumberFormat="1" applyFont="1" applyFill="1" applyBorder="1" applyAlignment="1">
      <alignment vertical="center"/>
    </xf>
    <xf numFmtId="1" fontId="12" fillId="3" borderId="3" xfId="0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166" fontId="5" fillId="5" borderId="2" xfId="0" applyNumberFormat="1" applyFont="1" applyFill="1" applyBorder="1" applyAlignment="1">
      <alignment vertical="center"/>
    </xf>
    <xf numFmtId="167" fontId="5" fillId="5" borderId="2" xfId="0" applyNumberFormat="1" applyFont="1" applyFill="1" applyBorder="1" applyAlignment="1">
      <alignment vertical="center"/>
    </xf>
    <xf numFmtId="169" fontId="5" fillId="0" borderId="2" xfId="0" applyNumberFormat="1" applyFont="1" applyBorder="1" applyAlignment="1">
      <alignment vertical="center"/>
    </xf>
    <xf numFmtId="0" fontId="4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Diagrama de puntos: τp por corriente y valor de fábrica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piloto'!$G$5:$G$19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piloto'!$H$5:$H$19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piloto'!$I$5:$I$19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piloto'!$J$5:$J$19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piloto'!$K$5:$K$19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piloto'!$L$5:$L$19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ser>
          <c:idx val="3"/>
          <c:order val="3"/>
          <c:tx>
            <c:v>τ0 fábrica</c:v>
          </c:tx>
          <c:spPr>
            <a:ln w="28575">
              <a:noFill/>
            </a:ln>
          </c:spPr>
          <c:marker>
            <c:symbol val="dash"/>
            <c:size val="14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'Resumen piloto'!$J$22:$J$24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'Resumen piloto'!$H$22:$H$24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Corriente (1 = I1, 2 = I2, 3 = I3)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  <c:majorUnit val="1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τp contra el orden de medición (independencia)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piloto'!$E$5:$E$19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piloto'!$H$5:$H$19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piloto'!$E$5:$E$19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piloto'!$J$5:$J$19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piloto'!$E$5:$E$19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'Resumen piloto'!$L$5:$L$19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Orden de medición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  <c:majorUnit val="1"/>
      </c:val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</c:numCache>
            </c:numRef>
          </c:xVal>
          <c:yVal>
            <c:numRef>
              <c:f>'R01'!$B$2:$B$301</c:f>
              <c:numCache>
                <c:formatCode>General</c:formatCode>
                <c:ptCount val="300"/>
                <c:pt idx="0">
                  <c:v>1e-06</c:v>
                </c:pt>
                <c:pt idx="1">
                  <c:v>1e-06</c:v>
                </c:pt>
                <c:pt idx="2">
                  <c:v>1e-06</c:v>
                </c:pt>
                <c:pt idx="3">
                  <c:v>4e-06</c:v>
                </c:pt>
                <c:pt idx="4">
                  <c:v>1.1193e-06</c:v>
                </c:pt>
                <c:pt idx="5">
                  <c:v>1.9623e-06</c:v>
                </c:pt>
                <c:pt idx="6">
                  <c:v>4.0636e-06</c:v>
                </c:pt>
                <c:pt idx="7">
                  <c:v>1.499e-06</c:v>
                </c:pt>
                <c:pt idx="8">
                  <c:v>2.468e-06</c:v>
                </c:pt>
                <c:pt idx="9">
                  <c:v>2.901e-06</c:v>
                </c:pt>
                <c:pt idx="10">
                  <c:v>2.172e-06</c:v>
                </c:pt>
                <c:pt idx="11">
                  <c:v>1.065e-06</c:v>
                </c:pt>
                <c:pt idx="12">
                  <c:v>3.504e-06</c:v>
                </c:pt>
                <c:pt idx="13">
                  <c:v>2.06e-06</c:v>
                </c:pt>
                <c:pt idx="14">
                  <c:v>8.660000000000001e-07</c:v>
                </c:pt>
                <c:pt idx="15">
                  <c:v>2.796e-07</c:v>
                </c:pt>
                <c:pt idx="16">
                  <c:v>1e-07</c:v>
                </c:pt>
                <c:pt idx="17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'R01'!$I$2:$I$301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'R01'!$J$2:$J$301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'R01'!$L$23:$L$24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'R01'!$M$23:$M$24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'R02'!$B$2:$B$301</c:f>
              <c:numCache>
                <c:formatCode>General</c:formatCode>
                <c:ptCount val="300"/>
                <c:pt idx="0">
                  <c:v>0</c:v>
                </c:pt>
                <c:pt idx="1">
                  <c:v>1.997e-08</c:v>
                </c:pt>
                <c:pt idx="2">
                  <c:v>2.097e-07</c:v>
                </c:pt>
                <c:pt idx="3">
                  <c:v>1.359e-06</c:v>
                </c:pt>
                <c:pt idx="4">
                  <c:v>3.868e-06</c:v>
                </c:pt>
                <c:pt idx="5">
                  <c:v>9.488e-06</c:v>
                </c:pt>
                <c:pt idx="6">
                  <c:v>1.502e-05</c:v>
                </c:pt>
                <c:pt idx="7">
                  <c:v>2.798e-05</c:v>
                </c:pt>
                <c:pt idx="8">
                  <c:v>3.346e-05</c:v>
                </c:pt>
                <c:pt idx="9">
                  <c:v>1.755e-05</c:v>
                </c:pt>
                <c:pt idx="10">
                  <c:v>9.515e-06</c:v>
                </c:pt>
                <c:pt idx="11">
                  <c:v>2.604e-06</c:v>
                </c:pt>
                <c:pt idx="12">
                  <c:v>1.398e-07</c:v>
                </c:pt>
                <c:pt idx="13">
                  <c:v>-1.398e-07</c:v>
                </c:pt>
                <c:pt idx="14">
                  <c:v>-1.398e-07</c:v>
                </c:pt>
                <c:pt idx="15">
                  <c:v>-1.119e-07</c:v>
                </c:pt>
                <c:pt idx="16">
                  <c:v>5.593e-08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'R02'!$I$2:$I$301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'R02'!$J$2:$J$301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'R02'!$L$23:$L$24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'R02'!$M$23:$M$24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'R03'!$B$2:$B$301</c:f>
              <c:numCache>
                <c:formatCode>General</c:formatCode>
                <c:ptCount val="300"/>
                <c:pt idx="0">
                  <c:v>0</c:v>
                </c:pt>
                <c:pt idx="1">
                  <c:v>-8.389000000000001e-08</c:v>
                </c:pt>
                <c:pt idx="2">
                  <c:v>1.258e-07</c:v>
                </c:pt>
                <c:pt idx="3">
                  <c:v>1.372e-06</c:v>
                </c:pt>
                <c:pt idx="4">
                  <c:v>3.587e-06</c:v>
                </c:pt>
                <c:pt idx="5">
                  <c:v>1.186e-05</c:v>
                </c:pt>
                <c:pt idx="6">
                  <c:v>2.638e-05</c:v>
                </c:pt>
                <c:pt idx="7">
                  <c:v>3.493e-05</c:v>
                </c:pt>
                <c:pt idx="8">
                  <c:v>3.271e-05</c:v>
                </c:pt>
                <c:pt idx="9">
                  <c:v>1.973e-05</c:v>
                </c:pt>
                <c:pt idx="10">
                  <c:v>7.048e-06</c:v>
                </c:pt>
                <c:pt idx="11">
                  <c:v>8.389e-07</c:v>
                </c:pt>
                <c:pt idx="12">
                  <c:v>0</c:v>
                </c:pt>
                <c:pt idx="13">
                  <c:v>-1.275e-07</c:v>
                </c:pt>
                <c:pt idx="14">
                  <c:v>-3.817e-07</c:v>
                </c:pt>
                <c:pt idx="15">
                  <c:v>-3.534e-07</c:v>
                </c:pt>
                <c:pt idx="16">
                  <c:v>-1.419e-07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'R03'!$I$2:$I$301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'R03'!$J$2:$J$301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'R03'!$L$23:$L$24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'R03'!$M$23:$M$24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'R04'!$B$2:$B$301</c:f>
              <c:numCache>
                <c:formatCode>General</c:formatCode>
                <c:ptCount val="300"/>
                <c:pt idx="0">
                  <c:v>0</c:v>
                </c:pt>
                <c:pt idx="1">
                  <c:v>1.419e-07</c:v>
                </c:pt>
                <c:pt idx="2">
                  <c:v>6.193999999999999e-07</c:v>
                </c:pt>
                <c:pt idx="3">
                  <c:v>1.502e-06</c:v>
                </c:pt>
                <c:pt idx="4">
                  <c:v>3.129e-06</c:v>
                </c:pt>
                <c:pt idx="5">
                  <c:v>1.168e-05</c:v>
                </c:pt>
                <c:pt idx="6">
                  <c:v>2.052e-05</c:v>
                </c:pt>
                <c:pt idx="7">
                  <c:v>3.11e-05</c:v>
                </c:pt>
                <c:pt idx="8">
                  <c:v>2.869e-05</c:v>
                </c:pt>
                <c:pt idx="9">
                  <c:v>1.714e-05</c:v>
                </c:pt>
                <c:pt idx="10">
                  <c:v>8.297999999999999e-06</c:v>
                </c:pt>
                <c:pt idx="11">
                  <c:v>1.907e-06</c:v>
                </c:pt>
                <c:pt idx="12">
                  <c:v>8.991e-07</c:v>
                </c:pt>
                <c:pt idx="13">
                  <c:v>2.669e-07</c:v>
                </c:pt>
                <c:pt idx="14">
                  <c:v>-5.593e-08</c:v>
                </c:pt>
                <c:pt idx="15">
                  <c:v>-1.119e-07</c:v>
                </c:pt>
                <c:pt idx="16">
                  <c:v>-5.593e-08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'R04'!$I$2:$I$301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'R04'!$J$2:$J$301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'R04'!$L$23:$L$24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'R04'!$M$23:$M$24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'R05'!$B$2:$B$301</c:f>
              <c:numCache>
                <c:formatCode>General</c:formatCode>
                <c:ptCount val="300"/>
                <c:pt idx="0">
                  <c:v>0</c:v>
                </c:pt>
                <c:pt idx="1">
                  <c:v>6.214e-08</c:v>
                </c:pt>
                <c:pt idx="2">
                  <c:v>2.656e-07</c:v>
                </c:pt>
                <c:pt idx="3">
                  <c:v>1.247e-06</c:v>
                </c:pt>
                <c:pt idx="4">
                  <c:v>3.546e-06</c:v>
                </c:pt>
                <c:pt idx="5">
                  <c:v>1.206e-05</c:v>
                </c:pt>
                <c:pt idx="6">
                  <c:v>2.81e-05</c:v>
                </c:pt>
                <c:pt idx="7">
                  <c:v>3.712e-05</c:v>
                </c:pt>
                <c:pt idx="8">
                  <c:v>3.323e-05</c:v>
                </c:pt>
                <c:pt idx="9">
                  <c:v>2.06e-05</c:v>
                </c:pt>
                <c:pt idx="10">
                  <c:v>6.966e-06</c:v>
                </c:pt>
                <c:pt idx="11">
                  <c:v>1.837e-06</c:v>
                </c:pt>
                <c:pt idx="12">
                  <c:v>7.156e-07</c:v>
                </c:pt>
                <c:pt idx="13">
                  <c:v>2.101e-07</c:v>
                </c:pt>
                <c:pt idx="14">
                  <c:v>0</c:v>
                </c:pt>
                <c:pt idx="15">
                  <c:v>6.991e-08</c:v>
                </c:pt>
                <c:pt idx="16">
                  <c:v>3.076e-07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'R05'!$I$2:$I$301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'R05'!$J$2:$J$301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'R05'!$L$23:$L$24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'R05'!$M$23:$M$24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'R06'!$A$2:$A$301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'R06'!$B$2:$B$301</c:f>
              <c:numCache>
                <c:formatCode>General</c:formatCode>
                <c:ptCount val="300"/>
                <c:pt idx="0">
                  <c:v>-4.079e-06</c:v>
                </c:pt>
                <c:pt idx="1">
                  <c:v>-9.944e-07</c:v>
                </c:pt>
                <c:pt idx="2">
                  <c:v>4.08e-07</c:v>
                </c:pt>
                <c:pt idx="3">
                  <c:v>1.122e-06</c:v>
                </c:pt>
                <c:pt idx="4">
                  <c:v>3.197e-06</c:v>
                </c:pt>
                <c:pt idx="5">
                  <c:v>7.36e-06</c:v>
                </c:pt>
                <c:pt idx="6">
                  <c:v>1.971e-05</c:v>
                </c:pt>
                <c:pt idx="7">
                  <c:v>2.784e-05</c:v>
                </c:pt>
                <c:pt idx="8">
                  <c:v>2.617e-05</c:v>
                </c:pt>
                <c:pt idx="9">
                  <c:v>1.358e-05</c:v>
                </c:pt>
                <c:pt idx="10">
                  <c:v>7.177e-06</c:v>
                </c:pt>
                <c:pt idx="11">
                  <c:v>2.159e-06</c:v>
                </c:pt>
                <c:pt idx="12">
                  <c:v>9.540000000000001e-07</c:v>
                </c:pt>
                <c:pt idx="13">
                  <c:v>2.527e-07</c:v>
                </c:pt>
                <c:pt idx="14">
                  <c:v>-2.775e-08</c:v>
                </c:pt>
                <c:pt idx="15">
                  <c:v>-1.538e-07</c:v>
                </c:pt>
                <c:pt idx="16">
                  <c:v>-1.957e-07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'R06'!$I$2:$I$301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'R06'!$J$2:$J$301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'R06'!$L$23:$L$24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'R06'!$M$23:$M$24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'R07'!$A$2:$A$301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'R07'!$B$2:$B$301</c:f>
              <c:numCache>
                <c:formatCode>General</c:formatCode>
                <c:ptCount val="300"/>
                <c:pt idx="0">
                  <c:v>-8.389000000000001e-08</c:v>
                </c:pt>
                <c:pt idx="1">
                  <c:v>1.462e-08</c:v>
                </c:pt>
                <c:pt idx="2">
                  <c:v>2.671e-07</c:v>
                </c:pt>
                <c:pt idx="3">
                  <c:v>1.024e-06</c:v>
                </c:pt>
                <c:pt idx="4">
                  <c:v>3.098e-06</c:v>
                </c:pt>
                <c:pt idx="5">
                  <c:v>1.043e-05</c:v>
                </c:pt>
                <c:pt idx="6">
                  <c:v>1.996e-05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'R07'!$I$2:$I$301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'R07'!$J$2:$J$301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'R07'!$L$23:$L$24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'R07'!$M$23:$M$24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'R08'!$A$2:$A$301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'R08'!$B$2:$B$301</c:f>
              <c:numCache>
                <c:formatCode>General</c:formatCode>
                <c:ptCount val="300"/>
                <c:pt idx="0">
                  <c:v>1.398e-07</c:v>
                </c:pt>
                <c:pt idx="1">
                  <c:v>2.517e-07</c:v>
                </c:pt>
                <c:pt idx="2">
                  <c:v>6.991e-07</c:v>
                </c:pt>
                <c:pt idx="3">
                  <c:v>2.521e-06</c:v>
                </c:pt>
                <c:pt idx="4">
                  <c:v>6.602e-06</c:v>
                </c:pt>
                <c:pt idx="5">
                  <c:v>2.033e-05</c:v>
                </c:pt>
                <c:pt idx="6">
                  <c:v>3.533e-05</c:v>
                </c:pt>
                <c:pt idx="7">
                  <c:v>4.015e-05</c:v>
                </c:pt>
                <c:pt idx="8">
                  <c:v>3.067e-05</c:v>
                </c:pt>
                <c:pt idx="9">
                  <c:v>1.458e-05</c:v>
                </c:pt>
                <c:pt idx="10">
                  <c:v>4.329e-06</c:v>
                </c:pt>
                <c:pt idx="11">
                  <c:v>1.682e-06</c:v>
                </c:pt>
                <c:pt idx="12">
                  <c:v>4.194e-07</c:v>
                </c:pt>
                <c:pt idx="13">
                  <c:v>1.398e-07</c:v>
                </c:pt>
                <c:pt idx="14">
                  <c:v>1.398e-07</c:v>
                </c:pt>
                <c:pt idx="15">
                  <c:v>2.796e-07</c:v>
                </c:pt>
                <c:pt idx="16">
                  <c:v>5.313e-07</c:v>
                </c:pt>
              </c:numCache>
            </c:numRef>
          </c:yVal>
        </c:ser>
        <c:axId val="50170001"/>
        <c:axId val="50170002"/>
      </c:scatterChart>
      <c:val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'R08'!$I$2:$I$301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'R08'!$J$2:$J$301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'R08'!$L$23:$L$24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'R08'!$M$23:$M$24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180001"/>
        <c:axId val="50180002"/>
      </c:scatterChart>
      <c:val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'R09'!$A$2:$A$301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'R09'!$B$2:$B$301</c:f>
              <c:numCache>
                <c:formatCode>General</c:formatCode>
                <c:ptCount val="300"/>
                <c:pt idx="0">
                  <c:v>0</c:v>
                </c:pt>
                <c:pt idx="1">
                  <c:v>4.614e-07</c:v>
                </c:pt>
                <c:pt idx="2">
                  <c:v>1.626e-06</c:v>
                </c:pt>
                <c:pt idx="3">
                  <c:v>3.783e-06</c:v>
                </c:pt>
                <c:pt idx="4">
                  <c:v>7.974e-06</c:v>
                </c:pt>
                <c:pt idx="5">
                  <c:v>1.491e-05</c:v>
                </c:pt>
                <c:pt idx="6">
                  <c:v>2.229e-05</c:v>
                </c:pt>
                <c:pt idx="7">
                  <c:v>2.307e-05</c:v>
                </c:pt>
                <c:pt idx="8">
                  <c:v>1.961e-05</c:v>
                </c:pt>
                <c:pt idx="9">
                  <c:v>1.274e-05</c:v>
                </c:pt>
                <c:pt idx="10">
                  <c:v>7.133e-06</c:v>
                </c:pt>
                <c:pt idx="11">
                  <c:v>3.153e-06</c:v>
                </c:pt>
                <c:pt idx="12">
                  <c:v>1.163e-06</c:v>
                </c:pt>
                <c:pt idx="13">
                  <c:v>2.796e-07</c:v>
                </c:pt>
                <c:pt idx="14">
                  <c:v>-1.54e-07</c:v>
                </c:pt>
                <c:pt idx="15">
                  <c:v>-2.957e-07</c:v>
                </c:pt>
                <c:pt idx="16">
                  <c:v>-4.216e-07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'R09'!$I$2:$I$301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'R09'!$J$2:$J$301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'R09'!$L$23:$L$24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'R09'!$M$23:$M$24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200001"/>
        <c:axId val="50200002"/>
      </c:scatterChart>
      <c:val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'R10'!$A$2:$A$301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'R10'!$B$2:$B$301</c:f>
              <c:numCache>
                <c:formatCode>General</c:formatCode>
                <c:ptCount val="300"/>
                <c:pt idx="0">
                  <c:v>0</c:v>
                </c:pt>
                <c:pt idx="1">
                  <c:v>5.046e-07</c:v>
                </c:pt>
                <c:pt idx="2">
                  <c:v>1.808e-06</c:v>
                </c:pt>
                <c:pt idx="3">
                  <c:v>3.897e-06</c:v>
                </c:pt>
                <c:pt idx="4">
                  <c:v>8.718e-06</c:v>
                </c:pt>
                <c:pt idx="5">
                  <c:v>1.568e-05</c:v>
                </c:pt>
                <c:pt idx="6">
                  <c:v>2.146e-05</c:v>
                </c:pt>
                <c:pt idx="7">
                  <c:v>2.357e-05</c:v>
                </c:pt>
                <c:pt idx="8">
                  <c:v>1.989e-05</c:v>
                </c:pt>
                <c:pt idx="9">
                  <c:v>1.162e-05</c:v>
                </c:pt>
                <c:pt idx="10">
                  <c:v>7.008e-06</c:v>
                </c:pt>
                <c:pt idx="11">
                  <c:v>2.761e-06</c:v>
                </c:pt>
                <c:pt idx="12">
                  <c:v>1.107e-06</c:v>
                </c:pt>
                <c:pt idx="13">
                  <c:v>6.991e-08</c:v>
                </c:pt>
                <c:pt idx="14">
                  <c:v>-2.656e-07</c:v>
                </c:pt>
                <c:pt idx="15">
                  <c:v>-4.356e-07</c:v>
                </c:pt>
                <c:pt idx="16">
                  <c:v>-5.614e-07</c:v>
                </c:pt>
              </c:numCache>
            </c:numRef>
          </c:yVal>
        </c:ser>
        <c:axId val="50210001"/>
        <c:axId val="50210002"/>
      </c:scatterChart>
      <c:val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'R10'!$I$2:$I$301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'R10'!$J$2:$J$301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'R10'!$L$23:$L$24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'R10'!$M$23:$M$24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'R11'!$B$2:$B$301</c:f>
              <c:numCache>
                <c:formatCode>General</c:formatCode>
                <c:ptCount val="300"/>
                <c:pt idx="0">
                  <c:v>-5.593e-08</c:v>
                </c:pt>
                <c:pt idx="1">
                  <c:v>5.472e-07</c:v>
                </c:pt>
                <c:pt idx="2">
                  <c:v>1.584e-06</c:v>
                </c:pt>
                <c:pt idx="3">
                  <c:v>4.093e-06</c:v>
                </c:pt>
                <c:pt idx="4">
                  <c:v>8.704e-06</c:v>
                </c:pt>
                <c:pt idx="5">
                  <c:v>1.494e-05</c:v>
                </c:pt>
                <c:pt idx="6">
                  <c:v>2.179e-05</c:v>
                </c:pt>
                <c:pt idx="7">
                  <c:v>2.35e-05</c:v>
                </c:pt>
                <c:pt idx="8">
                  <c:v>1.922e-05</c:v>
                </c:pt>
                <c:pt idx="9">
                  <c:v>1.214e-05</c:v>
                </c:pt>
                <c:pt idx="10">
                  <c:v>6.027e-06</c:v>
                </c:pt>
                <c:pt idx="11">
                  <c:v>2.663e-06</c:v>
                </c:pt>
                <c:pt idx="12">
                  <c:v>9.809e-07</c:v>
                </c:pt>
                <c:pt idx="13">
                  <c:v>1.398e-07</c:v>
                </c:pt>
                <c:pt idx="14">
                  <c:v>-2.656e-07</c:v>
                </c:pt>
                <c:pt idx="15">
                  <c:v>-4.216e-07</c:v>
                </c:pt>
                <c:pt idx="16">
                  <c:v>-5.614e-07</c:v>
                </c:pt>
              </c:numCache>
            </c:numRef>
          </c:yVal>
        </c:ser>
        <c:axId val="50230001"/>
        <c:axId val="50230002"/>
      </c:scatterChart>
      <c:val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'R11'!$I$2:$I$301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'R11'!$J$2:$J$301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'R11'!$L$23:$L$24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'R11'!$M$23:$M$24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240001"/>
        <c:axId val="50240002"/>
      </c:scatterChart>
      <c:val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'R12'!$B$2:$B$301</c:f>
              <c:numCache>
                <c:formatCode>General</c:formatCode>
                <c:ptCount val="300"/>
                <c:pt idx="0">
                  <c:v>-5.894e-07</c:v>
                </c:pt>
                <c:pt idx="1">
                  <c:v>-5.334000000000001e-07</c:v>
                </c:pt>
                <c:pt idx="2">
                  <c:v>-4.635e-07</c:v>
                </c:pt>
                <c:pt idx="3">
                  <c:v>-4.356e-07</c:v>
                </c:pt>
                <c:pt idx="4">
                  <c:v>-2.796e-07</c:v>
                </c:pt>
                <c:pt idx="5">
                  <c:v>-1.258e-07</c:v>
                </c:pt>
                <c:pt idx="6">
                  <c:v>4.904e-07</c:v>
                </c:pt>
                <c:pt idx="7">
                  <c:v>1.682e-06</c:v>
                </c:pt>
                <c:pt idx="8">
                  <c:v>4.191e-06</c:v>
                </c:pt>
                <c:pt idx="9">
                  <c:v>8.914e-06</c:v>
                </c:pt>
                <c:pt idx="10">
                  <c:v>1.547e-05</c:v>
                </c:pt>
                <c:pt idx="11">
                  <c:v>2.233e-05</c:v>
                </c:pt>
                <c:pt idx="12">
                  <c:v>2.345e-05</c:v>
                </c:pt>
                <c:pt idx="13">
                  <c:v>1.927e-05</c:v>
                </c:pt>
                <c:pt idx="14">
                  <c:v>1.21e-05</c:v>
                </c:pt>
                <c:pt idx="15">
                  <c:v>6.195e-06</c:v>
                </c:pt>
                <c:pt idx="16">
                  <c:v>2.621e-06</c:v>
                </c:pt>
                <c:pt idx="17">
                  <c:v>1.023e-06</c:v>
                </c:pt>
                <c:pt idx="18">
                  <c:v>1.398e-07</c:v>
                </c:pt>
                <c:pt idx="19">
                  <c:v>-3.08e-07</c:v>
                </c:pt>
                <c:pt idx="20">
                  <c:v>-4.635e-07</c:v>
                </c:pt>
                <c:pt idx="21">
                  <c:v>-5.334000000000001e-07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'R12'!$I$2:$I$301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'R12'!$J$2:$J$301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'R12'!$L$23:$L$24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'R12'!$M$23:$M$24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260001"/>
        <c:axId val="50260002"/>
      </c:scatterChart>
      <c:val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'R13'!$B$2:$B$301</c:f>
              <c:numCache>
                <c:formatCode>General</c:formatCode>
                <c:ptCount val="300"/>
                <c:pt idx="0">
                  <c:v>-2.796e-07</c:v>
                </c:pt>
                <c:pt idx="1">
                  <c:v>-8.389000000000001e-08</c:v>
                </c:pt>
                <c:pt idx="2">
                  <c:v>5.593e-08</c:v>
                </c:pt>
                <c:pt idx="3">
                  <c:v>0</c:v>
                </c:pt>
                <c:pt idx="4">
                  <c:v>-1.538e-07</c:v>
                </c:pt>
                <c:pt idx="5">
                  <c:v>-2.796e-07</c:v>
                </c:pt>
                <c:pt idx="6">
                  <c:v>-1.398e-07</c:v>
                </c:pt>
                <c:pt idx="7">
                  <c:v>4.194e-07</c:v>
                </c:pt>
                <c:pt idx="8">
                  <c:v>2.409e-06</c:v>
                </c:pt>
                <c:pt idx="9">
                  <c:v>7.399e-06</c:v>
                </c:pt>
                <c:pt idx="10">
                  <c:v>2.017e-05</c:v>
                </c:pt>
                <c:pt idx="11">
                  <c:v>3.574e-05</c:v>
                </c:pt>
                <c:pt idx="12">
                  <c:v>3.978e-05</c:v>
                </c:pt>
                <c:pt idx="13">
                  <c:v>2.893e-05</c:v>
                </c:pt>
                <c:pt idx="14">
                  <c:v>1.177e-05</c:v>
                </c:pt>
                <c:pt idx="15">
                  <c:v>3.951e-06</c:v>
                </c:pt>
                <c:pt idx="16">
                  <c:v>9.783e-07</c:v>
                </c:pt>
                <c:pt idx="17">
                  <c:v>0</c:v>
                </c:pt>
                <c:pt idx="18">
                  <c:v>-2.796e-07</c:v>
                </c:pt>
                <c:pt idx="19">
                  <c:v>-2.796e-07</c:v>
                </c:pt>
                <c:pt idx="20">
                  <c:v>-1.398e-07</c:v>
                </c:pt>
                <c:pt idx="21">
                  <c:v>4.194e-08</c:v>
                </c:pt>
              </c:numCache>
            </c:numRef>
          </c:yVal>
        </c:ser>
        <c:axId val="50270001"/>
        <c:axId val="50270002"/>
      </c:scatterChart>
      <c:val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'R13'!$I$2:$I$301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'R13'!$J$2:$J$301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'R13'!$L$23:$L$24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'R13'!$M$23:$M$24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280001"/>
        <c:axId val="50280002"/>
      </c:scatterChart>
      <c:val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'R14'!$B$2:$B$301</c:f>
              <c:numCache>
                <c:formatCode>General</c:formatCode>
                <c:ptCount val="300"/>
                <c:pt idx="0">
                  <c:v>1.398e-08</c:v>
                </c:pt>
                <c:pt idx="1">
                  <c:v>5.59e-08</c:v>
                </c:pt>
                <c:pt idx="2">
                  <c:v>0</c:v>
                </c:pt>
                <c:pt idx="3">
                  <c:v>1.538e-07</c:v>
                </c:pt>
                <c:pt idx="4">
                  <c:v>1.678e-07</c:v>
                </c:pt>
                <c:pt idx="5">
                  <c:v>5.754e-07</c:v>
                </c:pt>
                <c:pt idx="6">
                  <c:v>1.079e-06</c:v>
                </c:pt>
                <c:pt idx="7">
                  <c:v>2.201e-06</c:v>
                </c:pt>
                <c:pt idx="8">
                  <c:v>4.345e-06</c:v>
                </c:pt>
                <c:pt idx="9">
                  <c:v>8.661999999999999e-06</c:v>
                </c:pt>
                <c:pt idx="10">
                  <c:v>1.611e-05</c:v>
                </c:pt>
                <c:pt idx="11">
                  <c:v>2.244e-05</c:v>
                </c:pt>
                <c:pt idx="12">
                  <c:v>2.47e-05</c:v>
                </c:pt>
                <c:pt idx="13">
                  <c:v>1.992e-05</c:v>
                </c:pt>
                <c:pt idx="14">
                  <c:v>1.308e-05</c:v>
                </c:pt>
                <c:pt idx="15">
                  <c:v>6.027e-06</c:v>
                </c:pt>
                <c:pt idx="16">
                  <c:v>3.21e-07</c:v>
                </c:pt>
                <c:pt idx="17">
                  <c:v>1.696e-06</c:v>
                </c:pt>
                <c:pt idx="18">
                  <c:v>7.152000000000001e-07</c:v>
                </c:pt>
                <c:pt idx="19">
                  <c:v>2.938e-07</c:v>
                </c:pt>
                <c:pt idx="20">
                  <c:v>6.991e-08</c:v>
                </c:pt>
                <c:pt idx="21">
                  <c:v>2.796e-08</c:v>
                </c:pt>
              </c:numCache>
            </c:numRef>
          </c:yVal>
        </c:ser>
        <c:axId val="50290001"/>
        <c:axId val="50290002"/>
      </c:scatterChart>
      <c:val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'R14'!$I$2:$I$301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'R14'!$J$2:$J$301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'R14'!$L$23:$L$24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'R14'!$M$23:$M$24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300001"/>
        <c:axId val="50300002"/>
      </c:scatterChart>
      <c:val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'R15'!$B$2:$B$301</c:f>
              <c:numCache>
                <c:formatCode>General</c:formatCode>
                <c:ptCount val="300"/>
                <c:pt idx="0">
                  <c:v>-1.4e-08</c:v>
                </c:pt>
                <c:pt idx="1">
                  <c:v>-1.398e-08</c:v>
                </c:pt>
                <c:pt idx="2">
                  <c:v>0</c:v>
                </c:pt>
                <c:pt idx="3">
                  <c:v>0</c:v>
                </c:pt>
                <c:pt idx="4">
                  <c:v>-1.398e-08</c:v>
                </c:pt>
                <c:pt idx="5">
                  <c:v>0</c:v>
                </c:pt>
                <c:pt idx="6">
                  <c:v>2.796e-07</c:v>
                </c:pt>
                <c:pt idx="7">
                  <c:v>9.809e-07</c:v>
                </c:pt>
                <c:pt idx="8">
                  <c:v>1.949e-06</c:v>
                </c:pt>
                <c:pt idx="9">
                  <c:v>5.002e-06</c:v>
                </c:pt>
                <c:pt idx="10">
                  <c:v>1.794e-05</c:v>
                </c:pt>
                <c:pt idx="11">
                  <c:v>3.075e-05</c:v>
                </c:pt>
                <c:pt idx="12">
                  <c:v>3.37e-05</c:v>
                </c:pt>
                <c:pt idx="13">
                  <c:v>2.324e-05</c:v>
                </c:pt>
                <c:pt idx="14">
                  <c:v>1.002e-05</c:v>
                </c:pt>
                <c:pt idx="15">
                  <c:v>3.194e-06</c:v>
                </c:pt>
                <c:pt idx="16">
                  <c:v>1.498e-06</c:v>
                </c:pt>
                <c:pt idx="17">
                  <c:v>5.614e-07</c:v>
                </c:pt>
                <c:pt idx="18">
                  <c:v>1.398e-07</c:v>
                </c:pt>
                <c:pt idx="19">
                  <c:v>-1.398e-08</c:v>
                </c:pt>
                <c:pt idx="20">
                  <c:v>-4.194e-08</c:v>
                </c:pt>
                <c:pt idx="21">
                  <c:v>0</c:v>
                </c:pt>
              </c:numCache>
            </c:numRef>
          </c:yVal>
        </c:ser>
        <c:axId val="50310001"/>
        <c:axId val="50310002"/>
      </c:scatterChart>
      <c:val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'R15'!$I$2:$I$301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'R15'!$J$2:$J$301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'R15'!$L$23:$L$24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'R15'!$M$23:$M$24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320001"/>
        <c:axId val="50320002"/>
      </c:scatterChart>
      <c:val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Ejemplo!$A$2:$A$301</c:f>
              <c:numCache>
                <c:formatCode>General</c:formatCode>
                <c:ptCount val="300"/>
                <c:pt idx="0">
                  <c:v>12463</c:v>
                </c:pt>
                <c:pt idx="1">
                  <c:v>12475</c:v>
                </c:pt>
                <c:pt idx="2">
                  <c:v>12485</c:v>
                </c:pt>
                <c:pt idx="3">
                  <c:v>12487</c:v>
                </c:pt>
                <c:pt idx="4">
                  <c:v>12489</c:v>
                </c:pt>
                <c:pt idx="5">
                  <c:v>12491</c:v>
                </c:pt>
                <c:pt idx="6">
                  <c:v>12493</c:v>
                </c:pt>
                <c:pt idx="7">
                  <c:v>12495</c:v>
                </c:pt>
                <c:pt idx="8">
                  <c:v>12497</c:v>
                </c:pt>
                <c:pt idx="9">
                  <c:v>12499</c:v>
                </c:pt>
                <c:pt idx="10">
                  <c:v>12501</c:v>
                </c:pt>
                <c:pt idx="11">
                  <c:v>12503</c:v>
                </c:pt>
                <c:pt idx="12">
                  <c:v>12505</c:v>
                </c:pt>
                <c:pt idx="13">
                  <c:v>12507</c:v>
                </c:pt>
                <c:pt idx="14">
                  <c:v>12509</c:v>
                </c:pt>
                <c:pt idx="15">
                  <c:v>12511</c:v>
                </c:pt>
                <c:pt idx="16">
                  <c:v>12513</c:v>
                </c:pt>
                <c:pt idx="17">
                  <c:v>12515</c:v>
                </c:pt>
                <c:pt idx="18">
                  <c:v>12525</c:v>
                </c:pt>
                <c:pt idx="19">
                  <c:v>12538</c:v>
                </c:pt>
              </c:numCache>
            </c:numRef>
          </c:xVal>
          <c:yVal>
            <c:numRef>
              <c:f>Ejemplo!$B$2:$B$301</c:f>
              <c:numCache>
                <c:formatCode>General</c:formatCode>
                <c:ptCount val="300"/>
                <c:pt idx="0">
                  <c:v>7.03e-07</c:v>
                </c:pt>
                <c:pt idx="1">
                  <c:v>7.32e-07</c:v>
                </c:pt>
                <c:pt idx="2">
                  <c:v>2.067e-06</c:v>
                </c:pt>
                <c:pt idx="3">
                  <c:v>3.397e-06</c:v>
                </c:pt>
                <c:pt idx="4">
                  <c:v>5.705e-06</c:v>
                </c:pt>
                <c:pt idx="5">
                  <c:v>9.724999999999999e-06</c:v>
                </c:pt>
                <c:pt idx="6">
                  <c:v>1.5852e-05</c:v>
                </c:pt>
                <c:pt idx="7">
                  <c:v>2.2751e-05</c:v>
                </c:pt>
                <c:pt idx="8">
                  <c:v>3.0005e-05</c:v>
                </c:pt>
                <c:pt idx="9">
                  <c:v>3.5301e-05</c:v>
                </c:pt>
                <c:pt idx="10">
                  <c:v>3.5231e-05</c:v>
                </c:pt>
                <c:pt idx="11">
                  <c:v>3.0335e-05</c:v>
                </c:pt>
                <c:pt idx="12">
                  <c:v>2.26e-05</c:v>
                </c:pt>
                <c:pt idx="13">
                  <c:v>1.5533e-05</c:v>
                </c:pt>
                <c:pt idx="14">
                  <c:v>9.818e-06</c:v>
                </c:pt>
                <c:pt idx="15">
                  <c:v>5.675e-06</c:v>
                </c:pt>
                <c:pt idx="16">
                  <c:v>3.397e-06</c:v>
                </c:pt>
                <c:pt idx="17">
                  <c:v>2.035e-06</c:v>
                </c:pt>
                <c:pt idx="18">
                  <c:v>7.21e-07</c:v>
                </c:pt>
                <c:pt idx="19">
                  <c:v>6.81e-07</c:v>
                </c:pt>
              </c:numCache>
            </c:numRef>
          </c:yVal>
        </c:ser>
        <c:axId val="50330001"/>
        <c:axId val="50330002"/>
      </c:scatterChart>
      <c:val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(W)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midCat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Ejemplo!$I$2:$I$301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xVal>
          <c:yVal>
            <c:numRef>
              <c:f>Ejemplo!$J$2:$J$301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Ejemplo!$L$23:$L$24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Ejemplo!$M$23:$M$24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axId val="50340001"/>
        <c:axId val="50340002"/>
      </c:scatterChart>
      <c:val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  <c:max val="1.1"/>
          <c:min val="-0.1"/>
        </c:scaling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285750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13</xdr:col>
      <xdr:colOff>266700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4.7109375" customWidth="1"/>
    <col min="2" max="2" width="110.7109375" customWidth="1"/>
  </cols>
  <sheetData>
    <row r="1" spans="1:2">
      <c r="B1" s="1" t="s">
        <v>295</v>
      </c>
    </row>
    <row r="2" spans="1:2">
      <c r="B2" s="2" t="s">
        <v>296</v>
      </c>
    </row>
    <row r="4" spans="1:2">
      <c r="B4" s="3" t="s">
        <v>297</v>
      </c>
    </row>
    <row r="5" spans="1:2">
      <c r="A5" s="4" t="s">
        <v>298</v>
      </c>
      <c r="B5" s="5" t="s">
        <v>299</v>
      </c>
    </row>
    <row r="6" spans="1:2">
      <c r="A6" s="4" t="s">
        <v>300</v>
      </c>
      <c r="B6" s="5" t="s">
        <v>301</v>
      </c>
    </row>
    <row r="7" spans="1:2">
      <c r="B7" s="3" t="s">
        <v>302</v>
      </c>
    </row>
    <row r="8" spans="1:2">
      <c r="A8" s="4" t="s">
        <v>303</v>
      </c>
      <c r="B8" s="5" t="s">
        <v>304</v>
      </c>
    </row>
    <row r="9" spans="1:2">
      <c r="A9" s="4" t="s">
        <v>305</v>
      </c>
      <c r="B9" s="5" t="s">
        <v>306</v>
      </c>
    </row>
    <row r="10" spans="1:2">
      <c r="A10" s="4" t="s">
        <v>307</v>
      </c>
      <c r="B10" s="5" t="s">
        <v>308</v>
      </c>
    </row>
    <row r="11" spans="1:2">
      <c r="B11" s="3" t="s">
        <v>309</v>
      </c>
    </row>
    <row r="12" spans="1:2">
      <c r="A12" s="4" t="s">
        <v>310</v>
      </c>
      <c r="B12" s="5" t="s">
        <v>311</v>
      </c>
    </row>
    <row r="13" spans="1:2">
      <c r="A13" s="4" t="s">
        <v>312</v>
      </c>
      <c r="B13" s="5" t="s">
        <v>313</v>
      </c>
    </row>
    <row r="14" spans="1:2">
      <c r="A14" s="4" t="s">
        <v>314</v>
      </c>
      <c r="B14" s="5" t="s">
        <v>315</v>
      </c>
    </row>
    <row r="15" spans="1:2">
      <c r="A15" s="4" t="s">
        <v>316</v>
      </c>
      <c r="B15" s="5" t="s">
        <v>317</v>
      </c>
    </row>
    <row r="16" spans="1:2">
      <c r="B16" s="3" t="s">
        <v>318</v>
      </c>
    </row>
    <row r="17" spans="1:2">
      <c r="A17" s="4" t="s">
        <v>319</v>
      </c>
      <c r="B17" s="5" t="s">
        <v>320</v>
      </c>
    </row>
    <row r="18" spans="1:2">
      <c r="A18" s="4" t="s">
        <v>319</v>
      </c>
      <c r="B18" s="5" t="s">
        <v>321</v>
      </c>
    </row>
    <row r="19" spans="1:2">
      <c r="A19" s="4" t="s">
        <v>319</v>
      </c>
      <c r="B19" s="5" t="s">
        <v>322</v>
      </c>
    </row>
    <row r="20" spans="1:2">
      <c r="A20" s="4" t="s">
        <v>319</v>
      </c>
      <c r="B20" s="5" t="s">
        <v>323</v>
      </c>
    </row>
    <row r="21" spans="1:2">
      <c r="B21" s="3" t="s">
        <v>324</v>
      </c>
    </row>
    <row r="22" spans="1:2">
      <c r="A22" s="4" t="s">
        <v>319</v>
      </c>
      <c r="B22" s="5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cols>
    <col min="1" max="1" width="46.7109375" customWidth="1"/>
    <col min="2" max="2" width="16.7109375" customWidth="1"/>
    <col min="3" max="3" width="70.7109375" customWidth="1"/>
    <col min="4" max="5" width="12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6" t="s">
        <v>2</v>
      </c>
      <c r="B4" s="6" t="s">
        <v>3</v>
      </c>
      <c r="C4" s="6" t="s">
        <v>4</v>
      </c>
    </row>
    <row r="5" spans="1:3">
      <c r="A5" s="7" t="s">
        <v>5</v>
      </c>
    </row>
    <row r="6" spans="1:3">
      <c r="A6" s="8" t="s">
        <v>6</v>
      </c>
      <c r="B6" s="9" t="s">
        <v>7</v>
      </c>
      <c r="C6" s="10" t="s">
        <v>8</v>
      </c>
    </row>
    <row r="7" spans="1:3">
      <c r="A7" s="8" t="s">
        <v>9</v>
      </c>
      <c r="B7" s="11">
        <v>2</v>
      </c>
      <c r="C7" s="10" t="s">
        <v>10</v>
      </c>
    </row>
    <row r="8" spans="1:3">
      <c r="A8" s="8" t="s">
        <v>11</v>
      </c>
      <c r="B8" s="12">
        <v>299792458</v>
      </c>
      <c r="C8" s="10" t="s">
        <v>12</v>
      </c>
    </row>
    <row r="9" spans="1:3">
      <c r="A9" s="8" t="s">
        <v>13</v>
      </c>
      <c r="B9" s="13">
        <f>IF(unidad="nm",10^-9,IF(unidad="mm",10^-3,10^-6))</f>
        <v>0</v>
      </c>
      <c r="C9" s="10" t="s">
        <v>14</v>
      </c>
    </row>
    <row r="10" spans="1:3">
      <c r="A10" s="8" t="s">
        <v>15</v>
      </c>
      <c r="B10" s="14">
        <f>pasos*a_metros/c_luz*10^15</f>
        <v>0</v>
      </c>
      <c r="C10" s="10" t="s">
        <v>16</v>
      </c>
    </row>
    <row r="12" spans="1:3">
      <c r="A12" s="7" t="s">
        <v>17</v>
      </c>
    </row>
    <row r="13" spans="1:3">
      <c r="A13" s="8" t="s">
        <v>18</v>
      </c>
      <c r="B13" s="11">
        <v>0.65</v>
      </c>
      <c r="C13" s="10" t="s">
        <v>19</v>
      </c>
    </row>
    <row r="14" spans="1:3">
      <c r="A14" s="8" t="s">
        <v>20</v>
      </c>
      <c r="B14" s="11" t="s">
        <v>21</v>
      </c>
      <c r="C14" s="10" t="s">
        <v>22</v>
      </c>
    </row>
    <row r="15" spans="1:3">
      <c r="A15" s="8" t="s">
        <v>23</v>
      </c>
      <c r="B15" s="15">
        <v>2</v>
      </c>
      <c r="C15" s="10" t="s">
        <v>24</v>
      </c>
    </row>
    <row r="16" spans="1:3">
      <c r="A16" s="8" t="s">
        <v>25</v>
      </c>
      <c r="B16" s="15">
        <v>1</v>
      </c>
      <c r="C16" s="10" t="s">
        <v>26</v>
      </c>
    </row>
    <row r="17" spans="1:3">
      <c r="A17" s="8" t="s">
        <v>27</v>
      </c>
      <c r="B17" s="12">
        <f>INT((MAX(1,ventana)-1)/2)</f>
        <v>0</v>
      </c>
      <c r="C17" s="10" t="s">
        <v>28</v>
      </c>
    </row>
    <row r="18" spans="1:3">
      <c r="A18" s="8" t="s">
        <v>29</v>
      </c>
      <c r="B18" s="15">
        <v>5</v>
      </c>
      <c r="C18" s="10" t="s">
        <v>30</v>
      </c>
    </row>
    <row r="19" spans="1:3">
      <c r="A19" s="8" t="s">
        <v>31</v>
      </c>
      <c r="B19" s="11">
        <v>2</v>
      </c>
      <c r="C19" s="10" t="s">
        <v>32</v>
      </c>
    </row>
    <row r="20" spans="1:3">
      <c r="A20" s="8" t="s">
        <v>33</v>
      </c>
      <c r="B20" s="15">
        <v>16</v>
      </c>
      <c r="C20" s="10" t="s">
        <v>34</v>
      </c>
    </row>
    <row r="21" spans="1:3">
      <c r="A21" s="8" t="s">
        <v>35</v>
      </c>
      <c r="B21" s="11">
        <v>1.5</v>
      </c>
      <c r="C21" s="10" t="s">
        <v>36</v>
      </c>
    </row>
    <row r="22" spans="1:3">
      <c r="A22" s="8" t="s">
        <v>37</v>
      </c>
      <c r="B22" s="11">
        <v>1</v>
      </c>
      <c r="C22" s="10" t="s">
        <v>38</v>
      </c>
    </row>
    <row r="24" spans="1:3">
      <c r="A24" s="7" t="s">
        <v>39</v>
      </c>
    </row>
    <row r="25" spans="1:3">
      <c r="A25" s="8" t="s">
        <v>40</v>
      </c>
      <c r="B25" s="11">
        <v>5</v>
      </c>
      <c r="C25" s="10" t="s">
        <v>41</v>
      </c>
    </row>
    <row r="26" spans="1:3">
      <c r="A26" s="8" t="s">
        <v>42</v>
      </c>
      <c r="B26" s="11">
        <v>6</v>
      </c>
      <c r="C26" s="10" t="s">
        <v>41</v>
      </c>
    </row>
    <row r="27" spans="1:3">
      <c r="A27" s="8" t="s">
        <v>43</v>
      </c>
      <c r="B27" s="11">
        <v>7</v>
      </c>
      <c r="C27" s="10" t="s">
        <v>41</v>
      </c>
    </row>
    <row r="29" spans="1:3">
      <c r="A29" s="7" t="s">
        <v>44</v>
      </c>
    </row>
    <row r="30" spans="1:3">
      <c r="A30" s="8" t="s">
        <v>45</v>
      </c>
      <c r="B30" s="11">
        <v>0.05</v>
      </c>
      <c r="C30" s="10" t="s">
        <v>46</v>
      </c>
    </row>
    <row r="31" spans="1:3">
      <c r="A31" s="8" t="s">
        <v>47</v>
      </c>
      <c r="B31" s="11">
        <v>0.9</v>
      </c>
      <c r="C31" s="10" t="s">
        <v>48</v>
      </c>
    </row>
    <row r="32" spans="1:3">
      <c r="A32" s="8" t="s">
        <v>49</v>
      </c>
      <c r="B32" s="15">
        <v>2</v>
      </c>
      <c r="C32" s="10" t="s">
        <v>50</v>
      </c>
    </row>
    <row r="33" spans="1:4">
      <c r="A33" s="8" t="s">
        <v>51</v>
      </c>
      <c r="B33" s="11">
        <v>0.8</v>
      </c>
      <c r="C33" s="10" t="s">
        <v>52</v>
      </c>
    </row>
    <row r="34" spans="1:4">
      <c r="A34" s="8" t="s">
        <v>53</v>
      </c>
      <c r="B34" s="11">
        <v>10</v>
      </c>
      <c r="C34" s="10" t="s">
        <v>54</v>
      </c>
    </row>
    <row r="36" spans="1:4">
      <c r="A36" s="7" t="s">
        <v>55</v>
      </c>
    </row>
    <row r="37" spans="1:4">
      <c r="A37" s="6" t="s">
        <v>56</v>
      </c>
      <c r="B37" s="6" t="s">
        <v>57</v>
      </c>
      <c r="C37" s="6" t="s">
        <v>58</v>
      </c>
      <c r="D37" s="6" t="s">
        <v>59</v>
      </c>
    </row>
    <row r="38" spans="1:4">
      <c r="A38" s="8" t="s">
        <v>60</v>
      </c>
      <c r="B38" s="11">
        <v>107</v>
      </c>
      <c r="C38" s="11">
        <v>76</v>
      </c>
      <c r="D38" s="11">
        <v>54</v>
      </c>
    </row>
    <row r="39" spans="1:4">
      <c r="A39" s="8" t="s">
        <v>61</v>
      </c>
      <c r="B39" s="11"/>
      <c r="C39" s="11"/>
      <c r="D39" s="11"/>
    </row>
    <row r="40" spans="1:4">
      <c r="A40" s="8" t="s">
        <v>62</v>
      </c>
      <c r="B40" s="11"/>
      <c r="C40" s="11"/>
      <c r="D40" s="11">
        <v>80</v>
      </c>
    </row>
    <row r="41" spans="1:4">
      <c r="A41" s="8" t="s">
        <v>63</v>
      </c>
      <c r="B41" s="11"/>
      <c r="C41" s="11"/>
      <c r="D41" s="11"/>
    </row>
    <row r="42" spans="1:4">
      <c r="A42" s="8" t="s">
        <v>64</v>
      </c>
      <c r="B42" s="11"/>
      <c r="C42" s="11"/>
      <c r="D42" s="11"/>
    </row>
    <row r="43" spans="1:4">
      <c r="A43" s="8" t="s">
        <v>65</v>
      </c>
      <c r="B43" s="11"/>
      <c r="C43" s="11"/>
      <c r="D43" s="11"/>
    </row>
    <row r="44" spans="1:4">
      <c r="A44" s="8" t="s">
        <v>66</v>
      </c>
      <c r="B44" s="11">
        <v>218</v>
      </c>
      <c r="C44" s="11">
        <v>378</v>
      </c>
      <c r="D44" s="11">
        <v>579</v>
      </c>
    </row>
    <row r="45" spans="1:4" ht="56" customHeight="1">
      <c r="A45" s="10" t="s">
        <v>67</v>
      </c>
      <c r="B45" s="10"/>
      <c r="C45" s="10"/>
    </row>
    <row r="47" spans="1:4">
      <c r="A47" s="7" t="s">
        <v>68</v>
      </c>
    </row>
    <row r="48" spans="1:4">
      <c r="A48" s="8" t="s">
        <v>69</v>
      </c>
      <c r="B48" s="11">
        <v>5</v>
      </c>
      <c r="C48" s="10" t="s">
        <v>70</v>
      </c>
    </row>
    <row r="49" spans="1:4">
      <c r="A49" s="8" t="s">
        <v>71</v>
      </c>
      <c r="B49" s="11"/>
      <c r="C49" s="10" t="s">
        <v>72</v>
      </c>
    </row>
    <row r="50" spans="1:4">
      <c r="A50" s="8" t="s">
        <v>73</v>
      </c>
      <c r="B50" s="15">
        <v>2610</v>
      </c>
      <c r="C50" s="10" t="s">
        <v>74</v>
      </c>
    </row>
    <row r="52" spans="1:4">
      <c r="A52" s="7" t="s">
        <v>75</v>
      </c>
    </row>
    <row r="53" spans="1:4">
      <c r="A53" s="6" t="s">
        <v>76</v>
      </c>
      <c r="B53" s="6" t="s">
        <v>57</v>
      </c>
      <c r="C53" s="6" t="s">
        <v>58</v>
      </c>
      <c r="D53" s="6" t="s">
        <v>59</v>
      </c>
    </row>
    <row r="54" spans="1:4">
      <c r="A54" s="8" t="s">
        <v>77</v>
      </c>
      <c r="B54" s="16">
        <f>tau0_1</f>
        <v>0</v>
      </c>
      <c r="C54" s="16">
        <f>tau0_2</f>
        <v>0</v>
      </c>
      <c r="D54" s="16">
        <f>tau0_3</f>
        <v>0</v>
      </c>
    </row>
    <row r="55" spans="1:4">
      <c r="A55" s="8" t="s">
        <v>78</v>
      </c>
      <c r="B55" s="17">
        <f>IF(ISNUMBER(B54),B54/factor_forma,"")</f>
        <v>0</v>
      </c>
      <c r="C55" s="17">
        <f>IF(ISNUMBER(C54),C54/factor_forma,"")</f>
        <v>0</v>
      </c>
      <c r="D55" s="17">
        <f>IF(ISNUMBER(D54),D54/factor_forma,"")</f>
        <v>0</v>
      </c>
    </row>
    <row r="56" spans="1:4">
      <c r="A56" s="8" t="s">
        <v>79</v>
      </c>
      <c r="B56" s="17">
        <f>IF(ISNUMBER(B55),B55/(pasos*10^-6/c_luz*10^15),"")</f>
        <v>0</v>
      </c>
      <c r="C56" s="17">
        <f>IF(ISNUMBER(C55),C55/(pasos*10^-6/c_luz*10^15),"")</f>
        <v>0</v>
      </c>
      <c r="D56" s="17">
        <f>IF(ISNUMBER(D55),D55/(pasos*10^-6/c_luz*10^15),"")</f>
        <v>0</v>
      </c>
    </row>
    <row r="57" spans="1:4">
      <c r="A57" s="8" t="s">
        <v>80</v>
      </c>
      <c r="B57" s="12">
        <f>IF(ISNUMBER(B56),ROUND(zona_ac*B56,0),"")</f>
        <v>0</v>
      </c>
      <c r="C57" s="12">
        <f>IF(ISNUMBER(C56),ROUND(zona_ac*C56,0),"")</f>
        <v>0</v>
      </c>
      <c r="D57" s="12">
        <f>IF(ISNUMBER(D56),ROUND(zona_ac*D56,0),"")</f>
        <v>0</v>
      </c>
    </row>
    <row r="58" spans="1:4">
      <c r="A58" s="8" t="s">
        <v>81</v>
      </c>
      <c r="B58" s="17">
        <f>IF(ISNUMBER(B57),MAX(resol,INT(2*zona_ac*B56/(n_zona-1)/resol)*resol),"")</f>
        <v>0</v>
      </c>
      <c r="C58" s="17">
        <f>IF(ISNUMBER(C57),MAX(resol,INT(2*zona_ac*C56/(n_zona-1)/resol)*resol),"")</f>
        <v>0</v>
      </c>
      <c r="D58" s="17">
        <f>IF(ISNUMBER(D57),MAX(resol,INT(2*zona_ac*D56/(n_zona-1)/resol)*resol),"")</f>
        <v>0</v>
      </c>
    </row>
    <row r="59" spans="1:4">
      <c r="A59" s="8" t="s">
        <v>82</v>
      </c>
      <c r="B59" s="12">
        <f>IF(ISNUMBER(B58),INT(B56/B58),"")</f>
        <v>0</v>
      </c>
      <c r="C59" s="12">
        <f>IF(ISNUMBER(C58),INT(C56/C58),"")</f>
        <v>0</v>
      </c>
      <c r="D59" s="12">
        <f>IF(ISNUMBER(D58),INT(D56/D58),"")</f>
        <v>0</v>
      </c>
    </row>
    <row r="60" spans="1:4">
      <c r="A60" s="8" t="s">
        <v>83</v>
      </c>
      <c r="B60" s="12">
        <f>IF(ISNUMBER(B56),ROUND(2*B56,0),"")</f>
        <v>0</v>
      </c>
      <c r="C60" s="12">
        <f>IF(ISNUMBER(C56),ROUND(2*C56,0),"")</f>
        <v>0</v>
      </c>
      <c r="D60" s="12">
        <f>IF(ISNUMBER(D56),ROUND(2*D56,0),"")</f>
        <v>0</v>
      </c>
    </row>
    <row r="61" spans="1:4">
      <c r="A61" s="8" t="s">
        <v>84</v>
      </c>
      <c r="B61" s="12">
        <f>IF(ISNUMBER(B56),ROUND(3*B56,0),"")</f>
        <v>0</v>
      </c>
      <c r="C61" s="12">
        <f>IF(ISNUMBER(C56),ROUND(3*C56,0),"")</f>
        <v>0</v>
      </c>
      <c r="D61" s="12">
        <f>IF(ISNUMBER(D56),ROUND(3*D56,0),"")</f>
        <v>0</v>
      </c>
    </row>
    <row r="62" spans="1:4">
      <c r="A62" s="8" t="s">
        <v>85</v>
      </c>
      <c r="B62" s="12">
        <f>IF(ISNUMBER(B56),n_zona+2*n_fondo,"")</f>
        <v>0</v>
      </c>
      <c r="C62" s="12">
        <f>IF(ISNUMBER(C56),n_zona+2*n_fondo,"")</f>
        <v>0</v>
      </c>
      <c r="D62" s="12">
        <f>IF(ISNUMBER(D56),n_zona+2*n_fondo,"")</f>
        <v>0</v>
      </c>
    </row>
    <row r="63" spans="1:4">
      <c r="A63" s="8" t="s">
        <v>86</v>
      </c>
      <c r="B63" s="18">
        <f>IF(ISNUMBER(B59),IF(B59&gt;=pts_min,"Sí","No: hace falta leer más fino"),"")</f>
        <v>0</v>
      </c>
      <c r="C63" s="18">
        <f>IF(ISNUMBER(C59),IF(C59&gt;=pts_min,"Sí","No: hace falta leer más fino"),"")</f>
        <v>0</v>
      </c>
      <c r="D63" s="18">
        <f>IF(ISNUMBER(D59),IF(D59&gt;=pts_min,"Sí","No: hace falta leer más fino"),"")</f>
        <v>0</v>
      </c>
    </row>
    <row r="64" spans="1:4" ht="30" customHeight="1">
      <c r="A64" s="10" t="s">
        <v>87</v>
      </c>
      <c r="B64" s="10"/>
      <c r="C64" s="10"/>
    </row>
  </sheetData>
  <mergeCells count="2">
    <mergeCell ref="A45:C45"/>
    <mergeCell ref="A64:C64"/>
  </mergeCells>
  <dataValidations count="2">
    <dataValidation type="list" allowBlank="1" showInputMessage="1" showErrorMessage="1" sqref="B14">
      <formula1>"FWHM sech²,FWHM gauss,Ajuste sech²,Ajuste gauss"</formula1>
    </dataValidation>
    <dataValidation type="list" allowBlank="1" showInputMessage="1" showErrorMessage="1" sqref="B32">
      <formula1>"1,2"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3" width="9.7109375" customWidth="1"/>
    <col min="4" max="4" width="11.7109375" customWidth="1"/>
    <col min="5" max="6" width="10.7109375" customWidth="1"/>
    <col min="7" max="7" width="13.7109375" customWidth="1"/>
    <col min="8" max="8" width="9.7109375" customWidth="1"/>
    <col min="9" max="9" width="34.7109375" customWidth="1"/>
    <col min="10" max="11" width="12.7109375" customWidth="1"/>
    <col min="12" max="12" width="44.7109375" customWidth="1"/>
    <col min="13" max="13" width="12.7109375" customWidth="1"/>
  </cols>
  <sheetData>
    <row r="1" spans="1:13">
      <c r="A1" s="1" t="s">
        <v>136</v>
      </c>
    </row>
    <row r="2" spans="1:13">
      <c r="A2" s="2" t="s">
        <v>137</v>
      </c>
    </row>
    <row r="3" spans="1:13">
      <c r="A3" s="2" t="s">
        <v>138</v>
      </c>
    </row>
    <row r="4" spans="1:13" ht="30" customHeight="1">
      <c r="A4" s="6" t="s">
        <v>139</v>
      </c>
      <c r="B4" s="6" t="s">
        <v>140</v>
      </c>
      <c r="C4" s="6" t="s">
        <v>141</v>
      </c>
      <c r="D4" s="6" t="s">
        <v>142</v>
      </c>
      <c r="E4" s="6" t="s">
        <v>143</v>
      </c>
      <c r="F4" s="6" t="s">
        <v>144</v>
      </c>
      <c r="G4" s="6" t="s">
        <v>145</v>
      </c>
      <c r="H4" s="6" t="s">
        <v>146</v>
      </c>
      <c r="I4" s="6" t="s">
        <v>147</v>
      </c>
      <c r="J4" s="6" t="s">
        <v>148</v>
      </c>
      <c r="K4" s="6" t="s">
        <v>149</v>
      </c>
      <c r="L4" s="6" t="s">
        <v>116</v>
      </c>
      <c r="M4" s="6" t="s">
        <v>150</v>
      </c>
    </row>
    <row r="5" spans="1:13">
      <c r="A5" s="12">
        <v>1</v>
      </c>
      <c r="B5" s="18" t="s">
        <v>151</v>
      </c>
      <c r="C5" s="11" t="s">
        <v>58</v>
      </c>
      <c r="D5" s="19">
        <f>IF(C5="","",IF(INDEX(corrientes,MATCH(C5,{"I1","I2","I3"},0))="","(falta)",INDEX(corrientes,MATCH(C5,{"I1","I2","I3"},0))))</f>
        <v>0</v>
      </c>
      <c r="E5" s="20">
        <v>0.25625</v>
      </c>
      <c r="F5" s="20">
        <v>0.2652777777777778</v>
      </c>
      <c r="G5" s="11"/>
      <c r="H5" s="11" t="s">
        <v>152</v>
      </c>
      <c r="I5" s="21" t="s">
        <v>153</v>
      </c>
      <c r="J5" s="16">
        <f>IFERROR('R01'!$M$12+0,"")</f>
        <v>0</v>
      </c>
      <c r="K5" s="16">
        <f>IFERROR(IF(estimador="FWHM sech²",'Ajustes'!$I$5+0,IF(estimador="FWHM gauss",'Ajustes'!$J$5+0,IF(estimador="Ajuste sech²",'Ajustes'!$K$5+0,'Ajustes'!$N$5+0))),"")</f>
        <v>0</v>
      </c>
      <c r="L5" s="18">
        <f>'R01'!$M$20</f>
        <v>0</v>
      </c>
      <c r="M5" s="22">
        <f>IF(AND(H5="Sí",H6="Sí",ISNUMBER(E5),ISNUMBER(E6)),(E6-E5)*1440,"")</f>
        <v>0</v>
      </c>
    </row>
    <row r="6" spans="1:13">
      <c r="A6" s="12">
        <v>2</v>
      </c>
      <c r="B6" s="18" t="s">
        <v>154</v>
      </c>
      <c r="C6" s="11" t="s">
        <v>59</v>
      </c>
      <c r="D6" s="19">
        <f>IF(C6="","",IF(INDEX(corrientes,MATCH(C6,{"I1","I2","I3"},0))="","(falta)",INDEX(corrientes,MATCH(C6,{"I1","I2","I3"},0))))</f>
        <v>0</v>
      </c>
      <c r="E6" s="20">
        <v>0.2701388888888889</v>
      </c>
      <c r="F6" s="20">
        <v>0.2777777777777778</v>
      </c>
      <c r="G6" s="11"/>
      <c r="H6" s="11" t="s">
        <v>152</v>
      </c>
      <c r="I6" s="21" t="s">
        <v>155</v>
      </c>
      <c r="J6" s="16">
        <f>IFERROR('R02'!$M$12+0,"")</f>
        <v>0</v>
      </c>
      <c r="K6" s="16">
        <f>IFERROR(IF(estimador="FWHM sech²",'Ajustes'!$I$6+0,IF(estimador="FWHM gauss",'Ajustes'!$J$6+0,IF(estimador="Ajuste sech²",'Ajustes'!$K$6+0,'Ajustes'!$N$6+0))),"")</f>
        <v>0</v>
      </c>
      <c r="L6" s="18">
        <f>'R02'!$M$20</f>
        <v>0</v>
      </c>
      <c r="M6" s="22">
        <f>IF(AND(H6="Sí",H7="Sí",ISNUMBER(E6),ISNUMBER(E7)),(E7-E6)*1440,"")</f>
        <v>0</v>
      </c>
    </row>
    <row r="7" spans="1:13">
      <c r="A7" s="12">
        <v>3</v>
      </c>
      <c r="B7" s="18" t="s">
        <v>156</v>
      </c>
      <c r="C7" s="11" t="s">
        <v>59</v>
      </c>
      <c r="D7" s="19">
        <f>IF(C7="","",IF(INDEX(corrientes,MATCH(C7,{"I1","I2","I3"},0))="","(falta)",INDEX(corrientes,MATCH(C7,{"I1","I2","I3"},0))))</f>
        <v>0</v>
      </c>
      <c r="E7" s="20">
        <v>0.2791666666666667</v>
      </c>
      <c r="F7" s="20">
        <v>0.2833333333333333</v>
      </c>
      <c r="G7" s="11"/>
      <c r="H7" s="11" t="s">
        <v>152</v>
      </c>
      <c r="I7" s="21" t="s">
        <v>155</v>
      </c>
      <c r="J7" s="16">
        <f>IFERROR('R03'!$M$12+0,"")</f>
        <v>0</v>
      </c>
      <c r="K7" s="16">
        <f>IFERROR(IF(estimador="FWHM sech²",'Ajustes'!$I$7+0,IF(estimador="FWHM gauss",'Ajustes'!$J$7+0,IF(estimador="Ajuste sech²",'Ajustes'!$K$7+0,'Ajustes'!$N$7+0))),"")</f>
        <v>0</v>
      </c>
      <c r="L7" s="18">
        <f>'R03'!$M$20</f>
        <v>0</v>
      </c>
      <c r="M7" s="22">
        <f>IF(AND(H7="Sí",H8="Sí",ISNUMBER(E7),ISNUMBER(E8)),(E8-E7)*1440,"")</f>
        <v>0</v>
      </c>
    </row>
    <row r="8" spans="1:13">
      <c r="A8" s="12">
        <v>4</v>
      </c>
      <c r="B8" s="18" t="s">
        <v>157</v>
      </c>
      <c r="C8" s="11" t="s">
        <v>58</v>
      </c>
      <c r="D8" s="19">
        <f>IF(C8="","",IF(INDEX(corrientes,MATCH(C8,{"I1","I2","I3"},0))="","(falta)",INDEX(corrientes,MATCH(C8,{"I1","I2","I3"},0))))</f>
        <v>0</v>
      </c>
      <c r="E8" s="20">
        <v>0.2840277777777778</v>
      </c>
      <c r="F8" s="20">
        <v>0.2875</v>
      </c>
      <c r="G8" s="11"/>
      <c r="H8" s="11" t="s">
        <v>152</v>
      </c>
      <c r="I8" s="21" t="s">
        <v>155</v>
      </c>
      <c r="J8" s="16">
        <f>IFERROR('R04'!$M$12+0,"")</f>
        <v>0</v>
      </c>
      <c r="K8" s="16">
        <f>IFERROR(IF(estimador="FWHM sech²",'Ajustes'!$I$8+0,IF(estimador="FWHM gauss",'Ajustes'!$J$8+0,IF(estimador="Ajuste sech²",'Ajustes'!$K$8+0,'Ajustes'!$N$8+0))),"")</f>
        <v>0</v>
      </c>
      <c r="L8" s="18">
        <f>'R04'!$M$20</f>
        <v>0</v>
      </c>
      <c r="M8" s="22">
        <f>IF(AND(H8="Sí",H9="Sí",ISNUMBER(E8),ISNUMBER(E9)),(E9-E8)*1440,"")</f>
        <v>0</v>
      </c>
    </row>
    <row r="9" spans="1:13">
      <c r="A9" s="12">
        <v>5</v>
      </c>
      <c r="B9" s="18" t="s">
        <v>158</v>
      </c>
      <c r="C9" s="11" t="s">
        <v>59</v>
      </c>
      <c r="D9" s="19">
        <f>IF(C9="","",IF(INDEX(corrientes,MATCH(C9,{"I1","I2","I3"},0))="","(falta)",INDEX(corrientes,MATCH(C9,{"I1","I2","I3"},0))))</f>
        <v>0</v>
      </c>
      <c r="E9" s="20">
        <v>0.2875</v>
      </c>
      <c r="F9" s="20">
        <v>0.2923611111111111</v>
      </c>
      <c r="G9" s="11"/>
      <c r="H9" s="11" t="s">
        <v>152</v>
      </c>
      <c r="I9" s="21" t="s">
        <v>155</v>
      </c>
      <c r="J9" s="16">
        <f>IFERROR('R05'!$M$12+0,"")</f>
        <v>0</v>
      </c>
      <c r="K9" s="16">
        <f>IFERROR(IF(estimador="FWHM sech²",'Ajustes'!$I$9+0,IF(estimador="FWHM gauss",'Ajustes'!$J$9+0,IF(estimador="Ajuste sech²",'Ajustes'!$K$9+0,'Ajustes'!$N$9+0))),"")</f>
        <v>0</v>
      </c>
      <c r="L9" s="18">
        <f>'R05'!$M$20</f>
        <v>0</v>
      </c>
      <c r="M9" s="22">
        <f>IF(AND(H9="Sí",H10="Sí",ISNUMBER(E9),ISNUMBER(E10)),(E10-E9)*1440,"")</f>
        <v>0</v>
      </c>
    </row>
    <row r="10" spans="1:13">
      <c r="A10" s="12">
        <v>6</v>
      </c>
      <c r="B10" s="18" t="s">
        <v>159</v>
      </c>
      <c r="C10" s="11" t="s">
        <v>58</v>
      </c>
      <c r="D10" s="19">
        <f>IF(C10="","",IF(INDEX(corrientes,MATCH(C10,{"I1","I2","I3"},0))="","(falta)",INDEX(corrientes,MATCH(C10,{"I1","I2","I3"},0))))</f>
        <v>0</v>
      </c>
      <c r="E10" s="20">
        <v>0.2930555555555556</v>
      </c>
      <c r="F10" s="20">
        <v>0.2958333333333333</v>
      </c>
      <c r="G10" s="11"/>
      <c r="H10" s="11" t="s">
        <v>152</v>
      </c>
      <c r="I10" s="21" t="s">
        <v>155</v>
      </c>
      <c r="J10" s="16">
        <f>IFERROR('R06'!$M$12+0,"")</f>
        <v>0</v>
      </c>
      <c r="K10" s="16">
        <f>IFERROR(IF(estimador="FWHM sech²",'Ajustes'!$I$10+0,IF(estimador="FWHM gauss",'Ajustes'!$J$10+0,IF(estimador="Ajuste sech²",'Ajustes'!$K$10+0,'Ajustes'!$N$10+0))),"")</f>
        <v>0</v>
      </c>
      <c r="L10" s="18">
        <f>'R06'!$M$20</f>
        <v>0</v>
      </c>
      <c r="M10" s="22">
        <f>IF(AND(H10="Sí",H11="Sí",ISNUMBER(E10),ISNUMBER(E11)),(E11-E10)*1440,"")</f>
        <v>0</v>
      </c>
    </row>
    <row r="11" spans="1:13">
      <c r="A11" s="12">
        <v>7</v>
      </c>
      <c r="B11" s="18" t="s">
        <v>160</v>
      </c>
      <c r="C11" s="11" t="s">
        <v>58</v>
      </c>
      <c r="D11" s="19">
        <f>IF(C11="","",IF(INDEX(corrientes,MATCH(C11,{"I1","I2","I3"},0))="","(falta)",INDEX(corrientes,MATCH(C11,{"I1","I2","I3"},0))))</f>
        <v>0</v>
      </c>
      <c r="E11" s="20">
        <v>0.2965277777777778</v>
      </c>
      <c r="F11" s="20"/>
      <c r="G11" s="11"/>
      <c r="H11" s="11" t="s">
        <v>152</v>
      </c>
      <c r="I11" s="21" t="s">
        <v>155</v>
      </c>
      <c r="J11" s="16">
        <f>IFERROR('R07'!$M$12+0,"")</f>
        <v>0</v>
      </c>
      <c r="K11" s="16">
        <f>IFERROR(IF(estimador="FWHM sech²",'Ajustes'!$I$11+0,IF(estimador="FWHM gauss",'Ajustes'!$J$11+0,IF(estimador="Ajuste sech²",'Ajustes'!$K$11+0,'Ajustes'!$N$11+0))),"")</f>
        <v>0</v>
      </c>
      <c r="L11" s="18">
        <f>'R07'!$M$20</f>
        <v>0</v>
      </c>
      <c r="M11" s="22">
        <f>IF(AND(H11="Sí",H12="Sí",ISNUMBER(E11),ISNUMBER(E12)),(E12-E11)*1440,"")</f>
        <v>0</v>
      </c>
    </row>
    <row r="12" spans="1:13">
      <c r="A12" s="12">
        <v>8</v>
      </c>
      <c r="B12" s="18" t="s">
        <v>161</v>
      </c>
      <c r="C12" s="11" t="s">
        <v>59</v>
      </c>
      <c r="D12" s="19">
        <f>IF(C12="","",IF(INDEX(corrientes,MATCH(C12,{"I1","I2","I3"},0))="","(falta)",INDEX(corrientes,MATCH(C12,{"I1","I2","I3"},0))))</f>
        <v>0</v>
      </c>
      <c r="E12" s="20">
        <v>0.2993055555555555</v>
      </c>
      <c r="F12" s="20">
        <v>0.3027777777777778</v>
      </c>
      <c r="G12" s="11"/>
      <c r="H12" s="11" t="s">
        <v>162</v>
      </c>
      <c r="I12" s="21"/>
      <c r="J12" s="16">
        <f>IFERROR('R08'!$M$12+0,"")</f>
        <v>0</v>
      </c>
      <c r="K12" s="16">
        <f>IFERROR(IF(estimador="FWHM sech²",'Ajustes'!$I$12+0,IF(estimador="FWHM gauss",'Ajustes'!$J$12+0,IF(estimador="Ajuste sech²",'Ajustes'!$K$12+0,'Ajustes'!$N$12+0))),"")</f>
        <v>0</v>
      </c>
      <c r="L12" s="18">
        <f>'R08'!$M$20</f>
        <v>0</v>
      </c>
      <c r="M12" s="22">
        <f>IF(AND(H12="Sí",H13="Sí",ISNUMBER(E12),ISNUMBER(E13)),(E13-E12)*1440,"")</f>
        <v>0</v>
      </c>
    </row>
    <row r="13" spans="1:13">
      <c r="A13" s="12">
        <v>9</v>
      </c>
      <c r="B13" s="18" t="s">
        <v>163</v>
      </c>
      <c r="C13" s="11" t="s">
        <v>57</v>
      </c>
      <c r="D13" s="19">
        <f>IF(C13="","",IF(INDEX(corrientes,MATCH(C13,{"I1","I2","I3"},0))="","(falta)",INDEX(corrientes,MATCH(C13,{"I1","I2","I3"},0))))</f>
        <v>0</v>
      </c>
      <c r="E13" s="20">
        <v>0.3034722222222222</v>
      </c>
      <c r="F13" s="20">
        <v>0.3055555555555556</v>
      </c>
      <c r="G13" s="11"/>
      <c r="H13" s="11" t="s">
        <v>162</v>
      </c>
      <c r="I13" s="21"/>
      <c r="J13" s="16">
        <f>IFERROR('R09'!$M$12+0,"")</f>
        <v>0</v>
      </c>
      <c r="K13" s="16">
        <f>IFERROR(IF(estimador="FWHM sech²",'Ajustes'!$I$13+0,IF(estimador="FWHM gauss",'Ajustes'!$J$13+0,IF(estimador="Ajuste sech²",'Ajustes'!$K$13+0,'Ajustes'!$N$13+0))),"")</f>
        <v>0</v>
      </c>
      <c r="L13" s="18">
        <f>'R09'!$M$20</f>
        <v>0</v>
      </c>
      <c r="M13" s="22">
        <f>IF(AND(H13="Sí",H14="Sí",ISNUMBER(E13),ISNUMBER(E14)),(E14-E13)*1440,"")</f>
        <v>0</v>
      </c>
    </row>
    <row r="14" spans="1:13">
      <c r="A14" s="12">
        <v>10</v>
      </c>
      <c r="B14" s="18" t="s">
        <v>164</v>
      </c>
      <c r="C14" s="11" t="s">
        <v>57</v>
      </c>
      <c r="D14" s="19">
        <f>IF(C14="","",IF(INDEX(corrientes,MATCH(C14,{"I1","I2","I3"},0))="","(falta)",INDEX(corrientes,MATCH(C14,{"I1","I2","I3"},0))))</f>
        <v>0</v>
      </c>
      <c r="E14" s="20">
        <v>0.30625</v>
      </c>
      <c r="F14" s="20">
        <v>0.3097222222222222</v>
      </c>
      <c r="G14" s="11"/>
      <c r="H14" s="11" t="s">
        <v>162</v>
      </c>
      <c r="I14" s="21"/>
      <c r="J14" s="16">
        <f>IFERROR('R10'!$M$12+0,"")</f>
        <v>0</v>
      </c>
      <c r="K14" s="16">
        <f>IFERROR(IF(estimador="FWHM sech²",'Ajustes'!$I$14+0,IF(estimador="FWHM gauss",'Ajustes'!$J$14+0,IF(estimador="Ajuste sech²",'Ajustes'!$K$14+0,'Ajustes'!$N$14+0))),"")</f>
        <v>0</v>
      </c>
      <c r="L14" s="18">
        <f>'R10'!$M$20</f>
        <v>0</v>
      </c>
      <c r="M14" s="22">
        <f>IF(AND(H14="Sí",H15="Sí",ISNUMBER(E14),ISNUMBER(E15)),(E15-E14)*1440,"")</f>
        <v>0</v>
      </c>
    </row>
    <row r="15" spans="1:13">
      <c r="A15" s="12">
        <v>11</v>
      </c>
      <c r="B15" s="18" t="s">
        <v>165</v>
      </c>
      <c r="C15" s="11" t="s">
        <v>57</v>
      </c>
      <c r="D15" s="19">
        <f>IF(C15="","",IF(INDEX(corrientes,MATCH(C15,{"I1","I2","I3"},0))="","(falta)",INDEX(corrientes,MATCH(C15,{"I1","I2","I3"},0))))</f>
        <v>0</v>
      </c>
      <c r="E15" s="20">
        <v>0.3104166666666667</v>
      </c>
      <c r="F15" s="20">
        <v>0.3125</v>
      </c>
      <c r="G15" s="11"/>
      <c r="H15" s="11" t="s">
        <v>162</v>
      </c>
      <c r="I15" s="21"/>
      <c r="J15" s="16">
        <f>IFERROR('R11'!$M$12+0,"")</f>
        <v>0</v>
      </c>
      <c r="K15" s="16">
        <f>IFERROR(IF(estimador="FWHM sech²",'Ajustes'!$I$15+0,IF(estimador="FWHM gauss",'Ajustes'!$J$15+0,IF(estimador="Ajuste sech²",'Ajustes'!$K$15+0,'Ajustes'!$N$15+0))),"")</f>
        <v>0</v>
      </c>
      <c r="L15" s="18">
        <f>'R11'!$M$20</f>
        <v>0</v>
      </c>
      <c r="M15" s="22">
        <f>IF(AND(H15="Sí",H16="Sí",ISNUMBER(E15),ISNUMBER(E16)),(E16-E15)*1440,"")</f>
        <v>0</v>
      </c>
    </row>
    <row r="16" spans="1:13">
      <c r="A16" s="12">
        <v>12</v>
      </c>
      <c r="B16" s="18" t="s">
        <v>166</v>
      </c>
      <c r="C16" s="11" t="s">
        <v>57</v>
      </c>
      <c r="D16" s="19">
        <f>IF(C16="","",IF(INDEX(corrientes,MATCH(C16,{"I1","I2","I3"},0))="","(falta)",INDEX(corrientes,MATCH(C16,{"I1","I2","I3"},0))))</f>
        <v>0</v>
      </c>
      <c r="E16" s="20">
        <v>0.3131944444444444</v>
      </c>
      <c r="F16" s="20">
        <v>0.3173611111111111</v>
      </c>
      <c r="G16" s="11"/>
      <c r="H16" s="11" t="s">
        <v>162</v>
      </c>
      <c r="I16" s="21"/>
      <c r="J16" s="16">
        <f>IFERROR('R12'!$M$12+0,"")</f>
        <v>0</v>
      </c>
      <c r="K16" s="16">
        <f>IFERROR(IF(estimador="FWHM sech²",'Ajustes'!$I$16+0,IF(estimador="FWHM gauss",'Ajustes'!$J$16+0,IF(estimador="Ajuste sech²",'Ajustes'!$K$16+0,'Ajustes'!$N$16+0))),"")</f>
        <v>0</v>
      </c>
      <c r="L16" s="18">
        <f>'R12'!$M$20</f>
        <v>0</v>
      </c>
      <c r="M16" s="22">
        <f>IF(AND(H16="Sí",H17="Sí",ISNUMBER(E16),ISNUMBER(E17)),(E17-E16)*1440,"")</f>
        <v>0</v>
      </c>
    </row>
    <row r="17" spans="1:13">
      <c r="A17" s="12">
        <v>13</v>
      </c>
      <c r="B17" s="18" t="s">
        <v>167</v>
      </c>
      <c r="C17" s="11" t="s">
        <v>59</v>
      </c>
      <c r="D17" s="19">
        <f>IF(C17="","",IF(INDEX(corrientes,MATCH(C17,{"I1","I2","I3"},0))="","(falta)",INDEX(corrientes,MATCH(C17,{"I1","I2","I3"},0))))</f>
        <v>0</v>
      </c>
      <c r="E17" s="20">
        <v>0.3180555555555555</v>
      </c>
      <c r="F17" s="20">
        <v>0.3229166666666667</v>
      </c>
      <c r="G17" s="11"/>
      <c r="H17" s="11" t="s">
        <v>162</v>
      </c>
      <c r="I17" s="21"/>
      <c r="J17" s="16">
        <f>IFERROR('R13'!$M$12+0,"")</f>
        <v>0</v>
      </c>
      <c r="K17" s="16">
        <f>IFERROR(IF(estimador="FWHM sech²",'Ajustes'!$I$17+0,IF(estimador="FWHM gauss",'Ajustes'!$J$17+0,IF(estimador="Ajuste sech²",'Ajustes'!$K$17+0,'Ajustes'!$N$17+0))),"")</f>
        <v>0</v>
      </c>
      <c r="L17" s="18">
        <f>'R13'!$M$20</f>
        <v>0</v>
      </c>
      <c r="M17" s="22">
        <f>IF(AND(H17="Sí",H18="Sí",ISNUMBER(E17),ISNUMBER(E18)),(E18-E17)*1440,"")</f>
        <v>0</v>
      </c>
    </row>
    <row r="18" spans="1:13">
      <c r="A18" s="12">
        <v>14</v>
      </c>
      <c r="B18" s="18" t="s">
        <v>168</v>
      </c>
      <c r="C18" s="11" t="s">
        <v>57</v>
      </c>
      <c r="D18" s="19">
        <f>IF(C18="","",IF(INDEX(corrientes,MATCH(C18,{"I1","I2","I3"},0))="","(falta)",INDEX(corrientes,MATCH(C18,{"I1","I2","I3"},0))))</f>
        <v>0</v>
      </c>
      <c r="E18" s="20">
        <v>0.3236111111111111</v>
      </c>
      <c r="F18" s="20">
        <v>0.3284722222222222</v>
      </c>
      <c r="G18" s="11"/>
      <c r="H18" s="11" t="s">
        <v>162</v>
      </c>
      <c r="I18" s="21"/>
      <c r="J18" s="16">
        <f>IFERROR('R14'!$M$12+0,"")</f>
        <v>0</v>
      </c>
      <c r="K18" s="16">
        <f>IFERROR(IF(estimador="FWHM sech²",'Ajustes'!$I$18+0,IF(estimador="FWHM gauss",'Ajustes'!$J$18+0,IF(estimador="Ajuste sech²",'Ajustes'!$K$18+0,'Ajustes'!$N$18+0))),"")</f>
        <v>0</v>
      </c>
      <c r="L18" s="18">
        <f>'R14'!$M$20</f>
        <v>0</v>
      </c>
      <c r="M18" s="22">
        <f>IF(AND(H18="Sí",H19="Sí",ISNUMBER(E18),ISNUMBER(E19)),(E19-E18)*1440,"")</f>
        <v>0</v>
      </c>
    </row>
    <row r="19" spans="1:13">
      <c r="A19" s="12">
        <v>15</v>
      </c>
      <c r="B19" s="18" t="s">
        <v>169</v>
      </c>
      <c r="C19" s="11" t="s">
        <v>58</v>
      </c>
      <c r="D19" s="19">
        <f>IF(C19="","",IF(INDEX(corrientes,MATCH(C19,{"I1","I2","I3"},0))="","(falta)",INDEX(corrientes,MATCH(C19,{"I1","I2","I3"},0))))</f>
        <v>0</v>
      </c>
      <c r="E19" s="20">
        <v>0.3291666666666667</v>
      </c>
      <c r="F19" s="20"/>
      <c r="G19" s="11"/>
      <c r="H19" s="11" t="s">
        <v>162</v>
      </c>
      <c r="I19" s="21"/>
      <c r="J19" s="16">
        <f>IFERROR('R15'!$M$12+0,"")</f>
        <v>0</v>
      </c>
      <c r="K19" s="16">
        <f>IFERROR(IF(estimador="FWHM sech²",'Ajustes'!$I$19+0,IF(estimador="FWHM gauss",'Ajustes'!$J$19+0,IF(estimador="Ajuste sech²",'Ajustes'!$K$19+0,'Ajustes'!$N$19+0))),"")</f>
        <v>0</v>
      </c>
      <c r="L19" s="18">
        <f>'R15'!$M$20</f>
        <v>0</v>
      </c>
    </row>
    <row r="21" spans="1:13">
      <c r="A21" s="21" t="s">
        <v>172</v>
      </c>
      <c r="I21" s="7" t="s">
        <v>170</v>
      </c>
      <c r="J21" s="17">
        <f>IF(COUNT(M5:M18)=0,"",AVERAGE(M5:M18))</f>
        <v>0</v>
      </c>
      <c r="K21" s="10" t="s">
        <v>171</v>
      </c>
    </row>
    <row r="22" spans="1:13">
      <c r="I22" s="8" t="s">
        <v>173</v>
      </c>
      <c r="J22" s="17">
        <f>IF(COUNT(F5:F19)=0,"",SUMPRODUCT((F5:F19&gt;0)*(E5:E19&gt;0)*(F5:F19-E5:E19))*1440/SUMPRODUCT((F5:F19&gt;0)*(E5:E19&gt;0)))</f>
        <v>0</v>
      </c>
      <c r="K22" s="10" t="s">
        <v>174</v>
      </c>
    </row>
    <row r="24" spans="1:13" ht="40" customHeight="1">
      <c r="A24" s="10" t="s">
        <v>175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1">
    <mergeCell ref="A24:L24"/>
  </mergeCells>
  <conditionalFormatting sqref="L5:L19">
    <cfRule type="cellIs" dxfId="0" priority="1" operator="equal">
      <formula>"OK"</formula>
    </cfRule>
    <cfRule type="beginsWith" dxfId="1" priority="2" operator="beginsWith" text="Aviso">
      <formula>LEFT(L5,5)="Aviso"</formula>
    </cfRule>
    <cfRule type="beginsWith" dxfId="2" priority="3" operator="beginsWith" text="Revisar">
      <formula>LEFT(L5,7)="Revisar"</formula>
    </cfRule>
  </conditionalFormatting>
  <dataValidations count="3">
    <dataValidation type="list" allowBlank="1" showInputMessage="1" showErrorMessage="1" sqref="C5:C19">
      <formula1>"I1,I2,I3"</formula1>
    </dataValidation>
    <dataValidation type="list" allowBlank="1" showInputMessage="1" showErrorMessage="1" sqref="H5:H19">
      <formula1>"Sí,No"</formula1>
    </dataValidation>
    <dataValidation type="time" allowBlank="1" showInputMessage="1" showErrorMessage="1" error="Escribir la hora como hh:mm, p. ej. 14:35" sqref="E5:F19">
      <formula1>0</formula1>
      <formula2>0.99999</formula2>
    </dataValidation>
  </dataValidations>
  <hyperlinks>
    <hyperlink ref="B5" location="'R01'!A1" display="R01"/>
    <hyperlink ref="B6" location="'R02'!A1" display="R02"/>
    <hyperlink ref="B7" location="'R03'!A1" display="R03"/>
    <hyperlink ref="B8" location="'R04'!A1" display="R04"/>
    <hyperlink ref="B9" location="'R05'!A1" display="R05"/>
    <hyperlink ref="B10" location="'R06'!A1" display="R06"/>
    <hyperlink ref="B11" location="'R07'!A1" display="R07"/>
    <hyperlink ref="B12" location="'R08'!A1" display="R08"/>
    <hyperlink ref="B13" location="'R09'!A1" display="R09"/>
    <hyperlink ref="B14" location="'R10'!A1" display="R10"/>
    <hyperlink ref="B15" location="'R11'!A1" display="R11"/>
    <hyperlink ref="B16" location="'R12'!A1" display="R12"/>
    <hyperlink ref="B17" location="'R13'!A1" display="R13"/>
    <hyperlink ref="B18" location="'R14'!A1" display="R14"/>
    <hyperlink ref="B19" location="'R15'!A1" display="R1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6"/>
  <sheetViews>
    <sheetView workbookViewId="0"/>
  </sheetViews>
  <sheetFormatPr defaultRowHeight="15"/>
  <cols>
    <col min="1" max="1" width="6.7109375" customWidth="1"/>
    <col min="2" max="2" width="10.7109375" customWidth="1"/>
    <col min="3" max="5" width="12.7109375" customWidth="1"/>
    <col min="6" max="6" width="2.7109375" customWidth="1"/>
    <col min="7" max="14" width="11.7109375" customWidth="1"/>
  </cols>
  <sheetData>
    <row r="1" spans="1:12">
      <c r="A1" s="1" t="s">
        <v>176</v>
      </c>
    </row>
    <row r="2" spans="1:12">
      <c r="A2" s="2" t="s">
        <v>177</v>
      </c>
    </row>
    <row r="4" spans="1:12">
      <c r="A4" s="6" t="s">
        <v>139</v>
      </c>
      <c r="B4" s="6" t="s">
        <v>141</v>
      </c>
      <c r="C4" s="6" t="s">
        <v>178</v>
      </c>
      <c r="D4" s="6" t="s">
        <v>179</v>
      </c>
      <c r="E4" s="6" t="s">
        <v>180</v>
      </c>
      <c r="G4" s="6" t="s">
        <v>181</v>
      </c>
      <c r="H4" s="6" t="s">
        <v>182</v>
      </c>
      <c r="I4" s="6" t="s">
        <v>183</v>
      </c>
      <c r="J4" s="6" t="s">
        <v>184</v>
      </c>
      <c r="K4" s="6" t="s">
        <v>185</v>
      </c>
      <c r="L4" s="6" t="s">
        <v>186</v>
      </c>
    </row>
    <row r="5" spans="1:12">
      <c r="A5" s="12">
        <f>'Registro piloto'!A5</f>
        <v>0</v>
      </c>
      <c r="B5" s="18">
        <f>'Registro piloto'!C5</f>
        <v>0</v>
      </c>
      <c r="C5" s="17">
        <f>IF(AND(ISNUMBER('Registro piloto'!K5),'Registro piloto'!H5&lt;&gt;"No"),'Registro piloto'!K5,"")</f>
        <v>0</v>
      </c>
      <c r="D5" s="17">
        <f>IF(ISNUMBER(C5),(C5-INDEX($C$22:$C$24,MATCH(B5,$A$22:$A$24,0)))^2,0)</f>
        <v>0</v>
      </c>
      <c r="E5" s="12">
        <f>A5</f>
        <v>0</v>
      </c>
      <c r="G5" s="22">
        <f>IF(AND(B5="I1",ISNUMBER(C5)),1,NA())</f>
        <v>0</v>
      </c>
      <c r="H5" s="22">
        <f>IF(AND(B5="I1",ISNUMBER(C5)),C5,NA())</f>
        <v>0</v>
      </c>
      <c r="I5" s="22">
        <f>IF(AND(B5="I2",ISNUMBER(C5)),2,NA())</f>
        <v>0</v>
      </c>
      <c r="J5" s="22">
        <f>IF(AND(B5="I2",ISNUMBER(C5)),C5,NA())</f>
        <v>0</v>
      </c>
      <c r="K5" s="22">
        <f>IF(AND(B5="I3",ISNUMBER(C5)),3,NA())</f>
        <v>0</v>
      </c>
      <c r="L5" s="22">
        <f>IF(AND(B5="I3",ISNUMBER(C5)),C5,NA())</f>
        <v>0</v>
      </c>
    </row>
    <row r="6" spans="1:12">
      <c r="A6" s="12">
        <f>'Registro piloto'!A6</f>
        <v>0</v>
      </c>
      <c r="B6" s="18">
        <f>'Registro piloto'!C6</f>
        <v>0</v>
      </c>
      <c r="C6" s="17">
        <f>IF(AND(ISNUMBER('Registro piloto'!K6),'Registro piloto'!H6&lt;&gt;"No"),'Registro piloto'!K6,"")</f>
        <v>0</v>
      </c>
      <c r="D6" s="17">
        <f>IF(ISNUMBER(C6),(C6-INDEX($C$22:$C$24,MATCH(B6,$A$22:$A$24,0)))^2,0)</f>
        <v>0</v>
      </c>
      <c r="E6" s="12">
        <f>A6</f>
        <v>0</v>
      </c>
      <c r="G6" s="22">
        <f>IF(AND(B6="I1",ISNUMBER(C6)),1,NA())</f>
        <v>0</v>
      </c>
      <c r="H6" s="22">
        <f>IF(AND(B6="I1",ISNUMBER(C6)),C6,NA())</f>
        <v>0</v>
      </c>
      <c r="I6" s="22">
        <f>IF(AND(B6="I2",ISNUMBER(C6)),2,NA())</f>
        <v>0</v>
      </c>
      <c r="J6" s="22">
        <f>IF(AND(B6="I2",ISNUMBER(C6)),C6,NA())</f>
        <v>0</v>
      </c>
      <c r="K6" s="22">
        <f>IF(AND(B6="I3",ISNUMBER(C6)),3,NA())</f>
        <v>0</v>
      </c>
      <c r="L6" s="22">
        <f>IF(AND(B6="I3",ISNUMBER(C6)),C6,NA())</f>
        <v>0</v>
      </c>
    </row>
    <row r="7" spans="1:12">
      <c r="A7" s="12">
        <f>'Registro piloto'!A7</f>
        <v>0</v>
      </c>
      <c r="B7" s="18">
        <f>'Registro piloto'!C7</f>
        <v>0</v>
      </c>
      <c r="C7" s="17">
        <f>IF(AND(ISNUMBER('Registro piloto'!K7),'Registro piloto'!H7&lt;&gt;"No"),'Registro piloto'!K7,"")</f>
        <v>0</v>
      </c>
      <c r="D7" s="17">
        <f>IF(ISNUMBER(C7),(C7-INDEX($C$22:$C$24,MATCH(B7,$A$22:$A$24,0)))^2,0)</f>
        <v>0</v>
      </c>
      <c r="E7" s="12">
        <f>A7</f>
        <v>0</v>
      </c>
      <c r="G7" s="22">
        <f>IF(AND(B7="I1",ISNUMBER(C7)),1,NA())</f>
        <v>0</v>
      </c>
      <c r="H7" s="22">
        <f>IF(AND(B7="I1",ISNUMBER(C7)),C7,NA())</f>
        <v>0</v>
      </c>
      <c r="I7" s="22">
        <f>IF(AND(B7="I2",ISNUMBER(C7)),2,NA())</f>
        <v>0</v>
      </c>
      <c r="J7" s="22">
        <f>IF(AND(B7="I2",ISNUMBER(C7)),C7,NA())</f>
        <v>0</v>
      </c>
      <c r="K7" s="22">
        <f>IF(AND(B7="I3",ISNUMBER(C7)),3,NA())</f>
        <v>0</v>
      </c>
      <c r="L7" s="22">
        <f>IF(AND(B7="I3",ISNUMBER(C7)),C7,NA())</f>
        <v>0</v>
      </c>
    </row>
    <row r="8" spans="1:12">
      <c r="A8" s="12">
        <f>'Registro piloto'!A8</f>
        <v>0</v>
      </c>
      <c r="B8" s="18">
        <f>'Registro piloto'!C8</f>
        <v>0</v>
      </c>
      <c r="C8" s="17">
        <f>IF(AND(ISNUMBER('Registro piloto'!K8),'Registro piloto'!H8&lt;&gt;"No"),'Registro piloto'!K8,"")</f>
        <v>0</v>
      </c>
      <c r="D8" s="17">
        <f>IF(ISNUMBER(C8),(C8-INDEX($C$22:$C$24,MATCH(B8,$A$22:$A$24,0)))^2,0)</f>
        <v>0</v>
      </c>
      <c r="E8" s="12">
        <f>A8</f>
        <v>0</v>
      </c>
      <c r="G8" s="22">
        <f>IF(AND(B8="I1",ISNUMBER(C8)),1,NA())</f>
        <v>0</v>
      </c>
      <c r="H8" s="22">
        <f>IF(AND(B8="I1",ISNUMBER(C8)),C8,NA())</f>
        <v>0</v>
      </c>
      <c r="I8" s="22">
        <f>IF(AND(B8="I2",ISNUMBER(C8)),2,NA())</f>
        <v>0</v>
      </c>
      <c r="J8" s="22">
        <f>IF(AND(B8="I2",ISNUMBER(C8)),C8,NA())</f>
        <v>0</v>
      </c>
      <c r="K8" s="22">
        <f>IF(AND(B8="I3",ISNUMBER(C8)),3,NA())</f>
        <v>0</v>
      </c>
      <c r="L8" s="22">
        <f>IF(AND(B8="I3",ISNUMBER(C8)),C8,NA())</f>
        <v>0</v>
      </c>
    </row>
    <row r="9" spans="1:12">
      <c r="A9" s="12">
        <f>'Registro piloto'!A9</f>
        <v>0</v>
      </c>
      <c r="B9" s="18">
        <f>'Registro piloto'!C9</f>
        <v>0</v>
      </c>
      <c r="C9" s="17">
        <f>IF(AND(ISNUMBER('Registro piloto'!K9),'Registro piloto'!H9&lt;&gt;"No"),'Registro piloto'!K9,"")</f>
        <v>0</v>
      </c>
      <c r="D9" s="17">
        <f>IF(ISNUMBER(C9),(C9-INDEX($C$22:$C$24,MATCH(B9,$A$22:$A$24,0)))^2,0)</f>
        <v>0</v>
      </c>
      <c r="E9" s="12">
        <f>A9</f>
        <v>0</v>
      </c>
      <c r="G9" s="22">
        <f>IF(AND(B9="I1",ISNUMBER(C9)),1,NA())</f>
        <v>0</v>
      </c>
      <c r="H9" s="22">
        <f>IF(AND(B9="I1",ISNUMBER(C9)),C9,NA())</f>
        <v>0</v>
      </c>
      <c r="I9" s="22">
        <f>IF(AND(B9="I2",ISNUMBER(C9)),2,NA())</f>
        <v>0</v>
      </c>
      <c r="J9" s="22">
        <f>IF(AND(B9="I2",ISNUMBER(C9)),C9,NA())</f>
        <v>0</v>
      </c>
      <c r="K9" s="22">
        <f>IF(AND(B9="I3",ISNUMBER(C9)),3,NA())</f>
        <v>0</v>
      </c>
      <c r="L9" s="22">
        <f>IF(AND(B9="I3",ISNUMBER(C9)),C9,NA())</f>
        <v>0</v>
      </c>
    </row>
    <row r="10" spans="1:12">
      <c r="A10" s="12">
        <f>'Registro piloto'!A10</f>
        <v>0</v>
      </c>
      <c r="B10" s="18">
        <f>'Registro piloto'!C10</f>
        <v>0</v>
      </c>
      <c r="C10" s="17">
        <f>IF(AND(ISNUMBER('Registro piloto'!K10),'Registro piloto'!H10&lt;&gt;"No"),'Registro piloto'!K10,"")</f>
        <v>0</v>
      </c>
      <c r="D10" s="17">
        <f>IF(ISNUMBER(C10),(C10-INDEX($C$22:$C$24,MATCH(B10,$A$22:$A$24,0)))^2,0)</f>
        <v>0</v>
      </c>
      <c r="E10" s="12">
        <f>A10</f>
        <v>0</v>
      </c>
      <c r="G10" s="22">
        <f>IF(AND(B10="I1",ISNUMBER(C10)),1,NA())</f>
        <v>0</v>
      </c>
      <c r="H10" s="22">
        <f>IF(AND(B10="I1",ISNUMBER(C10)),C10,NA())</f>
        <v>0</v>
      </c>
      <c r="I10" s="22">
        <f>IF(AND(B10="I2",ISNUMBER(C10)),2,NA())</f>
        <v>0</v>
      </c>
      <c r="J10" s="22">
        <f>IF(AND(B10="I2",ISNUMBER(C10)),C10,NA())</f>
        <v>0</v>
      </c>
      <c r="K10" s="22">
        <f>IF(AND(B10="I3",ISNUMBER(C10)),3,NA())</f>
        <v>0</v>
      </c>
      <c r="L10" s="22">
        <f>IF(AND(B10="I3",ISNUMBER(C10)),C10,NA())</f>
        <v>0</v>
      </c>
    </row>
    <row r="11" spans="1:12">
      <c r="A11" s="12">
        <f>'Registro piloto'!A11</f>
        <v>0</v>
      </c>
      <c r="B11" s="18">
        <f>'Registro piloto'!C11</f>
        <v>0</v>
      </c>
      <c r="C11" s="17">
        <f>IF(AND(ISNUMBER('Registro piloto'!K11),'Registro piloto'!H11&lt;&gt;"No"),'Registro piloto'!K11,"")</f>
        <v>0</v>
      </c>
      <c r="D11" s="17">
        <f>IF(ISNUMBER(C11),(C11-INDEX($C$22:$C$24,MATCH(B11,$A$22:$A$24,0)))^2,0)</f>
        <v>0</v>
      </c>
      <c r="E11" s="12">
        <f>A11</f>
        <v>0</v>
      </c>
      <c r="G11" s="22">
        <f>IF(AND(B11="I1",ISNUMBER(C11)),1,NA())</f>
        <v>0</v>
      </c>
      <c r="H11" s="22">
        <f>IF(AND(B11="I1",ISNUMBER(C11)),C11,NA())</f>
        <v>0</v>
      </c>
      <c r="I11" s="22">
        <f>IF(AND(B11="I2",ISNUMBER(C11)),2,NA())</f>
        <v>0</v>
      </c>
      <c r="J11" s="22">
        <f>IF(AND(B11="I2",ISNUMBER(C11)),C11,NA())</f>
        <v>0</v>
      </c>
      <c r="K11" s="22">
        <f>IF(AND(B11="I3",ISNUMBER(C11)),3,NA())</f>
        <v>0</v>
      </c>
      <c r="L11" s="22">
        <f>IF(AND(B11="I3",ISNUMBER(C11)),C11,NA())</f>
        <v>0</v>
      </c>
    </row>
    <row r="12" spans="1:12">
      <c r="A12" s="12">
        <f>'Registro piloto'!A12</f>
        <v>0</v>
      </c>
      <c r="B12" s="18">
        <f>'Registro piloto'!C12</f>
        <v>0</v>
      </c>
      <c r="C12" s="17">
        <f>IF(AND(ISNUMBER('Registro piloto'!K12),'Registro piloto'!H12&lt;&gt;"No"),'Registro piloto'!K12,"")</f>
        <v>0</v>
      </c>
      <c r="D12" s="17">
        <f>IF(ISNUMBER(C12),(C12-INDEX($C$22:$C$24,MATCH(B12,$A$22:$A$24,0)))^2,0)</f>
        <v>0</v>
      </c>
      <c r="E12" s="12">
        <f>A12</f>
        <v>0</v>
      </c>
      <c r="G12" s="22">
        <f>IF(AND(B12="I1",ISNUMBER(C12)),1,NA())</f>
        <v>0</v>
      </c>
      <c r="H12" s="22">
        <f>IF(AND(B12="I1",ISNUMBER(C12)),C12,NA())</f>
        <v>0</v>
      </c>
      <c r="I12" s="22">
        <f>IF(AND(B12="I2",ISNUMBER(C12)),2,NA())</f>
        <v>0</v>
      </c>
      <c r="J12" s="22">
        <f>IF(AND(B12="I2",ISNUMBER(C12)),C12,NA())</f>
        <v>0</v>
      </c>
      <c r="K12" s="22">
        <f>IF(AND(B12="I3",ISNUMBER(C12)),3,NA())</f>
        <v>0</v>
      </c>
      <c r="L12" s="22">
        <f>IF(AND(B12="I3",ISNUMBER(C12)),C12,NA())</f>
        <v>0</v>
      </c>
    </row>
    <row r="13" spans="1:12">
      <c r="A13" s="12">
        <f>'Registro piloto'!A13</f>
        <v>0</v>
      </c>
      <c r="B13" s="18">
        <f>'Registro piloto'!C13</f>
        <v>0</v>
      </c>
      <c r="C13" s="17">
        <f>IF(AND(ISNUMBER('Registro piloto'!K13),'Registro piloto'!H13&lt;&gt;"No"),'Registro piloto'!K13,"")</f>
        <v>0</v>
      </c>
      <c r="D13" s="17">
        <f>IF(ISNUMBER(C13),(C13-INDEX($C$22:$C$24,MATCH(B13,$A$22:$A$24,0)))^2,0)</f>
        <v>0</v>
      </c>
      <c r="E13" s="12">
        <f>A13</f>
        <v>0</v>
      </c>
      <c r="G13" s="22">
        <f>IF(AND(B13="I1",ISNUMBER(C13)),1,NA())</f>
        <v>0</v>
      </c>
      <c r="H13" s="22">
        <f>IF(AND(B13="I1",ISNUMBER(C13)),C13,NA())</f>
        <v>0</v>
      </c>
      <c r="I13" s="22">
        <f>IF(AND(B13="I2",ISNUMBER(C13)),2,NA())</f>
        <v>0</v>
      </c>
      <c r="J13" s="22">
        <f>IF(AND(B13="I2",ISNUMBER(C13)),C13,NA())</f>
        <v>0</v>
      </c>
      <c r="K13" s="22">
        <f>IF(AND(B13="I3",ISNUMBER(C13)),3,NA())</f>
        <v>0</v>
      </c>
      <c r="L13" s="22">
        <f>IF(AND(B13="I3",ISNUMBER(C13)),C13,NA())</f>
        <v>0</v>
      </c>
    </row>
    <row r="14" spans="1:12">
      <c r="A14" s="12">
        <f>'Registro piloto'!A14</f>
        <v>0</v>
      </c>
      <c r="B14" s="18">
        <f>'Registro piloto'!C14</f>
        <v>0</v>
      </c>
      <c r="C14" s="17">
        <f>IF(AND(ISNUMBER('Registro piloto'!K14),'Registro piloto'!H14&lt;&gt;"No"),'Registro piloto'!K14,"")</f>
        <v>0</v>
      </c>
      <c r="D14" s="17">
        <f>IF(ISNUMBER(C14),(C14-INDEX($C$22:$C$24,MATCH(B14,$A$22:$A$24,0)))^2,0)</f>
        <v>0</v>
      </c>
      <c r="E14" s="12">
        <f>A14</f>
        <v>0</v>
      </c>
      <c r="G14" s="22">
        <f>IF(AND(B14="I1",ISNUMBER(C14)),1,NA())</f>
        <v>0</v>
      </c>
      <c r="H14" s="22">
        <f>IF(AND(B14="I1",ISNUMBER(C14)),C14,NA())</f>
        <v>0</v>
      </c>
      <c r="I14" s="22">
        <f>IF(AND(B14="I2",ISNUMBER(C14)),2,NA())</f>
        <v>0</v>
      </c>
      <c r="J14" s="22">
        <f>IF(AND(B14="I2",ISNUMBER(C14)),C14,NA())</f>
        <v>0</v>
      </c>
      <c r="K14" s="22">
        <f>IF(AND(B14="I3",ISNUMBER(C14)),3,NA())</f>
        <v>0</v>
      </c>
      <c r="L14" s="22">
        <f>IF(AND(B14="I3",ISNUMBER(C14)),C14,NA())</f>
        <v>0</v>
      </c>
    </row>
    <row r="15" spans="1:12">
      <c r="A15" s="12">
        <f>'Registro piloto'!A15</f>
        <v>0</v>
      </c>
      <c r="B15" s="18">
        <f>'Registro piloto'!C15</f>
        <v>0</v>
      </c>
      <c r="C15" s="17">
        <f>IF(AND(ISNUMBER('Registro piloto'!K15),'Registro piloto'!H15&lt;&gt;"No"),'Registro piloto'!K15,"")</f>
        <v>0</v>
      </c>
      <c r="D15" s="17">
        <f>IF(ISNUMBER(C15),(C15-INDEX($C$22:$C$24,MATCH(B15,$A$22:$A$24,0)))^2,0)</f>
        <v>0</v>
      </c>
      <c r="E15" s="12">
        <f>A15</f>
        <v>0</v>
      </c>
      <c r="G15" s="22">
        <f>IF(AND(B15="I1",ISNUMBER(C15)),1,NA())</f>
        <v>0</v>
      </c>
      <c r="H15" s="22">
        <f>IF(AND(B15="I1",ISNUMBER(C15)),C15,NA())</f>
        <v>0</v>
      </c>
      <c r="I15" s="22">
        <f>IF(AND(B15="I2",ISNUMBER(C15)),2,NA())</f>
        <v>0</v>
      </c>
      <c r="J15" s="22">
        <f>IF(AND(B15="I2",ISNUMBER(C15)),C15,NA())</f>
        <v>0</v>
      </c>
      <c r="K15" s="22">
        <f>IF(AND(B15="I3",ISNUMBER(C15)),3,NA())</f>
        <v>0</v>
      </c>
      <c r="L15" s="22">
        <f>IF(AND(B15="I3",ISNUMBER(C15)),C15,NA())</f>
        <v>0</v>
      </c>
    </row>
    <row r="16" spans="1:12">
      <c r="A16" s="12">
        <f>'Registro piloto'!A16</f>
        <v>0</v>
      </c>
      <c r="B16" s="18">
        <f>'Registro piloto'!C16</f>
        <v>0</v>
      </c>
      <c r="C16" s="17">
        <f>IF(AND(ISNUMBER('Registro piloto'!K16),'Registro piloto'!H16&lt;&gt;"No"),'Registro piloto'!K16,"")</f>
        <v>0</v>
      </c>
      <c r="D16" s="17">
        <f>IF(ISNUMBER(C16),(C16-INDEX($C$22:$C$24,MATCH(B16,$A$22:$A$24,0)))^2,0)</f>
        <v>0</v>
      </c>
      <c r="E16" s="12">
        <f>A16</f>
        <v>0</v>
      </c>
      <c r="G16" s="22">
        <f>IF(AND(B16="I1",ISNUMBER(C16)),1,NA())</f>
        <v>0</v>
      </c>
      <c r="H16" s="22">
        <f>IF(AND(B16="I1",ISNUMBER(C16)),C16,NA())</f>
        <v>0</v>
      </c>
      <c r="I16" s="22">
        <f>IF(AND(B16="I2",ISNUMBER(C16)),2,NA())</f>
        <v>0</v>
      </c>
      <c r="J16" s="22">
        <f>IF(AND(B16="I2",ISNUMBER(C16)),C16,NA())</f>
        <v>0</v>
      </c>
      <c r="K16" s="22">
        <f>IF(AND(B16="I3",ISNUMBER(C16)),3,NA())</f>
        <v>0</v>
      </c>
      <c r="L16" s="22">
        <f>IF(AND(B16="I3",ISNUMBER(C16)),C16,NA())</f>
        <v>0</v>
      </c>
    </row>
    <row r="17" spans="1:14">
      <c r="A17" s="12">
        <f>'Registro piloto'!A17</f>
        <v>0</v>
      </c>
      <c r="B17" s="18">
        <f>'Registro piloto'!C17</f>
        <v>0</v>
      </c>
      <c r="C17" s="17">
        <f>IF(AND(ISNUMBER('Registro piloto'!K17),'Registro piloto'!H17&lt;&gt;"No"),'Registro piloto'!K17,"")</f>
        <v>0</v>
      </c>
      <c r="D17" s="17">
        <f>IF(ISNUMBER(C17),(C17-INDEX($C$22:$C$24,MATCH(B17,$A$22:$A$24,0)))^2,0)</f>
        <v>0</v>
      </c>
      <c r="E17" s="12">
        <f>A17</f>
        <v>0</v>
      </c>
      <c r="G17" s="22">
        <f>IF(AND(B17="I1",ISNUMBER(C17)),1,NA())</f>
        <v>0</v>
      </c>
      <c r="H17" s="22">
        <f>IF(AND(B17="I1",ISNUMBER(C17)),C17,NA())</f>
        <v>0</v>
      </c>
      <c r="I17" s="22">
        <f>IF(AND(B17="I2",ISNUMBER(C17)),2,NA())</f>
        <v>0</v>
      </c>
      <c r="J17" s="22">
        <f>IF(AND(B17="I2",ISNUMBER(C17)),C17,NA())</f>
        <v>0</v>
      </c>
      <c r="K17" s="22">
        <f>IF(AND(B17="I3",ISNUMBER(C17)),3,NA())</f>
        <v>0</v>
      </c>
      <c r="L17" s="22">
        <f>IF(AND(B17="I3",ISNUMBER(C17)),C17,NA())</f>
        <v>0</v>
      </c>
    </row>
    <row r="18" spans="1:14">
      <c r="A18" s="12">
        <f>'Registro piloto'!A18</f>
        <v>0</v>
      </c>
      <c r="B18" s="18">
        <f>'Registro piloto'!C18</f>
        <v>0</v>
      </c>
      <c r="C18" s="17">
        <f>IF(AND(ISNUMBER('Registro piloto'!K18),'Registro piloto'!H18&lt;&gt;"No"),'Registro piloto'!K18,"")</f>
        <v>0</v>
      </c>
      <c r="D18" s="17">
        <f>IF(ISNUMBER(C18),(C18-INDEX($C$22:$C$24,MATCH(B18,$A$22:$A$24,0)))^2,0)</f>
        <v>0</v>
      </c>
      <c r="E18" s="12">
        <f>A18</f>
        <v>0</v>
      </c>
      <c r="G18" s="22">
        <f>IF(AND(B18="I1",ISNUMBER(C18)),1,NA())</f>
        <v>0</v>
      </c>
      <c r="H18" s="22">
        <f>IF(AND(B18="I1",ISNUMBER(C18)),C18,NA())</f>
        <v>0</v>
      </c>
      <c r="I18" s="22">
        <f>IF(AND(B18="I2",ISNUMBER(C18)),2,NA())</f>
        <v>0</v>
      </c>
      <c r="J18" s="22">
        <f>IF(AND(B18="I2",ISNUMBER(C18)),C18,NA())</f>
        <v>0</v>
      </c>
      <c r="K18" s="22">
        <f>IF(AND(B18="I3",ISNUMBER(C18)),3,NA())</f>
        <v>0</v>
      </c>
      <c r="L18" s="22">
        <f>IF(AND(B18="I3",ISNUMBER(C18)),C18,NA())</f>
        <v>0</v>
      </c>
    </row>
    <row r="19" spans="1:14">
      <c r="A19" s="12">
        <f>'Registro piloto'!A19</f>
        <v>0</v>
      </c>
      <c r="B19" s="18">
        <f>'Registro piloto'!C19</f>
        <v>0</v>
      </c>
      <c r="C19" s="17">
        <f>IF(AND(ISNUMBER('Registro piloto'!K19),'Registro piloto'!H19&lt;&gt;"No"),'Registro piloto'!K19,"")</f>
        <v>0</v>
      </c>
      <c r="D19" s="17">
        <f>IF(ISNUMBER(C19),(C19-INDEX($C$22:$C$24,MATCH(B19,$A$22:$A$24,0)))^2,0)</f>
        <v>0</v>
      </c>
      <c r="E19" s="12">
        <f>A19</f>
        <v>0</v>
      </c>
      <c r="G19" s="22">
        <f>IF(AND(B19="I1",ISNUMBER(C19)),1,NA())</f>
        <v>0</v>
      </c>
      <c r="H19" s="22">
        <f>IF(AND(B19="I1",ISNUMBER(C19)),C19,NA())</f>
        <v>0</v>
      </c>
      <c r="I19" s="22">
        <f>IF(AND(B19="I2",ISNUMBER(C19)),2,NA())</f>
        <v>0</v>
      </c>
      <c r="J19" s="22">
        <f>IF(AND(B19="I2",ISNUMBER(C19)),C19,NA())</f>
        <v>0</v>
      </c>
      <c r="K19" s="22">
        <f>IF(AND(B19="I3",ISNUMBER(C19)),3,NA())</f>
        <v>0</v>
      </c>
      <c r="L19" s="22">
        <f>IF(AND(B19="I3",ISNUMBER(C19)),C19,NA())</f>
        <v>0</v>
      </c>
    </row>
    <row r="20" spans="1:14">
      <c r="G20" s="10" t="s">
        <v>187</v>
      </c>
      <c r="H20" s="10"/>
      <c r="I20" s="10"/>
      <c r="J20" s="10"/>
      <c r="K20" s="10"/>
      <c r="L20" s="10"/>
    </row>
    <row r="21" spans="1:14">
      <c r="A21" s="6" t="s">
        <v>141</v>
      </c>
      <c r="B21" s="6" t="s">
        <v>188</v>
      </c>
      <c r="C21" s="6" t="s">
        <v>189</v>
      </c>
      <c r="D21" s="6" t="s">
        <v>190</v>
      </c>
      <c r="E21" s="6" t="s">
        <v>191</v>
      </c>
      <c r="G21" s="6" t="s">
        <v>142</v>
      </c>
      <c r="H21" s="6" t="s">
        <v>192</v>
      </c>
      <c r="I21" s="6" t="s">
        <v>193</v>
      </c>
      <c r="J21" s="6" t="s">
        <v>194</v>
      </c>
    </row>
    <row r="22" spans="1:14">
      <c r="A22" s="7" t="s">
        <v>57</v>
      </c>
      <c r="B22" s="12">
        <f>COUNTIFS($B$5:$B$19,A22,$C$5:$C$19,"&gt;0")</f>
        <v>0</v>
      </c>
      <c r="C22" s="23">
        <f>IF(B22=0,"",AVERAGEIFS($C$5:$C$19,$B$5:$B$19,A22))</f>
        <v>0</v>
      </c>
      <c r="D22" s="23">
        <f>IF(B22&lt;2,"",SQRT(SUMIFS($D$5:$D$19,$B$5:$B$19,A22)/(B22-1)))</f>
        <v>0</v>
      </c>
      <c r="E22" s="17">
        <f>IF(ISNUMBER(D22),100*D22/C22,"")</f>
        <v>0</v>
      </c>
      <c r="G22" s="16">
        <f>IF(I1_A="","",I1_A)</f>
        <v>0</v>
      </c>
      <c r="H22" s="16">
        <f>IF(ISNUMBER(tau0_1),tau0_1,NA())</f>
        <v>0</v>
      </c>
      <c r="I22" s="17">
        <f>IF(AND(ISNUMBER(C22),ISNUMBER(H22)),C22-H22,"")</f>
        <v>0</v>
      </c>
      <c r="J22" s="22">
        <v>1</v>
      </c>
    </row>
    <row r="23" spans="1:14">
      <c r="A23" s="7" t="s">
        <v>58</v>
      </c>
      <c r="B23" s="12">
        <f>COUNTIFS($B$5:$B$19,A23,$C$5:$C$19,"&gt;0")</f>
        <v>0</v>
      </c>
      <c r="C23" s="23">
        <f>IF(B23=0,"",AVERAGEIFS($C$5:$C$19,$B$5:$B$19,A23))</f>
        <v>0</v>
      </c>
      <c r="D23" s="23">
        <f>IF(B23&lt;2,"",SQRT(SUMIFS($D$5:$D$19,$B$5:$B$19,A23)/(B23-1)))</f>
        <v>0</v>
      </c>
      <c r="E23" s="17">
        <f>IF(ISNUMBER(D23),100*D23/C23,"")</f>
        <v>0</v>
      </c>
      <c r="G23" s="16">
        <f>IF(I2_A="","",I2_A)</f>
        <v>0</v>
      </c>
      <c r="H23" s="16">
        <f>IF(ISNUMBER(tau0_2),tau0_2,NA())</f>
        <v>0</v>
      </c>
      <c r="I23" s="17">
        <f>IF(AND(ISNUMBER(C23),ISNUMBER(H23)),C23-H23,"")</f>
        <v>0</v>
      </c>
      <c r="J23" s="22">
        <v>2</v>
      </c>
    </row>
    <row r="24" spans="1:14">
      <c r="A24" s="7" t="s">
        <v>59</v>
      </c>
      <c r="B24" s="12">
        <f>COUNTIFS($B$5:$B$19,A24,$C$5:$C$19,"&gt;0")</f>
        <v>0</v>
      </c>
      <c r="C24" s="23">
        <f>IF(B24=0,"",AVERAGEIFS($C$5:$C$19,$B$5:$B$19,A24))</f>
        <v>0</v>
      </c>
      <c r="D24" s="23">
        <f>IF(B24&lt;2,"",SQRT(SUMIFS($D$5:$D$19,$B$5:$B$19,A24)/(B24-1)))</f>
        <v>0</v>
      </c>
      <c r="E24" s="17">
        <f>IF(ISNUMBER(D24),100*D24/C24,"")</f>
        <v>0</v>
      </c>
      <c r="G24" s="16">
        <f>IF(I3_A="","",I3_A)</f>
        <v>0</v>
      </c>
      <c r="H24" s="16">
        <f>IF(ISNUMBER(tau0_3),tau0_3,NA())</f>
        <v>0</v>
      </c>
      <c r="I24" s="17">
        <f>IF(AND(ISNUMBER(C24),ISNUMBER(H24)),C24-H24,"")</f>
        <v>0</v>
      </c>
      <c r="J24" s="22">
        <v>3</v>
      </c>
    </row>
    <row r="25" spans="1:14">
      <c r="A25" s="10" t="s">
        <v>195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</sheetData>
  <mergeCells count="2">
    <mergeCell ref="G20:L20"/>
    <mergeCell ref="A25:N26"/>
  </mergeCells>
  <conditionalFormatting sqref="G5:L19">
    <cfRule type="containsErrors" dxfId="3" priority="1">
      <formula>ISERROR(G5)</formula>
    </cfRule>
  </conditionalFormatting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03"/>
  <sheetViews>
    <sheetView workbookViewId="0"/>
  </sheetViews>
  <sheetFormatPr defaultRowHeight="15" outlineLevelCol="1"/>
  <cols>
    <col min="1" max="1" width="52.7109375" customWidth="1"/>
    <col min="2" max="5" width="13.7109375" customWidth="1"/>
    <col min="6" max="6" width="2.7109375" customWidth="1"/>
    <col min="7" max="7" width="60.7109375" customWidth="1"/>
    <col min="8" max="8" width="2.7109375" customWidth="1"/>
    <col min="9" max="14" width="9.7109375" customWidth="1"/>
    <col min="15" max="18" width="9.7109375" hidden="1" customWidth="1" outlineLevel="1"/>
    <col min="19" max="19" width="9.7109375" customWidth="1"/>
  </cols>
  <sheetData>
    <row r="1" spans="1:19">
      <c r="A1" s="1" t="s">
        <v>196</v>
      </c>
    </row>
    <row r="2" spans="1:19">
      <c r="A2" s="2" t="s">
        <v>197</v>
      </c>
    </row>
    <row r="3" spans="1:19">
      <c r="I3" s="24" t="s">
        <v>239</v>
      </c>
    </row>
    <row r="4" spans="1:19">
      <c r="A4" s="6" t="s">
        <v>198</v>
      </c>
      <c r="B4" s="6" t="s">
        <v>57</v>
      </c>
      <c r="C4" s="6" t="s">
        <v>58</v>
      </c>
      <c r="D4" s="6" t="s">
        <v>59</v>
      </c>
      <c r="E4" s="6" t="s">
        <v>199</v>
      </c>
      <c r="I4" s="6" t="s">
        <v>188</v>
      </c>
      <c r="J4" s="6" t="s">
        <v>240</v>
      </c>
      <c r="K4" s="6" t="s">
        <v>241</v>
      </c>
      <c r="L4" s="6" t="s">
        <v>242</v>
      </c>
      <c r="M4" s="6" t="s">
        <v>243</v>
      </c>
      <c r="N4" s="6" t="s">
        <v>244</v>
      </c>
      <c r="O4" s="6" t="s">
        <v>245</v>
      </c>
      <c r="P4" s="6" t="s">
        <v>246</v>
      </c>
      <c r="Q4" s="6" t="s">
        <v>247</v>
      </c>
      <c r="R4" s="6" t="s">
        <v>248</v>
      </c>
      <c r="S4" s="6" t="s">
        <v>249</v>
      </c>
    </row>
    <row r="5" spans="1:19">
      <c r="A5" s="8" t="s">
        <v>200</v>
      </c>
      <c r="B5" s="16">
        <f>n_I1</f>
        <v>0</v>
      </c>
      <c r="C5" s="16">
        <f>n_I2</f>
        <v>0</v>
      </c>
      <c r="D5" s="16">
        <f>n_I3</f>
        <v>0</v>
      </c>
      <c r="I5" s="12">
        <v>2</v>
      </c>
      <c r="J5" s="12">
        <f>I5-1</f>
        <v>0</v>
      </c>
      <c r="K5" s="19">
        <f>IF(colas=2,TINV(alfa,J5),TINV(2*alfa,J5))</f>
        <v>0</v>
      </c>
      <c r="L5" s="19">
        <f>IF(ISNUMBER($E$19),$E$19*SQRT(I5),"")</f>
        <v>0</v>
      </c>
      <c r="M5" s="19">
        <f>IF(ISNUMBER($E$19),((1-NORMSDIST((K5*(1-1/(4*J5))-($E$19)*SQRT(I5))/SQRT(1+K5^2/(2*J5))))+IF(colas=2,NORMSDIST((-K5*(1-1/(4*J5))-($E$19)*SQRT(I5))/SQRT(1+K5^2/(2*J5))),0)),"")</f>
        <v>0</v>
      </c>
      <c r="N5" s="12">
        <f>IF(ISNUMBER(M5),IF(M5&gt;=potencia,I5,""),"")</f>
        <v>0</v>
      </c>
      <c r="O5" s="19">
        <f>(K5+TINV(2*(1-potencia),J5))/SQRT(I5)</f>
        <v>0</v>
      </c>
      <c r="P5" s="19">
        <f>IFERROR(O5-(((1-NORMSDIST((K5*(1-1/(4*J5))-(O5)*SQRT(I5))/SQRT(1+K5^2/(2*J5))))+IF(colas=2,NORMSDIST((-K5*(1-1/(4*J5))-(O5)*SQRT(I5))/SQRT(1+K5^2/(2*J5))),0))-potencia)/((((1-NORMSDIST((K5*(1-1/(4*J5))-(O5+(0.001*O5))*SQRT(I5))/SQRT(1+K5^2/(2*J5))))+IF(colas=2,NORMSDIST((-K5*(1-1/(4*J5))-(O5+(0.001*O5))*SQRT(I5))/SQRT(1+K5^2/(2*J5))),0))-((1-NORMSDIST((K5*(1-1/(4*J5))-(O5-(0.001*O5))*SQRT(I5))/SQRT(1+K5^2/(2*J5))))+IF(colas=2,NORMSDIST((-K5*(1-1/(4*J5))-(O5-(0.001*O5))*SQRT(I5))/SQRT(1+K5^2/(2*J5))),0)))/(2*(0.001*O5))),O5)</f>
        <v>0</v>
      </c>
      <c r="Q5" s="19">
        <f>IFERROR(P5-(((1-NORMSDIST((K5*(1-1/(4*J5))-(P5)*SQRT(I5))/SQRT(1+K5^2/(2*J5))))+IF(colas=2,NORMSDIST((-K5*(1-1/(4*J5))-(P5)*SQRT(I5))/SQRT(1+K5^2/(2*J5))),0))-potencia)/((((1-NORMSDIST((K5*(1-1/(4*J5))-(P5+(0.001*P5))*SQRT(I5))/SQRT(1+K5^2/(2*J5))))+IF(colas=2,NORMSDIST((-K5*(1-1/(4*J5))-(P5+(0.001*P5))*SQRT(I5))/SQRT(1+K5^2/(2*J5))),0))-((1-NORMSDIST((K5*(1-1/(4*J5))-(P5-(0.001*P5))*SQRT(I5))/SQRT(1+K5^2/(2*J5))))+IF(colas=2,NORMSDIST((-K5*(1-1/(4*J5))-(P5-(0.001*P5))*SQRT(I5))/SQRT(1+K5^2/(2*J5))),0)))/(2*(0.001*P5))),P5)</f>
        <v>0</v>
      </c>
      <c r="R5" s="19">
        <f>IFERROR(Q5-(((1-NORMSDIST((K5*(1-1/(4*J5))-(Q5)*SQRT(I5))/SQRT(1+K5^2/(2*J5))))+IF(colas=2,NORMSDIST((-K5*(1-1/(4*J5))-(Q5)*SQRT(I5))/SQRT(1+K5^2/(2*J5))),0))-potencia)/((((1-NORMSDIST((K5*(1-1/(4*J5))-(Q5+(0.001*Q5))*SQRT(I5))/SQRT(1+K5^2/(2*J5))))+IF(colas=2,NORMSDIST((-K5*(1-1/(4*J5))-(Q5+(0.001*Q5))*SQRT(I5))/SQRT(1+K5^2/(2*J5))),0))-((1-NORMSDIST((K5*(1-1/(4*J5))-(Q5-(0.001*Q5))*SQRT(I5))/SQRT(1+K5^2/(2*J5))))+IF(colas=2,NORMSDIST((-K5*(1-1/(4*J5))-(Q5-(0.001*Q5))*SQRT(I5))/SQRT(1+K5^2/(2*J5))),0)))/(2*(0.001*Q5))),Q5)</f>
        <v>0</v>
      </c>
      <c r="S5" s="19">
        <f>R5</f>
        <v>0</v>
      </c>
    </row>
    <row r="6" spans="1:19">
      <c r="A6" s="8" t="s">
        <v>201</v>
      </c>
      <c r="B6" s="16">
        <f>IF(ISNUMBER(S_I1),S_I1,"")</f>
        <v>0</v>
      </c>
      <c r="C6" s="16">
        <f>IF(ISNUMBER(S_I2),S_I2,"")</f>
        <v>0</v>
      </c>
      <c r="D6" s="16">
        <f>IF(ISNUMBER(S_I3),S_I3,"")</f>
        <v>0</v>
      </c>
      <c r="E6" s="17">
        <f>IF(COUNT(B6:D6)=0,"",MAX(B6:D6))</f>
        <v>0</v>
      </c>
      <c r="I6" s="12">
        <v>3</v>
      </c>
      <c r="J6" s="12">
        <f>I6-1</f>
        <v>0</v>
      </c>
      <c r="K6" s="19">
        <f>IF(colas=2,TINV(alfa,J6),TINV(2*alfa,J6))</f>
        <v>0</v>
      </c>
      <c r="L6" s="19">
        <f>IF(ISNUMBER($E$19),$E$19*SQRT(I6),"")</f>
        <v>0</v>
      </c>
      <c r="M6" s="19">
        <f>IF(ISNUMBER($E$19),((1-NORMSDIST((K6*(1-1/(4*J6))-($E$19)*SQRT(I6))/SQRT(1+K6^2/(2*J6))))+IF(colas=2,NORMSDIST((-K6*(1-1/(4*J6))-($E$19)*SQRT(I6))/SQRT(1+K6^2/(2*J6))),0)),"")</f>
        <v>0</v>
      </c>
      <c r="N6" s="12">
        <f>IF(ISNUMBER(M6),IF(M6&gt;=potencia,I6,""),"")</f>
        <v>0</v>
      </c>
      <c r="O6" s="19">
        <f>(K6+TINV(2*(1-potencia),J6))/SQRT(I6)</f>
        <v>0</v>
      </c>
      <c r="P6" s="19">
        <f>IFERROR(O6-(((1-NORMSDIST((K6*(1-1/(4*J6))-(O6)*SQRT(I6))/SQRT(1+K6^2/(2*J6))))+IF(colas=2,NORMSDIST((-K6*(1-1/(4*J6))-(O6)*SQRT(I6))/SQRT(1+K6^2/(2*J6))),0))-potencia)/((((1-NORMSDIST((K6*(1-1/(4*J6))-(O6+(0.001*O6))*SQRT(I6))/SQRT(1+K6^2/(2*J6))))+IF(colas=2,NORMSDIST((-K6*(1-1/(4*J6))-(O6+(0.001*O6))*SQRT(I6))/SQRT(1+K6^2/(2*J6))),0))-((1-NORMSDIST((K6*(1-1/(4*J6))-(O6-(0.001*O6))*SQRT(I6))/SQRT(1+K6^2/(2*J6))))+IF(colas=2,NORMSDIST((-K6*(1-1/(4*J6))-(O6-(0.001*O6))*SQRT(I6))/SQRT(1+K6^2/(2*J6))),0)))/(2*(0.001*O6))),O6)</f>
        <v>0</v>
      </c>
      <c r="Q6" s="19">
        <f>IFERROR(P6-(((1-NORMSDIST((K6*(1-1/(4*J6))-(P6)*SQRT(I6))/SQRT(1+K6^2/(2*J6))))+IF(colas=2,NORMSDIST((-K6*(1-1/(4*J6))-(P6)*SQRT(I6))/SQRT(1+K6^2/(2*J6))),0))-potencia)/((((1-NORMSDIST((K6*(1-1/(4*J6))-(P6+(0.001*P6))*SQRT(I6))/SQRT(1+K6^2/(2*J6))))+IF(colas=2,NORMSDIST((-K6*(1-1/(4*J6))-(P6+(0.001*P6))*SQRT(I6))/SQRT(1+K6^2/(2*J6))),0))-((1-NORMSDIST((K6*(1-1/(4*J6))-(P6-(0.001*P6))*SQRT(I6))/SQRT(1+K6^2/(2*J6))))+IF(colas=2,NORMSDIST((-K6*(1-1/(4*J6))-(P6-(0.001*P6))*SQRT(I6))/SQRT(1+K6^2/(2*J6))),0)))/(2*(0.001*P6))),P6)</f>
        <v>0</v>
      </c>
      <c r="R6" s="19">
        <f>IFERROR(Q6-(((1-NORMSDIST((K6*(1-1/(4*J6))-(Q6)*SQRT(I6))/SQRT(1+K6^2/(2*J6))))+IF(colas=2,NORMSDIST((-K6*(1-1/(4*J6))-(Q6)*SQRT(I6))/SQRT(1+K6^2/(2*J6))),0))-potencia)/((((1-NORMSDIST((K6*(1-1/(4*J6))-(Q6+(0.001*Q6))*SQRT(I6))/SQRT(1+K6^2/(2*J6))))+IF(colas=2,NORMSDIST((-K6*(1-1/(4*J6))-(Q6+(0.001*Q6))*SQRT(I6))/SQRT(1+K6^2/(2*J6))),0))-((1-NORMSDIST((K6*(1-1/(4*J6))-(Q6-(0.001*Q6))*SQRT(I6))/SQRT(1+K6^2/(2*J6))))+IF(colas=2,NORMSDIST((-K6*(1-1/(4*J6))-(Q6-(0.001*Q6))*SQRT(I6))/SQRT(1+K6^2/(2*J6))),0)))/(2*(0.001*Q6))),Q6)</f>
        <v>0</v>
      </c>
      <c r="S6" s="19">
        <f>R6</f>
        <v>0</v>
      </c>
    </row>
    <row r="7" spans="1:19">
      <c r="A7" s="8" t="s">
        <v>202</v>
      </c>
      <c r="E7" s="18">
        <f>IF(ISNUMBER(E6),INDEX($B$4:$D$4,MATCH(E6,B6:D6,0)),"")</f>
        <v>0</v>
      </c>
      <c r="I7" s="12">
        <v>4</v>
      </c>
      <c r="J7" s="12">
        <f>I7-1</f>
        <v>0</v>
      </c>
      <c r="K7" s="19">
        <f>IF(colas=2,TINV(alfa,J7),TINV(2*alfa,J7))</f>
        <v>0</v>
      </c>
      <c r="L7" s="19">
        <f>IF(ISNUMBER($E$19),$E$19*SQRT(I7),"")</f>
        <v>0</v>
      </c>
      <c r="M7" s="19">
        <f>IF(ISNUMBER($E$19),((1-NORMSDIST((K7*(1-1/(4*J7))-($E$19)*SQRT(I7))/SQRT(1+K7^2/(2*J7))))+IF(colas=2,NORMSDIST((-K7*(1-1/(4*J7))-($E$19)*SQRT(I7))/SQRT(1+K7^2/(2*J7))),0)),"")</f>
        <v>0</v>
      </c>
      <c r="N7" s="12">
        <f>IF(ISNUMBER(M7),IF(M7&gt;=potencia,I7,""),"")</f>
        <v>0</v>
      </c>
      <c r="O7" s="19">
        <f>(K7+TINV(2*(1-potencia),J7))/SQRT(I7)</f>
        <v>0</v>
      </c>
      <c r="P7" s="19">
        <f>IFERROR(O7-(((1-NORMSDIST((K7*(1-1/(4*J7))-(O7)*SQRT(I7))/SQRT(1+K7^2/(2*J7))))+IF(colas=2,NORMSDIST((-K7*(1-1/(4*J7))-(O7)*SQRT(I7))/SQRT(1+K7^2/(2*J7))),0))-potencia)/((((1-NORMSDIST((K7*(1-1/(4*J7))-(O7+(0.001*O7))*SQRT(I7))/SQRT(1+K7^2/(2*J7))))+IF(colas=2,NORMSDIST((-K7*(1-1/(4*J7))-(O7+(0.001*O7))*SQRT(I7))/SQRT(1+K7^2/(2*J7))),0))-((1-NORMSDIST((K7*(1-1/(4*J7))-(O7-(0.001*O7))*SQRT(I7))/SQRT(1+K7^2/(2*J7))))+IF(colas=2,NORMSDIST((-K7*(1-1/(4*J7))-(O7-(0.001*O7))*SQRT(I7))/SQRT(1+K7^2/(2*J7))),0)))/(2*(0.001*O7))),O7)</f>
        <v>0</v>
      </c>
      <c r="Q7" s="19">
        <f>IFERROR(P7-(((1-NORMSDIST((K7*(1-1/(4*J7))-(P7)*SQRT(I7))/SQRT(1+K7^2/(2*J7))))+IF(colas=2,NORMSDIST((-K7*(1-1/(4*J7))-(P7)*SQRT(I7))/SQRT(1+K7^2/(2*J7))),0))-potencia)/((((1-NORMSDIST((K7*(1-1/(4*J7))-(P7+(0.001*P7))*SQRT(I7))/SQRT(1+K7^2/(2*J7))))+IF(colas=2,NORMSDIST((-K7*(1-1/(4*J7))-(P7+(0.001*P7))*SQRT(I7))/SQRT(1+K7^2/(2*J7))),0))-((1-NORMSDIST((K7*(1-1/(4*J7))-(P7-(0.001*P7))*SQRT(I7))/SQRT(1+K7^2/(2*J7))))+IF(colas=2,NORMSDIST((-K7*(1-1/(4*J7))-(P7-(0.001*P7))*SQRT(I7))/SQRT(1+K7^2/(2*J7))),0)))/(2*(0.001*P7))),P7)</f>
        <v>0</v>
      </c>
      <c r="R7" s="19">
        <f>IFERROR(Q7-(((1-NORMSDIST((K7*(1-1/(4*J7))-(Q7)*SQRT(I7))/SQRT(1+K7^2/(2*J7))))+IF(colas=2,NORMSDIST((-K7*(1-1/(4*J7))-(Q7)*SQRT(I7))/SQRT(1+K7^2/(2*J7))),0))-potencia)/((((1-NORMSDIST((K7*(1-1/(4*J7))-(Q7+(0.001*Q7))*SQRT(I7))/SQRT(1+K7^2/(2*J7))))+IF(colas=2,NORMSDIST((-K7*(1-1/(4*J7))-(Q7+(0.001*Q7))*SQRT(I7))/SQRT(1+K7^2/(2*J7))),0))-((1-NORMSDIST((K7*(1-1/(4*J7))-(Q7-(0.001*Q7))*SQRT(I7))/SQRT(1+K7^2/(2*J7))))+IF(colas=2,NORMSDIST((-K7*(1-1/(4*J7))-(Q7-(0.001*Q7))*SQRT(I7))/SQRT(1+K7^2/(2*J7))),0)))/(2*(0.001*Q7))),Q7)</f>
        <v>0</v>
      </c>
      <c r="S7" s="19">
        <f>R7</f>
        <v>0</v>
      </c>
    </row>
    <row r="8" spans="1:19">
      <c r="A8" s="8" t="s">
        <v>203</v>
      </c>
      <c r="E8" s="12">
        <f>IF(ISNUMBER(E6),INDEX(B5:D5,MATCH(E6,B6:D6,0)),"")</f>
        <v>0</v>
      </c>
      <c r="I8" s="12">
        <v>5</v>
      </c>
      <c r="J8" s="12">
        <f>I8-1</f>
        <v>0</v>
      </c>
      <c r="K8" s="19">
        <f>IF(colas=2,TINV(alfa,J8),TINV(2*alfa,J8))</f>
        <v>0</v>
      </c>
      <c r="L8" s="19">
        <f>IF(ISNUMBER($E$19),$E$19*SQRT(I8),"")</f>
        <v>0</v>
      </c>
      <c r="M8" s="19">
        <f>IF(ISNUMBER($E$19),((1-NORMSDIST((K8*(1-1/(4*J8))-($E$19)*SQRT(I8))/SQRT(1+K8^2/(2*J8))))+IF(colas=2,NORMSDIST((-K8*(1-1/(4*J8))-($E$19)*SQRT(I8))/SQRT(1+K8^2/(2*J8))),0)),"")</f>
        <v>0</v>
      </c>
      <c r="N8" s="12">
        <f>IF(ISNUMBER(M8),IF(M8&gt;=potencia,I8,""),"")</f>
        <v>0</v>
      </c>
      <c r="O8" s="19">
        <f>(K8+TINV(2*(1-potencia),J8))/SQRT(I8)</f>
        <v>0</v>
      </c>
      <c r="P8" s="19">
        <f>IFERROR(O8-(((1-NORMSDIST((K8*(1-1/(4*J8))-(O8)*SQRT(I8))/SQRT(1+K8^2/(2*J8))))+IF(colas=2,NORMSDIST((-K8*(1-1/(4*J8))-(O8)*SQRT(I8))/SQRT(1+K8^2/(2*J8))),0))-potencia)/((((1-NORMSDIST((K8*(1-1/(4*J8))-(O8+(0.001*O8))*SQRT(I8))/SQRT(1+K8^2/(2*J8))))+IF(colas=2,NORMSDIST((-K8*(1-1/(4*J8))-(O8+(0.001*O8))*SQRT(I8))/SQRT(1+K8^2/(2*J8))),0))-((1-NORMSDIST((K8*(1-1/(4*J8))-(O8-(0.001*O8))*SQRT(I8))/SQRT(1+K8^2/(2*J8))))+IF(colas=2,NORMSDIST((-K8*(1-1/(4*J8))-(O8-(0.001*O8))*SQRT(I8))/SQRT(1+K8^2/(2*J8))),0)))/(2*(0.001*O8))),O8)</f>
        <v>0</v>
      </c>
      <c r="Q8" s="19">
        <f>IFERROR(P8-(((1-NORMSDIST((K8*(1-1/(4*J8))-(P8)*SQRT(I8))/SQRT(1+K8^2/(2*J8))))+IF(colas=2,NORMSDIST((-K8*(1-1/(4*J8))-(P8)*SQRT(I8))/SQRT(1+K8^2/(2*J8))),0))-potencia)/((((1-NORMSDIST((K8*(1-1/(4*J8))-(P8+(0.001*P8))*SQRT(I8))/SQRT(1+K8^2/(2*J8))))+IF(colas=2,NORMSDIST((-K8*(1-1/(4*J8))-(P8+(0.001*P8))*SQRT(I8))/SQRT(1+K8^2/(2*J8))),0))-((1-NORMSDIST((K8*(1-1/(4*J8))-(P8-(0.001*P8))*SQRT(I8))/SQRT(1+K8^2/(2*J8))))+IF(colas=2,NORMSDIST((-K8*(1-1/(4*J8))-(P8-(0.001*P8))*SQRT(I8))/SQRT(1+K8^2/(2*J8))),0)))/(2*(0.001*P8))),P8)</f>
        <v>0</v>
      </c>
      <c r="R8" s="19">
        <f>IFERROR(Q8-(((1-NORMSDIST((K8*(1-1/(4*J8))-(Q8)*SQRT(I8))/SQRT(1+K8^2/(2*J8))))+IF(colas=2,NORMSDIST((-K8*(1-1/(4*J8))-(Q8)*SQRT(I8))/SQRT(1+K8^2/(2*J8))),0))-potencia)/((((1-NORMSDIST((K8*(1-1/(4*J8))-(Q8+(0.001*Q8))*SQRT(I8))/SQRT(1+K8^2/(2*J8))))+IF(colas=2,NORMSDIST((-K8*(1-1/(4*J8))-(Q8+(0.001*Q8))*SQRT(I8))/SQRT(1+K8^2/(2*J8))),0))-((1-NORMSDIST((K8*(1-1/(4*J8))-(Q8-(0.001*Q8))*SQRT(I8))/SQRT(1+K8^2/(2*J8))))+IF(colas=2,NORMSDIST((-K8*(1-1/(4*J8))-(Q8-(0.001*Q8))*SQRT(I8))/SQRT(1+K8^2/(2*J8))),0)))/(2*(0.001*Q8))),Q8)</f>
        <v>0</v>
      </c>
      <c r="S8" s="19">
        <f>R8</f>
        <v>0</v>
      </c>
    </row>
    <row r="9" spans="1:19">
      <c r="A9" s="8" t="s">
        <v>204</v>
      </c>
      <c r="E9" s="19">
        <f>IF(AND(ISNUMBER(E8),E8&gt;=2),SQRT((E8-1)/CHIINV(conf_sigma,E8-1)),"")</f>
        <v>0</v>
      </c>
      <c r="G9" s="10" t="s">
        <v>206</v>
      </c>
      <c r="I9" s="12">
        <v>6</v>
      </c>
      <c r="J9" s="12">
        <f>I9-1</f>
        <v>0</v>
      </c>
      <c r="K9" s="19">
        <f>IF(colas=2,TINV(alfa,J9),TINV(2*alfa,J9))</f>
        <v>0</v>
      </c>
      <c r="L9" s="19">
        <f>IF(ISNUMBER($E$19),$E$19*SQRT(I9),"")</f>
        <v>0</v>
      </c>
      <c r="M9" s="19">
        <f>IF(ISNUMBER($E$19),((1-NORMSDIST((K9*(1-1/(4*J9))-($E$19)*SQRT(I9))/SQRT(1+K9^2/(2*J9))))+IF(colas=2,NORMSDIST((-K9*(1-1/(4*J9))-($E$19)*SQRT(I9))/SQRT(1+K9^2/(2*J9))),0)),"")</f>
        <v>0</v>
      </c>
      <c r="N9" s="12">
        <f>IF(ISNUMBER(M9),IF(M9&gt;=potencia,I9,""),"")</f>
        <v>0</v>
      </c>
      <c r="O9" s="19">
        <f>(K9+TINV(2*(1-potencia),J9))/SQRT(I9)</f>
        <v>0</v>
      </c>
      <c r="P9" s="19">
        <f>IFERROR(O9-(((1-NORMSDIST((K9*(1-1/(4*J9))-(O9)*SQRT(I9))/SQRT(1+K9^2/(2*J9))))+IF(colas=2,NORMSDIST((-K9*(1-1/(4*J9))-(O9)*SQRT(I9))/SQRT(1+K9^2/(2*J9))),0))-potencia)/((((1-NORMSDIST((K9*(1-1/(4*J9))-(O9+(0.001*O9))*SQRT(I9))/SQRT(1+K9^2/(2*J9))))+IF(colas=2,NORMSDIST((-K9*(1-1/(4*J9))-(O9+(0.001*O9))*SQRT(I9))/SQRT(1+K9^2/(2*J9))),0))-((1-NORMSDIST((K9*(1-1/(4*J9))-(O9-(0.001*O9))*SQRT(I9))/SQRT(1+K9^2/(2*J9))))+IF(colas=2,NORMSDIST((-K9*(1-1/(4*J9))-(O9-(0.001*O9))*SQRT(I9))/SQRT(1+K9^2/(2*J9))),0)))/(2*(0.001*O9))),O9)</f>
        <v>0</v>
      </c>
      <c r="Q9" s="19">
        <f>IFERROR(P9-(((1-NORMSDIST((K9*(1-1/(4*J9))-(P9)*SQRT(I9))/SQRT(1+K9^2/(2*J9))))+IF(colas=2,NORMSDIST((-K9*(1-1/(4*J9))-(P9)*SQRT(I9))/SQRT(1+K9^2/(2*J9))),0))-potencia)/((((1-NORMSDIST((K9*(1-1/(4*J9))-(P9+(0.001*P9))*SQRT(I9))/SQRT(1+K9^2/(2*J9))))+IF(colas=2,NORMSDIST((-K9*(1-1/(4*J9))-(P9+(0.001*P9))*SQRT(I9))/SQRT(1+K9^2/(2*J9))),0))-((1-NORMSDIST((K9*(1-1/(4*J9))-(P9-(0.001*P9))*SQRT(I9))/SQRT(1+K9^2/(2*J9))))+IF(colas=2,NORMSDIST((-K9*(1-1/(4*J9))-(P9-(0.001*P9))*SQRT(I9))/SQRT(1+K9^2/(2*J9))),0)))/(2*(0.001*P9))),P9)</f>
        <v>0</v>
      </c>
      <c r="R9" s="19">
        <f>IFERROR(Q9-(((1-NORMSDIST((K9*(1-1/(4*J9))-(Q9)*SQRT(I9))/SQRT(1+K9^2/(2*J9))))+IF(colas=2,NORMSDIST((-K9*(1-1/(4*J9))-(Q9)*SQRT(I9))/SQRT(1+K9^2/(2*J9))),0))-potencia)/((((1-NORMSDIST((K9*(1-1/(4*J9))-(Q9+(0.001*Q9))*SQRT(I9))/SQRT(1+K9^2/(2*J9))))+IF(colas=2,NORMSDIST((-K9*(1-1/(4*J9))-(Q9+(0.001*Q9))*SQRT(I9))/SQRT(1+K9^2/(2*J9))),0))-((1-NORMSDIST((K9*(1-1/(4*J9))-(Q9-(0.001*Q9))*SQRT(I9))/SQRT(1+K9^2/(2*J9))))+IF(colas=2,NORMSDIST((-K9*(1-1/(4*J9))-(Q9-(0.001*Q9))*SQRT(I9))/SQRT(1+K9^2/(2*J9))),0)))/(2*(0.001*Q9))),Q9)</f>
        <v>0</v>
      </c>
      <c r="S9" s="19">
        <f>R9</f>
        <v>0</v>
      </c>
    </row>
    <row r="10" spans="1:19">
      <c r="A10" s="7" t="s">
        <v>205</v>
      </c>
      <c r="E10" s="23">
        <f>IF(ISNUMBER(E9),E9*E6,"")</f>
        <v>0</v>
      </c>
      <c r="I10" s="12">
        <v>7</v>
      </c>
      <c r="J10" s="12">
        <f>I10-1</f>
        <v>0</v>
      </c>
      <c r="K10" s="19">
        <f>IF(colas=2,TINV(alfa,J10),TINV(2*alfa,J10))</f>
        <v>0</v>
      </c>
      <c r="L10" s="19">
        <f>IF(ISNUMBER($E$19),$E$19*SQRT(I10),"")</f>
        <v>0</v>
      </c>
      <c r="M10" s="19">
        <f>IF(ISNUMBER($E$19),((1-NORMSDIST((K10*(1-1/(4*J10))-($E$19)*SQRT(I10))/SQRT(1+K10^2/(2*J10))))+IF(colas=2,NORMSDIST((-K10*(1-1/(4*J10))-($E$19)*SQRT(I10))/SQRT(1+K10^2/(2*J10))),0)),"")</f>
        <v>0</v>
      </c>
      <c r="N10" s="12">
        <f>IF(ISNUMBER(M10),IF(M10&gt;=potencia,I10,""),"")</f>
        <v>0</v>
      </c>
      <c r="O10" s="19">
        <f>(K10+TINV(2*(1-potencia),J10))/SQRT(I10)</f>
        <v>0</v>
      </c>
      <c r="P10" s="19">
        <f>IFERROR(O10-(((1-NORMSDIST((K10*(1-1/(4*J10))-(O10)*SQRT(I10))/SQRT(1+K10^2/(2*J10))))+IF(colas=2,NORMSDIST((-K10*(1-1/(4*J10))-(O10)*SQRT(I10))/SQRT(1+K10^2/(2*J10))),0))-potencia)/((((1-NORMSDIST((K10*(1-1/(4*J10))-(O10+(0.001*O10))*SQRT(I10))/SQRT(1+K10^2/(2*J10))))+IF(colas=2,NORMSDIST((-K10*(1-1/(4*J10))-(O10+(0.001*O10))*SQRT(I10))/SQRT(1+K10^2/(2*J10))),0))-((1-NORMSDIST((K10*(1-1/(4*J10))-(O10-(0.001*O10))*SQRT(I10))/SQRT(1+K10^2/(2*J10))))+IF(colas=2,NORMSDIST((-K10*(1-1/(4*J10))-(O10-(0.001*O10))*SQRT(I10))/SQRT(1+K10^2/(2*J10))),0)))/(2*(0.001*O10))),O10)</f>
        <v>0</v>
      </c>
      <c r="Q10" s="19">
        <f>IFERROR(P10-(((1-NORMSDIST((K10*(1-1/(4*J10))-(P10)*SQRT(I10))/SQRT(1+K10^2/(2*J10))))+IF(colas=2,NORMSDIST((-K10*(1-1/(4*J10))-(P10)*SQRT(I10))/SQRT(1+K10^2/(2*J10))),0))-potencia)/((((1-NORMSDIST((K10*(1-1/(4*J10))-(P10+(0.001*P10))*SQRT(I10))/SQRT(1+K10^2/(2*J10))))+IF(colas=2,NORMSDIST((-K10*(1-1/(4*J10))-(P10+(0.001*P10))*SQRT(I10))/SQRT(1+K10^2/(2*J10))),0))-((1-NORMSDIST((K10*(1-1/(4*J10))-(P10-(0.001*P10))*SQRT(I10))/SQRT(1+K10^2/(2*J10))))+IF(colas=2,NORMSDIST((-K10*(1-1/(4*J10))-(P10-(0.001*P10))*SQRT(I10))/SQRT(1+K10^2/(2*J10))),0)))/(2*(0.001*P10))),P10)</f>
        <v>0</v>
      </c>
      <c r="R10" s="19">
        <f>IFERROR(Q10-(((1-NORMSDIST((K10*(1-1/(4*J10))-(Q10)*SQRT(I10))/SQRT(1+K10^2/(2*J10))))+IF(colas=2,NORMSDIST((-K10*(1-1/(4*J10))-(Q10)*SQRT(I10))/SQRT(1+K10^2/(2*J10))),0))-potencia)/((((1-NORMSDIST((K10*(1-1/(4*J10))-(Q10+(0.001*Q10))*SQRT(I10))/SQRT(1+K10^2/(2*J10))))+IF(colas=2,NORMSDIST((-K10*(1-1/(4*J10))-(Q10+(0.001*Q10))*SQRT(I10))/SQRT(1+K10^2/(2*J10))),0))-((1-NORMSDIST((K10*(1-1/(4*J10))-(Q10-(0.001*Q10))*SQRT(I10))/SQRT(1+K10^2/(2*J10))))+IF(colas=2,NORMSDIST((-K10*(1-1/(4*J10))-(Q10-(0.001*Q10))*SQRT(I10))/SQRT(1+K10^2/(2*J10))),0)))/(2*(0.001*Q10))),Q10)</f>
        <v>0</v>
      </c>
      <c r="S10" s="19">
        <f>R10</f>
        <v>0</v>
      </c>
    </row>
    <row r="11" spans="1:19">
      <c r="I11" s="12">
        <v>8</v>
      </c>
      <c r="J11" s="12">
        <f>I11-1</f>
        <v>0</v>
      </c>
      <c r="K11" s="19">
        <f>IF(colas=2,TINV(alfa,J11),TINV(2*alfa,J11))</f>
        <v>0</v>
      </c>
      <c r="L11" s="19">
        <f>IF(ISNUMBER($E$19),$E$19*SQRT(I11),"")</f>
        <v>0</v>
      </c>
      <c r="M11" s="19">
        <f>IF(ISNUMBER($E$19),((1-NORMSDIST((K11*(1-1/(4*J11))-($E$19)*SQRT(I11))/SQRT(1+K11^2/(2*J11))))+IF(colas=2,NORMSDIST((-K11*(1-1/(4*J11))-($E$19)*SQRT(I11))/SQRT(1+K11^2/(2*J11))),0)),"")</f>
        <v>0</v>
      </c>
      <c r="N11" s="12">
        <f>IF(ISNUMBER(M11),IF(M11&gt;=potencia,I11,""),"")</f>
        <v>0</v>
      </c>
      <c r="O11" s="19">
        <f>(K11+TINV(2*(1-potencia),J11))/SQRT(I11)</f>
        <v>0</v>
      </c>
      <c r="P11" s="19">
        <f>IFERROR(O11-(((1-NORMSDIST((K11*(1-1/(4*J11))-(O11)*SQRT(I11))/SQRT(1+K11^2/(2*J11))))+IF(colas=2,NORMSDIST((-K11*(1-1/(4*J11))-(O11)*SQRT(I11))/SQRT(1+K11^2/(2*J11))),0))-potencia)/((((1-NORMSDIST((K11*(1-1/(4*J11))-(O11+(0.001*O11))*SQRT(I11))/SQRT(1+K11^2/(2*J11))))+IF(colas=2,NORMSDIST((-K11*(1-1/(4*J11))-(O11+(0.001*O11))*SQRT(I11))/SQRT(1+K11^2/(2*J11))),0))-((1-NORMSDIST((K11*(1-1/(4*J11))-(O11-(0.001*O11))*SQRT(I11))/SQRT(1+K11^2/(2*J11))))+IF(colas=2,NORMSDIST((-K11*(1-1/(4*J11))-(O11-(0.001*O11))*SQRT(I11))/SQRT(1+K11^2/(2*J11))),0)))/(2*(0.001*O11))),O11)</f>
        <v>0</v>
      </c>
      <c r="Q11" s="19">
        <f>IFERROR(P11-(((1-NORMSDIST((K11*(1-1/(4*J11))-(P11)*SQRT(I11))/SQRT(1+K11^2/(2*J11))))+IF(colas=2,NORMSDIST((-K11*(1-1/(4*J11))-(P11)*SQRT(I11))/SQRT(1+K11^2/(2*J11))),0))-potencia)/((((1-NORMSDIST((K11*(1-1/(4*J11))-(P11+(0.001*P11))*SQRT(I11))/SQRT(1+K11^2/(2*J11))))+IF(colas=2,NORMSDIST((-K11*(1-1/(4*J11))-(P11+(0.001*P11))*SQRT(I11))/SQRT(1+K11^2/(2*J11))),0))-((1-NORMSDIST((K11*(1-1/(4*J11))-(P11-(0.001*P11))*SQRT(I11))/SQRT(1+K11^2/(2*J11))))+IF(colas=2,NORMSDIST((-K11*(1-1/(4*J11))-(P11-(0.001*P11))*SQRT(I11))/SQRT(1+K11^2/(2*J11))),0)))/(2*(0.001*P11))),P11)</f>
        <v>0</v>
      </c>
      <c r="R11" s="19">
        <f>IFERROR(Q11-(((1-NORMSDIST((K11*(1-1/(4*J11))-(Q11)*SQRT(I11))/SQRT(1+K11^2/(2*J11))))+IF(colas=2,NORMSDIST((-K11*(1-1/(4*J11))-(Q11)*SQRT(I11))/SQRT(1+K11^2/(2*J11))),0))-potencia)/((((1-NORMSDIST((K11*(1-1/(4*J11))-(Q11+(0.001*Q11))*SQRT(I11))/SQRT(1+K11^2/(2*J11))))+IF(colas=2,NORMSDIST((-K11*(1-1/(4*J11))-(Q11+(0.001*Q11))*SQRT(I11))/SQRT(1+K11^2/(2*J11))),0))-((1-NORMSDIST((K11*(1-1/(4*J11))-(Q11-(0.001*Q11))*SQRT(I11))/SQRT(1+K11^2/(2*J11))))+IF(colas=2,NORMSDIST((-K11*(1-1/(4*J11))-(Q11-(0.001*Q11))*SQRT(I11))/SQRT(1+K11^2/(2*J11))),0)))/(2*(0.001*Q11))),Q11)</f>
        <v>0</v>
      </c>
      <c r="S11" s="19">
        <f>R11</f>
        <v>0</v>
      </c>
    </row>
    <row r="12" spans="1:19">
      <c r="A12" s="6" t="s">
        <v>207</v>
      </c>
      <c r="B12" s="6" t="s">
        <v>57</v>
      </c>
      <c r="C12" s="6" t="s">
        <v>58</v>
      </c>
      <c r="D12" s="6" t="s">
        <v>59</v>
      </c>
      <c r="E12" s="6" t="s">
        <v>199</v>
      </c>
      <c r="I12" s="12">
        <v>9</v>
      </c>
      <c r="J12" s="12">
        <f>I12-1</f>
        <v>0</v>
      </c>
      <c r="K12" s="19">
        <f>IF(colas=2,TINV(alfa,J12),TINV(2*alfa,J12))</f>
        <v>0</v>
      </c>
      <c r="L12" s="19">
        <f>IF(ISNUMBER($E$19),$E$19*SQRT(I12),"")</f>
        <v>0</v>
      </c>
      <c r="M12" s="19">
        <f>IF(ISNUMBER($E$19),((1-NORMSDIST((K12*(1-1/(4*J12))-($E$19)*SQRT(I12))/SQRT(1+K12^2/(2*J12))))+IF(colas=2,NORMSDIST((-K12*(1-1/(4*J12))-($E$19)*SQRT(I12))/SQRT(1+K12^2/(2*J12))),0)),"")</f>
        <v>0</v>
      </c>
      <c r="N12" s="12">
        <f>IF(ISNUMBER(M12),IF(M12&gt;=potencia,I12,""),"")</f>
        <v>0</v>
      </c>
      <c r="O12" s="19">
        <f>(K12+TINV(2*(1-potencia),J12))/SQRT(I12)</f>
        <v>0</v>
      </c>
      <c r="P12" s="19">
        <f>IFERROR(O12-(((1-NORMSDIST((K12*(1-1/(4*J12))-(O12)*SQRT(I12))/SQRT(1+K12^2/(2*J12))))+IF(colas=2,NORMSDIST((-K12*(1-1/(4*J12))-(O12)*SQRT(I12))/SQRT(1+K12^2/(2*J12))),0))-potencia)/((((1-NORMSDIST((K12*(1-1/(4*J12))-(O12+(0.001*O12))*SQRT(I12))/SQRT(1+K12^2/(2*J12))))+IF(colas=2,NORMSDIST((-K12*(1-1/(4*J12))-(O12+(0.001*O12))*SQRT(I12))/SQRT(1+K12^2/(2*J12))),0))-((1-NORMSDIST((K12*(1-1/(4*J12))-(O12-(0.001*O12))*SQRT(I12))/SQRT(1+K12^2/(2*J12))))+IF(colas=2,NORMSDIST((-K12*(1-1/(4*J12))-(O12-(0.001*O12))*SQRT(I12))/SQRT(1+K12^2/(2*J12))),0)))/(2*(0.001*O12))),O12)</f>
        <v>0</v>
      </c>
      <c r="Q12" s="19">
        <f>IFERROR(P12-(((1-NORMSDIST((K12*(1-1/(4*J12))-(P12)*SQRT(I12))/SQRT(1+K12^2/(2*J12))))+IF(colas=2,NORMSDIST((-K12*(1-1/(4*J12))-(P12)*SQRT(I12))/SQRT(1+K12^2/(2*J12))),0))-potencia)/((((1-NORMSDIST((K12*(1-1/(4*J12))-(P12+(0.001*P12))*SQRT(I12))/SQRT(1+K12^2/(2*J12))))+IF(colas=2,NORMSDIST((-K12*(1-1/(4*J12))-(P12+(0.001*P12))*SQRT(I12))/SQRT(1+K12^2/(2*J12))),0))-((1-NORMSDIST((K12*(1-1/(4*J12))-(P12-(0.001*P12))*SQRT(I12))/SQRT(1+K12^2/(2*J12))))+IF(colas=2,NORMSDIST((-K12*(1-1/(4*J12))-(P12-(0.001*P12))*SQRT(I12))/SQRT(1+K12^2/(2*J12))),0)))/(2*(0.001*P12))),P12)</f>
        <v>0</v>
      </c>
      <c r="R12" s="19">
        <f>IFERROR(Q12-(((1-NORMSDIST((K12*(1-1/(4*J12))-(Q12)*SQRT(I12))/SQRT(1+K12^2/(2*J12))))+IF(colas=2,NORMSDIST((-K12*(1-1/(4*J12))-(Q12)*SQRT(I12))/SQRT(1+K12^2/(2*J12))),0))-potencia)/((((1-NORMSDIST((K12*(1-1/(4*J12))-(Q12+(0.001*Q12))*SQRT(I12))/SQRT(1+K12^2/(2*J12))))+IF(colas=2,NORMSDIST((-K12*(1-1/(4*J12))-(Q12+(0.001*Q12))*SQRT(I12))/SQRT(1+K12^2/(2*J12))),0))-((1-NORMSDIST((K12*(1-1/(4*J12))-(Q12-(0.001*Q12))*SQRT(I12))/SQRT(1+K12^2/(2*J12))))+IF(colas=2,NORMSDIST((-K12*(1-1/(4*J12))-(Q12-(0.001*Q12))*SQRT(I12))/SQRT(1+K12^2/(2*J12))),0)))/(2*(0.001*Q12))),Q12)</f>
        <v>0</v>
      </c>
      <c r="S12" s="19">
        <f>R12</f>
        <v>0</v>
      </c>
    </row>
    <row r="13" spans="1:19" ht="26" customHeight="1">
      <c r="A13" s="8" t="s">
        <v>208</v>
      </c>
      <c r="B13" s="25">
        <f>IF(ISNUMBER(tol_1),"1 · tolerancia",IF(AND(ISNUMBER(tau0_1),ISNUMBER(taumax_1),taumax_1&gt;tau0_1),"2 · τmáx − τ0",IF(ISNUMBER(banda_1),"3 · banda",IF(AND(ISNUMBER(estab_1),ISNUMBER(tau0_1)),"4 · estabilidad","5 · por defecto"))))</f>
        <v>0</v>
      </c>
      <c r="C13" s="25">
        <f>IF(ISNUMBER(tol_2),"1 · tolerancia",IF(AND(ISNUMBER(tau0_2),ISNUMBER(taumax_2),taumax_2&gt;tau0_2),"2 · τmáx − τ0",IF(ISNUMBER(banda_2),"3 · banda",IF(AND(ISNUMBER(estab_2),ISNUMBER(tau0_2)),"4 · estabilidad","5 · por defecto"))))</f>
        <v>0</v>
      </c>
      <c r="D13" s="25">
        <f>IF(ISNUMBER(tol_3),"1 · tolerancia",IF(AND(ISNUMBER(tau0_3),ISNUMBER(taumax_3),taumax_3&gt;tau0_3),"2 · τmáx − τ0",IF(ISNUMBER(banda_3),"3 · banda",IF(AND(ISNUMBER(estab_3),ISNUMBER(tau0_3)),"4 · estabilidad","5 · por defecto"))))</f>
        <v>0</v>
      </c>
      <c r="I13" s="12">
        <v>10</v>
      </c>
      <c r="J13" s="12">
        <f>I13-1</f>
        <v>0</v>
      </c>
      <c r="K13" s="19">
        <f>IF(colas=2,TINV(alfa,J13),TINV(2*alfa,J13))</f>
        <v>0</v>
      </c>
      <c r="L13" s="19">
        <f>IF(ISNUMBER($E$19),$E$19*SQRT(I13),"")</f>
        <v>0</v>
      </c>
      <c r="M13" s="19">
        <f>IF(ISNUMBER($E$19),((1-NORMSDIST((K13*(1-1/(4*J13))-($E$19)*SQRT(I13))/SQRT(1+K13^2/(2*J13))))+IF(colas=2,NORMSDIST((-K13*(1-1/(4*J13))-($E$19)*SQRT(I13))/SQRT(1+K13^2/(2*J13))),0)),"")</f>
        <v>0</v>
      </c>
      <c r="N13" s="12">
        <f>IF(ISNUMBER(M13),IF(M13&gt;=potencia,I13,""),"")</f>
        <v>0</v>
      </c>
      <c r="O13" s="19">
        <f>(K13+TINV(2*(1-potencia),J13))/SQRT(I13)</f>
        <v>0</v>
      </c>
      <c r="P13" s="19">
        <f>IFERROR(O13-(((1-NORMSDIST((K13*(1-1/(4*J13))-(O13)*SQRT(I13))/SQRT(1+K13^2/(2*J13))))+IF(colas=2,NORMSDIST((-K13*(1-1/(4*J13))-(O13)*SQRT(I13))/SQRT(1+K13^2/(2*J13))),0))-potencia)/((((1-NORMSDIST((K13*(1-1/(4*J13))-(O13+(0.001*O13))*SQRT(I13))/SQRT(1+K13^2/(2*J13))))+IF(colas=2,NORMSDIST((-K13*(1-1/(4*J13))-(O13+(0.001*O13))*SQRT(I13))/SQRT(1+K13^2/(2*J13))),0))-((1-NORMSDIST((K13*(1-1/(4*J13))-(O13-(0.001*O13))*SQRT(I13))/SQRT(1+K13^2/(2*J13))))+IF(colas=2,NORMSDIST((-K13*(1-1/(4*J13))-(O13-(0.001*O13))*SQRT(I13))/SQRT(1+K13^2/(2*J13))),0)))/(2*(0.001*O13))),O13)</f>
        <v>0</v>
      </c>
      <c r="Q13" s="19">
        <f>IFERROR(P13-(((1-NORMSDIST((K13*(1-1/(4*J13))-(P13)*SQRT(I13))/SQRT(1+K13^2/(2*J13))))+IF(colas=2,NORMSDIST((-K13*(1-1/(4*J13))-(P13)*SQRT(I13))/SQRT(1+K13^2/(2*J13))),0))-potencia)/((((1-NORMSDIST((K13*(1-1/(4*J13))-(P13+(0.001*P13))*SQRT(I13))/SQRT(1+K13^2/(2*J13))))+IF(colas=2,NORMSDIST((-K13*(1-1/(4*J13))-(P13+(0.001*P13))*SQRT(I13))/SQRT(1+K13^2/(2*J13))),0))-((1-NORMSDIST((K13*(1-1/(4*J13))-(P13-(0.001*P13))*SQRT(I13))/SQRT(1+K13^2/(2*J13))))+IF(colas=2,NORMSDIST((-K13*(1-1/(4*J13))-(P13-(0.001*P13))*SQRT(I13))/SQRT(1+K13^2/(2*J13))),0)))/(2*(0.001*P13))),P13)</f>
        <v>0</v>
      </c>
      <c r="R13" s="19">
        <f>IFERROR(Q13-(((1-NORMSDIST((K13*(1-1/(4*J13))-(Q13)*SQRT(I13))/SQRT(1+K13^2/(2*J13))))+IF(colas=2,NORMSDIST((-K13*(1-1/(4*J13))-(Q13)*SQRT(I13))/SQRT(1+K13^2/(2*J13))),0))-potencia)/((((1-NORMSDIST((K13*(1-1/(4*J13))-(Q13+(0.001*Q13))*SQRT(I13))/SQRT(1+K13^2/(2*J13))))+IF(colas=2,NORMSDIST((-K13*(1-1/(4*J13))-(Q13+(0.001*Q13))*SQRT(I13))/SQRT(1+K13^2/(2*J13))),0))-((1-NORMSDIST((K13*(1-1/(4*J13))-(Q13-(0.001*Q13))*SQRT(I13))/SQRT(1+K13^2/(2*J13))))+IF(colas=2,NORMSDIST((-K13*(1-1/(4*J13))-(Q13-(0.001*Q13))*SQRT(I13))/SQRT(1+K13^2/(2*J13))),0)))/(2*(0.001*Q13))),Q13)</f>
        <v>0</v>
      </c>
      <c r="S13" s="19">
        <f>R13</f>
        <v>0</v>
      </c>
    </row>
    <row r="14" spans="1:19">
      <c r="A14" s="8" t="s">
        <v>209</v>
      </c>
      <c r="B14" s="17">
        <f>IF(ISNUMBER(tol_1),tol_1,IF(AND(ISNUMBER(tau0_1),ISNUMBER(taumax_1),taumax_1&gt;tau0_1),taumax_1-tau0_1,IF(ISNUMBER(banda_1),banda_1,IF(AND(ISNUMBER(estab_1),ISNUMBER(tau0_1)),3*estab_1/100*tau0_1,delta_def))))</f>
        <v>0</v>
      </c>
      <c r="C14" s="17">
        <f>IF(ISNUMBER(tol_2),tol_2,IF(AND(ISNUMBER(tau0_2),ISNUMBER(taumax_2),taumax_2&gt;tau0_2),taumax_2-tau0_2,IF(ISNUMBER(banda_2),banda_2,IF(AND(ISNUMBER(estab_2),ISNUMBER(tau0_2)),3*estab_2/100*tau0_2,delta_def))))</f>
        <v>0</v>
      </c>
      <c r="D14" s="17">
        <f>IF(ISNUMBER(tol_3),tol_3,IF(AND(ISNUMBER(tau0_3),ISNUMBER(taumax_3),taumax_3&gt;tau0_3),taumax_3-tau0_3,IF(ISNUMBER(banda_3),banda_3,IF(AND(ISNUMBER(estab_3),ISNUMBER(tau0_3)),3*estab_3/100*tau0_3,delta_def))))</f>
        <v>0</v>
      </c>
      <c r="I14" s="12">
        <v>11</v>
      </c>
      <c r="J14" s="12">
        <f>I14-1</f>
        <v>0</v>
      </c>
      <c r="K14" s="19">
        <f>IF(colas=2,TINV(alfa,J14),TINV(2*alfa,J14))</f>
        <v>0</v>
      </c>
      <c r="L14" s="19">
        <f>IF(ISNUMBER($E$19),$E$19*SQRT(I14),"")</f>
        <v>0</v>
      </c>
      <c r="M14" s="19">
        <f>IF(ISNUMBER($E$19),((1-NORMSDIST((K14*(1-1/(4*J14))-($E$19)*SQRT(I14))/SQRT(1+K14^2/(2*J14))))+IF(colas=2,NORMSDIST((-K14*(1-1/(4*J14))-($E$19)*SQRT(I14))/SQRT(1+K14^2/(2*J14))),0)),"")</f>
        <v>0</v>
      </c>
      <c r="N14" s="12">
        <f>IF(ISNUMBER(M14),IF(M14&gt;=potencia,I14,""),"")</f>
        <v>0</v>
      </c>
      <c r="O14" s="19">
        <f>(K14+TINV(2*(1-potencia),J14))/SQRT(I14)</f>
        <v>0</v>
      </c>
      <c r="P14" s="19">
        <f>IFERROR(O14-(((1-NORMSDIST((K14*(1-1/(4*J14))-(O14)*SQRT(I14))/SQRT(1+K14^2/(2*J14))))+IF(colas=2,NORMSDIST((-K14*(1-1/(4*J14))-(O14)*SQRT(I14))/SQRT(1+K14^2/(2*J14))),0))-potencia)/((((1-NORMSDIST((K14*(1-1/(4*J14))-(O14+(0.001*O14))*SQRT(I14))/SQRT(1+K14^2/(2*J14))))+IF(colas=2,NORMSDIST((-K14*(1-1/(4*J14))-(O14+(0.001*O14))*SQRT(I14))/SQRT(1+K14^2/(2*J14))),0))-((1-NORMSDIST((K14*(1-1/(4*J14))-(O14-(0.001*O14))*SQRT(I14))/SQRT(1+K14^2/(2*J14))))+IF(colas=2,NORMSDIST((-K14*(1-1/(4*J14))-(O14-(0.001*O14))*SQRT(I14))/SQRT(1+K14^2/(2*J14))),0)))/(2*(0.001*O14))),O14)</f>
        <v>0</v>
      </c>
      <c r="Q14" s="19">
        <f>IFERROR(P14-(((1-NORMSDIST((K14*(1-1/(4*J14))-(P14)*SQRT(I14))/SQRT(1+K14^2/(2*J14))))+IF(colas=2,NORMSDIST((-K14*(1-1/(4*J14))-(P14)*SQRT(I14))/SQRT(1+K14^2/(2*J14))),0))-potencia)/((((1-NORMSDIST((K14*(1-1/(4*J14))-(P14+(0.001*P14))*SQRT(I14))/SQRT(1+K14^2/(2*J14))))+IF(colas=2,NORMSDIST((-K14*(1-1/(4*J14))-(P14+(0.001*P14))*SQRT(I14))/SQRT(1+K14^2/(2*J14))),0))-((1-NORMSDIST((K14*(1-1/(4*J14))-(P14-(0.001*P14))*SQRT(I14))/SQRT(1+K14^2/(2*J14))))+IF(colas=2,NORMSDIST((-K14*(1-1/(4*J14))-(P14-(0.001*P14))*SQRT(I14))/SQRT(1+K14^2/(2*J14))),0)))/(2*(0.001*P14))),P14)</f>
        <v>0</v>
      </c>
      <c r="R14" s="19">
        <f>IFERROR(Q14-(((1-NORMSDIST((K14*(1-1/(4*J14))-(Q14)*SQRT(I14))/SQRT(1+K14^2/(2*J14))))+IF(colas=2,NORMSDIST((-K14*(1-1/(4*J14))-(Q14)*SQRT(I14))/SQRT(1+K14^2/(2*J14))),0))-potencia)/((((1-NORMSDIST((K14*(1-1/(4*J14))-(Q14+(0.001*Q14))*SQRT(I14))/SQRT(1+K14^2/(2*J14))))+IF(colas=2,NORMSDIST((-K14*(1-1/(4*J14))-(Q14+(0.001*Q14))*SQRT(I14))/SQRT(1+K14^2/(2*J14))),0))-((1-NORMSDIST((K14*(1-1/(4*J14))-(Q14-(0.001*Q14))*SQRT(I14))/SQRT(1+K14^2/(2*J14))))+IF(colas=2,NORMSDIST((-K14*(1-1/(4*J14))-(Q14-(0.001*Q14))*SQRT(I14))/SQRT(1+K14^2/(2*J14))),0)))/(2*(0.001*Q14))),Q14)</f>
        <v>0</v>
      </c>
      <c r="S14" s="19">
        <f>R14</f>
        <v>0</v>
      </c>
    </row>
    <row r="15" spans="1:19">
      <c r="A15" s="7" t="s">
        <v>210</v>
      </c>
      <c r="B15" s="17">
        <f>IF(ISNUMBER(incert_1),MAX(B14,2*incert_1),B14)</f>
        <v>0</v>
      </c>
      <c r="C15" s="17">
        <f>IF(ISNUMBER(incert_2),MAX(C14,2*incert_2),C14)</f>
        <v>0</v>
      </c>
      <c r="D15" s="17">
        <f>IF(ISNUMBER(incert_3),MAX(D14,2*incert_3),D14)</f>
        <v>0</v>
      </c>
      <c r="E15" s="23">
        <f>MIN(B15:D15)</f>
        <v>0</v>
      </c>
      <c r="G15" s="10" t="s">
        <v>211</v>
      </c>
      <c r="I15" s="12">
        <v>12</v>
      </c>
      <c r="J15" s="12">
        <f>I15-1</f>
        <v>0</v>
      </c>
      <c r="K15" s="19">
        <f>IF(colas=2,TINV(alfa,J15),TINV(2*alfa,J15))</f>
        <v>0</v>
      </c>
      <c r="L15" s="19">
        <f>IF(ISNUMBER($E$19),$E$19*SQRT(I15),"")</f>
        <v>0</v>
      </c>
      <c r="M15" s="19">
        <f>IF(ISNUMBER($E$19),((1-NORMSDIST((K15*(1-1/(4*J15))-($E$19)*SQRT(I15))/SQRT(1+K15^2/(2*J15))))+IF(colas=2,NORMSDIST((-K15*(1-1/(4*J15))-($E$19)*SQRT(I15))/SQRT(1+K15^2/(2*J15))),0)),"")</f>
        <v>0</v>
      </c>
      <c r="N15" s="12">
        <f>IF(ISNUMBER(M15),IF(M15&gt;=potencia,I15,""),"")</f>
        <v>0</v>
      </c>
      <c r="O15" s="19">
        <f>(K15+TINV(2*(1-potencia),J15))/SQRT(I15)</f>
        <v>0</v>
      </c>
      <c r="P15" s="19">
        <f>IFERROR(O15-(((1-NORMSDIST((K15*(1-1/(4*J15))-(O15)*SQRT(I15))/SQRT(1+K15^2/(2*J15))))+IF(colas=2,NORMSDIST((-K15*(1-1/(4*J15))-(O15)*SQRT(I15))/SQRT(1+K15^2/(2*J15))),0))-potencia)/((((1-NORMSDIST((K15*(1-1/(4*J15))-(O15+(0.001*O15))*SQRT(I15))/SQRT(1+K15^2/(2*J15))))+IF(colas=2,NORMSDIST((-K15*(1-1/(4*J15))-(O15+(0.001*O15))*SQRT(I15))/SQRT(1+K15^2/(2*J15))),0))-((1-NORMSDIST((K15*(1-1/(4*J15))-(O15-(0.001*O15))*SQRT(I15))/SQRT(1+K15^2/(2*J15))))+IF(colas=2,NORMSDIST((-K15*(1-1/(4*J15))-(O15-(0.001*O15))*SQRT(I15))/SQRT(1+K15^2/(2*J15))),0)))/(2*(0.001*O15))),O15)</f>
        <v>0</v>
      </c>
      <c r="Q15" s="19">
        <f>IFERROR(P15-(((1-NORMSDIST((K15*(1-1/(4*J15))-(P15)*SQRT(I15))/SQRT(1+K15^2/(2*J15))))+IF(colas=2,NORMSDIST((-K15*(1-1/(4*J15))-(P15)*SQRT(I15))/SQRT(1+K15^2/(2*J15))),0))-potencia)/((((1-NORMSDIST((K15*(1-1/(4*J15))-(P15+(0.001*P15))*SQRT(I15))/SQRT(1+K15^2/(2*J15))))+IF(colas=2,NORMSDIST((-K15*(1-1/(4*J15))-(P15+(0.001*P15))*SQRT(I15))/SQRT(1+K15^2/(2*J15))),0))-((1-NORMSDIST((K15*(1-1/(4*J15))-(P15-(0.001*P15))*SQRT(I15))/SQRT(1+K15^2/(2*J15))))+IF(colas=2,NORMSDIST((-K15*(1-1/(4*J15))-(P15-(0.001*P15))*SQRT(I15))/SQRT(1+K15^2/(2*J15))),0)))/(2*(0.001*P15))),P15)</f>
        <v>0</v>
      </c>
      <c r="R15" s="19">
        <f>IFERROR(Q15-(((1-NORMSDIST((K15*(1-1/(4*J15))-(Q15)*SQRT(I15))/SQRT(1+K15^2/(2*J15))))+IF(colas=2,NORMSDIST((-K15*(1-1/(4*J15))-(Q15)*SQRT(I15))/SQRT(1+K15^2/(2*J15))),0))-potencia)/((((1-NORMSDIST((K15*(1-1/(4*J15))-(Q15+(0.001*Q15))*SQRT(I15))/SQRT(1+K15^2/(2*J15))))+IF(colas=2,NORMSDIST((-K15*(1-1/(4*J15))-(Q15+(0.001*Q15))*SQRT(I15))/SQRT(1+K15^2/(2*J15))),0))-((1-NORMSDIST((K15*(1-1/(4*J15))-(Q15-(0.001*Q15))*SQRT(I15))/SQRT(1+K15^2/(2*J15))))+IF(colas=2,NORMSDIST((-K15*(1-1/(4*J15))-(Q15-(0.001*Q15))*SQRT(I15))/SQRT(1+K15^2/(2*J15))),0)))/(2*(0.001*Q15))),Q15)</f>
        <v>0</v>
      </c>
      <c r="S15" s="19">
        <f>R15</f>
        <v>0</v>
      </c>
    </row>
    <row r="16" spans="1:19">
      <c r="I16" s="12">
        <v>13</v>
      </c>
      <c r="J16" s="12">
        <f>I16-1</f>
        <v>0</v>
      </c>
      <c r="K16" s="19">
        <f>IF(colas=2,TINV(alfa,J16),TINV(2*alfa,J16))</f>
        <v>0</v>
      </c>
      <c r="L16" s="19">
        <f>IF(ISNUMBER($E$19),$E$19*SQRT(I16),"")</f>
        <v>0</v>
      </c>
      <c r="M16" s="19">
        <f>IF(ISNUMBER($E$19),((1-NORMSDIST((K16*(1-1/(4*J16))-($E$19)*SQRT(I16))/SQRT(1+K16^2/(2*J16))))+IF(colas=2,NORMSDIST((-K16*(1-1/(4*J16))-($E$19)*SQRT(I16))/SQRT(1+K16^2/(2*J16))),0)),"")</f>
        <v>0</v>
      </c>
      <c r="N16" s="12">
        <f>IF(ISNUMBER(M16),IF(M16&gt;=potencia,I16,""),"")</f>
        <v>0</v>
      </c>
      <c r="O16" s="19">
        <f>(K16+TINV(2*(1-potencia),J16))/SQRT(I16)</f>
        <v>0</v>
      </c>
      <c r="P16" s="19">
        <f>IFERROR(O16-(((1-NORMSDIST((K16*(1-1/(4*J16))-(O16)*SQRT(I16))/SQRT(1+K16^2/(2*J16))))+IF(colas=2,NORMSDIST((-K16*(1-1/(4*J16))-(O16)*SQRT(I16))/SQRT(1+K16^2/(2*J16))),0))-potencia)/((((1-NORMSDIST((K16*(1-1/(4*J16))-(O16+(0.001*O16))*SQRT(I16))/SQRT(1+K16^2/(2*J16))))+IF(colas=2,NORMSDIST((-K16*(1-1/(4*J16))-(O16+(0.001*O16))*SQRT(I16))/SQRT(1+K16^2/(2*J16))),0))-((1-NORMSDIST((K16*(1-1/(4*J16))-(O16-(0.001*O16))*SQRT(I16))/SQRT(1+K16^2/(2*J16))))+IF(colas=2,NORMSDIST((-K16*(1-1/(4*J16))-(O16-(0.001*O16))*SQRT(I16))/SQRT(1+K16^2/(2*J16))),0)))/(2*(0.001*O16))),O16)</f>
        <v>0</v>
      </c>
      <c r="Q16" s="19">
        <f>IFERROR(P16-(((1-NORMSDIST((K16*(1-1/(4*J16))-(P16)*SQRT(I16))/SQRT(1+K16^2/(2*J16))))+IF(colas=2,NORMSDIST((-K16*(1-1/(4*J16))-(P16)*SQRT(I16))/SQRT(1+K16^2/(2*J16))),0))-potencia)/((((1-NORMSDIST((K16*(1-1/(4*J16))-(P16+(0.001*P16))*SQRT(I16))/SQRT(1+K16^2/(2*J16))))+IF(colas=2,NORMSDIST((-K16*(1-1/(4*J16))-(P16+(0.001*P16))*SQRT(I16))/SQRT(1+K16^2/(2*J16))),0))-((1-NORMSDIST((K16*(1-1/(4*J16))-(P16-(0.001*P16))*SQRT(I16))/SQRT(1+K16^2/(2*J16))))+IF(colas=2,NORMSDIST((-K16*(1-1/(4*J16))-(P16-(0.001*P16))*SQRT(I16))/SQRT(1+K16^2/(2*J16))),0)))/(2*(0.001*P16))),P16)</f>
        <v>0</v>
      </c>
      <c r="R16" s="19">
        <f>IFERROR(Q16-(((1-NORMSDIST((K16*(1-1/(4*J16))-(Q16)*SQRT(I16))/SQRT(1+K16^2/(2*J16))))+IF(colas=2,NORMSDIST((-K16*(1-1/(4*J16))-(Q16)*SQRT(I16))/SQRT(1+K16^2/(2*J16))),0))-potencia)/((((1-NORMSDIST((K16*(1-1/(4*J16))-(Q16+(0.001*Q16))*SQRT(I16))/SQRT(1+K16^2/(2*J16))))+IF(colas=2,NORMSDIST((-K16*(1-1/(4*J16))-(Q16+(0.001*Q16))*SQRT(I16))/SQRT(1+K16^2/(2*J16))),0))-((1-NORMSDIST((K16*(1-1/(4*J16))-(Q16-(0.001*Q16))*SQRT(I16))/SQRT(1+K16^2/(2*J16))))+IF(colas=2,NORMSDIST((-K16*(1-1/(4*J16))-(Q16-(0.001*Q16))*SQRT(I16))/SQRT(1+K16^2/(2*J16))),0)))/(2*(0.001*Q16))),Q16)</f>
        <v>0</v>
      </c>
      <c r="S16" s="19">
        <f>R16</f>
        <v>0</v>
      </c>
    </row>
    <row r="17" spans="1:19">
      <c r="A17" s="6" t="s">
        <v>212</v>
      </c>
      <c r="B17" s="6"/>
      <c r="C17" s="6"/>
      <c r="D17" s="6"/>
      <c r="E17" s="6" t="s">
        <v>3</v>
      </c>
      <c r="I17" s="12">
        <v>14</v>
      </c>
      <c r="J17" s="12">
        <f>I17-1</f>
        <v>0</v>
      </c>
      <c r="K17" s="19">
        <f>IF(colas=2,TINV(alfa,J17),TINV(2*alfa,J17))</f>
        <v>0</v>
      </c>
      <c r="L17" s="19">
        <f>IF(ISNUMBER($E$19),$E$19*SQRT(I17),"")</f>
        <v>0</v>
      </c>
      <c r="M17" s="19">
        <f>IF(ISNUMBER($E$19),((1-NORMSDIST((K17*(1-1/(4*J17))-($E$19)*SQRT(I17))/SQRT(1+K17^2/(2*J17))))+IF(colas=2,NORMSDIST((-K17*(1-1/(4*J17))-($E$19)*SQRT(I17))/SQRT(1+K17^2/(2*J17))),0)),"")</f>
        <v>0</v>
      </c>
      <c r="N17" s="12">
        <f>IF(ISNUMBER(M17),IF(M17&gt;=potencia,I17,""),"")</f>
        <v>0</v>
      </c>
      <c r="O17" s="19">
        <f>(K17+TINV(2*(1-potencia),J17))/SQRT(I17)</f>
        <v>0</v>
      </c>
      <c r="P17" s="19">
        <f>IFERROR(O17-(((1-NORMSDIST((K17*(1-1/(4*J17))-(O17)*SQRT(I17))/SQRT(1+K17^2/(2*J17))))+IF(colas=2,NORMSDIST((-K17*(1-1/(4*J17))-(O17)*SQRT(I17))/SQRT(1+K17^2/(2*J17))),0))-potencia)/((((1-NORMSDIST((K17*(1-1/(4*J17))-(O17+(0.001*O17))*SQRT(I17))/SQRT(1+K17^2/(2*J17))))+IF(colas=2,NORMSDIST((-K17*(1-1/(4*J17))-(O17+(0.001*O17))*SQRT(I17))/SQRT(1+K17^2/(2*J17))),0))-((1-NORMSDIST((K17*(1-1/(4*J17))-(O17-(0.001*O17))*SQRT(I17))/SQRT(1+K17^2/(2*J17))))+IF(colas=2,NORMSDIST((-K17*(1-1/(4*J17))-(O17-(0.001*O17))*SQRT(I17))/SQRT(1+K17^2/(2*J17))),0)))/(2*(0.001*O17))),O17)</f>
        <v>0</v>
      </c>
      <c r="Q17" s="19">
        <f>IFERROR(P17-(((1-NORMSDIST((K17*(1-1/(4*J17))-(P17)*SQRT(I17))/SQRT(1+K17^2/(2*J17))))+IF(colas=2,NORMSDIST((-K17*(1-1/(4*J17))-(P17)*SQRT(I17))/SQRT(1+K17^2/(2*J17))),0))-potencia)/((((1-NORMSDIST((K17*(1-1/(4*J17))-(P17+(0.001*P17))*SQRT(I17))/SQRT(1+K17^2/(2*J17))))+IF(colas=2,NORMSDIST((-K17*(1-1/(4*J17))-(P17+(0.001*P17))*SQRT(I17))/SQRT(1+K17^2/(2*J17))),0))-((1-NORMSDIST((K17*(1-1/(4*J17))-(P17-(0.001*P17))*SQRT(I17))/SQRT(1+K17^2/(2*J17))))+IF(colas=2,NORMSDIST((-K17*(1-1/(4*J17))-(P17-(0.001*P17))*SQRT(I17))/SQRT(1+K17^2/(2*J17))),0)))/(2*(0.001*P17))),P17)</f>
        <v>0</v>
      </c>
      <c r="R17" s="19">
        <f>IFERROR(Q17-(((1-NORMSDIST((K17*(1-1/(4*J17))-(Q17)*SQRT(I17))/SQRT(1+K17^2/(2*J17))))+IF(colas=2,NORMSDIST((-K17*(1-1/(4*J17))-(Q17)*SQRT(I17))/SQRT(1+K17^2/(2*J17))),0))-potencia)/((((1-NORMSDIST((K17*(1-1/(4*J17))-(Q17+(0.001*Q17))*SQRT(I17))/SQRT(1+K17^2/(2*J17))))+IF(colas=2,NORMSDIST((-K17*(1-1/(4*J17))-(Q17+(0.001*Q17))*SQRT(I17))/SQRT(1+K17^2/(2*J17))),0))-((1-NORMSDIST((K17*(1-1/(4*J17))-(Q17-(0.001*Q17))*SQRT(I17))/SQRT(1+K17^2/(2*J17))))+IF(colas=2,NORMSDIST((-K17*(1-1/(4*J17))-(Q17-(0.001*Q17))*SQRT(I17))/SQRT(1+K17^2/(2*J17))),0)))/(2*(0.001*Q17))),Q17)</f>
        <v>0</v>
      </c>
      <c r="S17" s="19">
        <f>R17</f>
        <v>0</v>
      </c>
    </row>
    <row r="18" spans="1:19">
      <c r="A18" s="8" t="s">
        <v>213</v>
      </c>
      <c r="E18" s="18">
        <f>alfa&amp;" · "&amp;potencia&amp;" · "&amp;colas</f>
        <v>0</v>
      </c>
      <c r="I18" s="12">
        <v>15</v>
      </c>
      <c r="J18" s="12">
        <f>I18-1</f>
        <v>0</v>
      </c>
      <c r="K18" s="19">
        <f>IF(colas=2,TINV(alfa,J18),TINV(2*alfa,J18))</f>
        <v>0</v>
      </c>
      <c r="L18" s="19">
        <f>IF(ISNUMBER($E$19),$E$19*SQRT(I18),"")</f>
        <v>0</v>
      </c>
      <c r="M18" s="19">
        <f>IF(ISNUMBER($E$19),((1-NORMSDIST((K18*(1-1/(4*J18))-($E$19)*SQRT(I18))/SQRT(1+K18^2/(2*J18))))+IF(colas=2,NORMSDIST((-K18*(1-1/(4*J18))-($E$19)*SQRT(I18))/SQRT(1+K18^2/(2*J18))),0)),"")</f>
        <v>0</v>
      </c>
      <c r="N18" s="12">
        <f>IF(ISNUMBER(M18),IF(M18&gt;=potencia,I18,""),"")</f>
        <v>0</v>
      </c>
      <c r="O18" s="19">
        <f>(K18+TINV(2*(1-potencia),J18))/SQRT(I18)</f>
        <v>0</v>
      </c>
      <c r="P18" s="19">
        <f>IFERROR(O18-(((1-NORMSDIST((K18*(1-1/(4*J18))-(O18)*SQRT(I18))/SQRT(1+K18^2/(2*J18))))+IF(colas=2,NORMSDIST((-K18*(1-1/(4*J18))-(O18)*SQRT(I18))/SQRT(1+K18^2/(2*J18))),0))-potencia)/((((1-NORMSDIST((K18*(1-1/(4*J18))-(O18+(0.001*O18))*SQRT(I18))/SQRT(1+K18^2/(2*J18))))+IF(colas=2,NORMSDIST((-K18*(1-1/(4*J18))-(O18+(0.001*O18))*SQRT(I18))/SQRT(1+K18^2/(2*J18))),0))-((1-NORMSDIST((K18*(1-1/(4*J18))-(O18-(0.001*O18))*SQRT(I18))/SQRT(1+K18^2/(2*J18))))+IF(colas=2,NORMSDIST((-K18*(1-1/(4*J18))-(O18-(0.001*O18))*SQRT(I18))/SQRT(1+K18^2/(2*J18))),0)))/(2*(0.001*O18))),O18)</f>
        <v>0</v>
      </c>
      <c r="Q18" s="19">
        <f>IFERROR(P18-(((1-NORMSDIST((K18*(1-1/(4*J18))-(P18)*SQRT(I18))/SQRT(1+K18^2/(2*J18))))+IF(colas=2,NORMSDIST((-K18*(1-1/(4*J18))-(P18)*SQRT(I18))/SQRT(1+K18^2/(2*J18))),0))-potencia)/((((1-NORMSDIST((K18*(1-1/(4*J18))-(P18+(0.001*P18))*SQRT(I18))/SQRT(1+K18^2/(2*J18))))+IF(colas=2,NORMSDIST((-K18*(1-1/(4*J18))-(P18+(0.001*P18))*SQRT(I18))/SQRT(1+K18^2/(2*J18))),0))-((1-NORMSDIST((K18*(1-1/(4*J18))-(P18-(0.001*P18))*SQRT(I18))/SQRT(1+K18^2/(2*J18))))+IF(colas=2,NORMSDIST((-K18*(1-1/(4*J18))-(P18-(0.001*P18))*SQRT(I18))/SQRT(1+K18^2/(2*J18))),0)))/(2*(0.001*P18))),P18)</f>
        <v>0</v>
      </c>
      <c r="R18" s="19">
        <f>IFERROR(Q18-(((1-NORMSDIST((K18*(1-1/(4*J18))-(Q18)*SQRT(I18))/SQRT(1+K18^2/(2*J18))))+IF(colas=2,NORMSDIST((-K18*(1-1/(4*J18))-(Q18)*SQRT(I18))/SQRT(1+K18^2/(2*J18))),0))-potencia)/((((1-NORMSDIST((K18*(1-1/(4*J18))-(Q18+(0.001*Q18))*SQRT(I18))/SQRT(1+K18^2/(2*J18))))+IF(colas=2,NORMSDIST((-K18*(1-1/(4*J18))-(Q18+(0.001*Q18))*SQRT(I18))/SQRT(1+K18^2/(2*J18))),0))-((1-NORMSDIST((K18*(1-1/(4*J18))-(Q18-(0.001*Q18))*SQRT(I18))/SQRT(1+K18^2/(2*J18))))+IF(colas=2,NORMSDIST((-K18*(1-1/(4*J18))-(Q18-(0.001*Q18))*SQRT(I18))/SQRT(1+K18^2/(2*J18))),0)))/(2*(0.001*Q18))),Q18)</f>
        <v>0</v>
      </c>
      <c r="S18" s="19">
        <f>R18</f>
        <v>0</v>
      </c>
    </row>
    <row r="19" spans="1:19">
      <c r="A19" s="8" t="s">
        <v>214</v>
      </c>
      <c r="E19" s="19">
        <f>IF(ISNUMBER(E10),E15/E10,"")</f>
        <v>0</v>
      </c>
      <c r="I19" s="12">
        <v>16</v>
      </c>
      <c r="J19" s="12">
        <f>I19-1</f>
        <v>0</v>
      </c>
      <c r="K19" s="19">
        <f>IF(colas=2,TINV(alfa,J19),TINV(2*alfa,J19))</f>
        <v>0</v>
      </c>
      <c r="L19" s="19">
        <f>IF(ISNUMBER($E$19),$E$19*SQRT(I19),"")</f>
        <v>0</v>
      </c>
      <c r="M19" s="19">
        <f>IF(ISNUMBER($E$19),((1-NORMSDIST((K19*(1-1/(4*J19))-($E$19)*SQRT(I19))/SQRT(1+K19^2/(2*J19))))+IF(colas=2,NORMSDIST((-K19*(1-1/(4*J19))-($E$19)*SQRT(I19))/SQRT(1+K19^2/(2*J19))),0)),"")</f>
        <v>0</v>
      </c>
      <c r="N19" s="12">
        <f>IF(ISNUMBER(M19),IF(M19&gt;=potencia,I19,""),"")</f>
        <v>0</v>
      </c>
      <c r="O19" s="19">
        <f>(K19+TINV(2*(1-potencia),J19))/SQRT(I19)</f>
        <v>0</v>
      </c>
      <c r="P19" s="19">
        <f>IFERROR(O19-(((1-NORMSDIST((K19*(1-1/(4*J19))-(O19)*SQRT(I19))/SQRT(1+K19^2/(2*J19))))+IF(colas=2,NORMSDIST((-K19*(1-1/(4*J19))-(O19)*SQRT(I19))/SQRT(1+K19^2/(2*J19))),0))-potencia)/((((1-NORMSDIST((K19*(1-1/(4*J19))-(O19+(0.001*O19))*SQRT(I19))/SQRT(1+K19^2/(2*J19))))+IF(colas=2,NORMSDIST((-K19*(1-1/(4*J19))-(O19+(0.001*O19))*SQRT(I19))/SQRT(1+K19^2/(2*J19))),0))-((1-NORMSDIST((K19*(1-1/(4*J19))-(O19-(0.001*O19))*SQRT(I19))/SQRT(1+K19^2/(2*J19))))+IF(colas=2,NORMSDIST((-K19*(1-1/(4*J19))-(O19-(0.001*O19))*SQRT(I19))/SQRT(1+K19^2/(2*J19))),0)))/(2*(0.001*O19))),O19)</f>
        <v>0</v>
      </c>
      <c r="Q19" s="19">
        <f>IFERROR(P19-(((1-NORMSDIST((K19*(1-1/(4*J19))-(P19)*SQRT(I19))/SQRT(1+K19^2/(2*J19))))+IF(colas=2,NORMSDIST((-K19*(1-1/(4*J19))-(P19)*SQRT(I19))/SQRT(1+K19^2/(2*J19))),0))-potencia)/((((1-NORMSDIST((K19*(1-1/(4*J19))-(P19+(0.001*P19))*SQRT(I19))/SQRT(1+K19^2/(2*J19))))+IF(colas=2,NORMSDIST((-K19*(1-1/(4*J19))-(P19+(0.001*P19))*SQRT(I19))/SQRT(1+K19^2/(2*J19))),0))-((1-NORMSDIST((K19*(1-1/(4*J19))-(P19-(0.001*P19))*SQRT(I19))/SQRT(1+K19^2/(2*J19))))+IF(colas=2,NORMSDIST((-K19*(1-1/(4*J19))-(P19-(0.001*P19))*SQRT(I19))/SQRT(1+K19^2/(2*J19))),0)))/(2*(0.001*P19))),P19)</f>
        <v>0</v>
      </c>
      <c r="R19" s="19">
        <f>IFERROR(Q19-(((1-NORMSDIST((K19*(1-1/(4*J19))-(Q19)*SQRT(I19))/SQRT(1+K19^2/(2*J19))))+IF(colas=2,NORMSDIST((-K19*(1-1/(4*J19))-(Q19)*SQRT(I19))/SQRT(1+K19^2/(2*J19))),0))-potencia)/((((1-NORMSDIST((K19*(1-1/(4*J19))-(Q19+(0.001*Q19))*SQRT(I19))/SQRT(1+K19^2/(2*J19))))+IF(colas=2,NORMSDIST((-K19*(1-1/(4*J19))-(Q19+(0.001*Q19))*SQRT(I19))/SQRT(1+K19^2/(2*J19))),0))-((1-NORMSDIST((K19*(1-1/(4*J19))-(Q19-(0.001*Q19))*SQRT(I19))/SQRT(1+K19^2/(2*J19))))+IF(colas=2,NORMSDIST((-K19*(1-1/(4*J19))-(Q19-(0.001*Q19))*SQRT(I19))/SQRT(1+K19^2/(2*J19))),0)))/(2*(0.001*Q19))),Q19)</f>
        <v>0</v>
      </c>
      <c r="S19" s="19">
        <f>R19</f>
        <v>0</v>
      </c>
    </row>
    <row r="20" spans="1:19">
      <c r="A20" s="7" t="s">
        <v>215</v>
      </c>
      <c r="E20" s="26">
        <f>IF(ISNUMBER(E19),IF(COUNT($N$5:$N$103)=0,"&gt; 100",MIN($N$5:$N$103)),"")</f>
        <v>0</v>
      </c>
      <c r="G20" s="10" t="s">
        <v>217</v>
      </c>
      <c r="I20" s="12">
        <v>17</v>
      </c>
      <c r="J20" s="12">
        <f>I20-1</f>
        <v>0</v>
      </c>
      <c r="K20" s="19">
        <f>IF(colas=2,TINV(alfa,J20),TINV(2*alfa,J20))</f>
        <v>0</v>
      </c>
      <c r="L20" s="19">
        <f>IF(ISNUMBER($E$19),$E$19*SQRT(I20),"")</f>
        <v>0</v>
      </c>
      <c r="M20" s="19">
        <f>IF(ISNUMBER($E$19),((1-NORMSDIST((K20*(1-1/(4*J20))-($E$19)*SQRT(I20))/SQRT(1+K20^2/(2*J20))))+IF(colas=2,NORMSDIST((-K20*(1-1/(4*J20))-($E$19)*SQRT(I20))/SQRT(1+K20^2/(2*J20))),0)),"")</f>
        <v>0</v>
      </c>
      <c r="N20" s="12">
        <f>IF(ISNUMBER(M20),IF(M20&gt;=potencia,I20,""),"")</f>
        <v>0</v>
      </c>
      <c r="O20" s="19">
        <f>(K20+TINV(2*(1-potencia),J20))/SQRT(I20)</f>
        <v>0</v>
      </c>
      <c r="P20" s="19">
        <f>IFERROR(O20-(((1-NORMSDIST((K20*(1-1/(4*J20))-(O20)*SQRT(I20))/SQRT(1+K20^2/(2*J20))))+IF(colas=2,NORMSDIST((-K20*(1-1/(4*J20))-(O20)*SQRT(I20))/SQRT(1+K20^2/(2*J20))),0))-potencia)/((((1-NORMSDIST((K20*(1-1/(4*J20))-(O20+(0.001*O20))*SQRT(I20))/SQRT(1+K20^2/(2*J20))))+IF(colas=2,NORMSDIST((-K20*(1-1/(4*J20))-(O20+(0.001*O20))*SQRT(I20))/SQRT(1+K20^2/(2*J20))),0))-((1-NORMSDIST((K20*(1-1/(4*J20))-(O20-(0.001*O20))*SQRT(I20))/SQRT(1+K20^2/(2*J20))))+IF(colas=2,NORMSDIST((-K20*(1-1/(4*J20))-(O20-(0.001*O20))*SQRT(I20))/SQRT(1+K20^2/(2*J20))),0)))/(2*(0.001*O20))),O20)</f>
        <v>0</v>
      </c>
      <c r="Q20" s="19">
        <f>IFERROR(P20-(((1-NORMSDIST((K20*(1-1/(4*J20))-(P20)*SQRT(I20))/SQRT(1+K20^2/(2*J20))))+IF(colas=2,NORMSDIST((-K20*(1-1/(4*J20))-(P20)*SQRT(I20))/SQRT(1+K20^2/(2*J20))),0))-potencia)/((((1-NORMSDIST((K20*(1-1/(4*J20))-(P20+(0.001*P20))*SQRT(I20))/SQRT(1+K20^2/(2*J20))))+IF(colas=2,NORMSDIST((-K20*(1-1/(4*J20))-(P20+(0.001*P20))*SQRT(I20))/SQRT(1+K20^2/(2*J20))),0))-((1-NORMSDIST((K20*(1-1/(4*J20))-(P20-(0.001*P20))*SQRT(I20))/SQRT(1+K20^2/(2*J20))))+IF(colas=2,NORMSDIST((-K20*(1-1/(4*J20))-(P20-(0.001*P20))*SQRT(I20))/SQRT(1+K20^2/(2*J20))),0)))/(2*(0.001*P20))),P20)</f>
        <v>0</v>
      </c>
      <c r="R20" s="19">
        <f>IFERROR(Q20-(((1-NORMSDIST((K20*(1-1/(4*J20))-(Q20)*SQRT(I20))/SQRT(1+K20^2/(2*J20))))+IF(colas=2,NORMSDIST((-K20*(1-1/(4*J20))-(Q20)*SQRT(I20))/SQRT(1+K20^2/(2*J20))),0))-potencia)/((((1-NORMSDIST((K20*(1-1/(4*J20))-(Q20+(0.001*Q20))*SQRT(I20))/SQRT(1+K20^2/(2*J20))))+IF(colas=2,NORMSDIST((-K20*(1-1/(4*J20))-(Q20+(0.001*Q20))*SQRT(I20))/SQRT(1+K20^2/(2*J20))),0))-((1-NORMSDIST((K20*(1-1/(4*J20))-(Q20-(0.001*Q20))*SQRT(I20))/SQRT(1+K20^2/(2*J20))))+IF(colas=2,NORMSDIST((-K20*(1-1/(4*J20))-(Q20-(0.001*Q20))*SQRT(I20))/SQRT(1+K20^2/(2*J20))),0)))/(2*(0.001*Q20))),Q20)</f>
        <v>0</v>
      </c>
      <c r="S20" s="19">
        <f>R20</f>
        <v>0</v>
      </c>
    </row>
    <row r="21" spans="1:19">
      <c r="A21" s="8" t="s">
        <v>216</v>
      </c>
      <c r="E21" s="19">
        <f>IF(ISNUMBER(E20),INDEX($M$5:$M$103,E20-1),"")</f>
        <v>0</v>
      </c>
      <c r="I21" s="12">
        <v>18</v>
      </c>
      <c r="J21" s="12">
        <f>I21-1</f>
        <v>0</v>
      </c>
      <c r="K21" s="19">
        <f>IF(colas=2,TINV(alfa,J21),TINV(2*alfa,J21))</f>
        <v>0</v>
      </c>
      <c r="L21" s="19">
        <f>IF(ISNUMBER($E$19),$E$19*SQRT(I21),"")</f>
        <v>0</v>
      </c>
      <c r="M21" s="19">
        <f>IF(ISNUMBER($E$19),((1-NORMSDIST((K21*(1-1/(4*J21))-($E$19)*SQRT(I21))/SQRT(1+K21^2/(2*J21))))+IF(colas=2,NORMSDIST((-K21*(1-1/(4*J21))-($E$19)*SQRT(I21))/SQRT(1+K21^2/(2*J21))),0)),"")</f>
        <v>0</v>
      </c>
      <c r="N21" s="12">
        <f>IF(ISNUMBER(M21),IF(M21&gt;=potencia,I21,""),"")</f>
        <v>0</v>
      </c>
      <c r="O21" s="19">
        <f>(K21+TINV(2*(1-potencia),J21))/SQRT(I21)</f>
        <v>0</v>
      </c>
      <c r="P21" s="19">
        <f>IFERROR(O21-(((1-NORMSDIST((K21*(1-1/(4*J21))-(O21)*SQRT(I21))/SQRT(1+K21^2/(2*J21))))+IF(colas=2,NORMSDIST((-K21*(1-1/(4*J21))-(O21)*SQRT(I21))/SQRT(1+K21^2/(2*J21))),0))-potencia)/((((1-NORMSDIST((K21*(1-1/(4*J21))-(O21+(0.001*O21))*SQRT(I21))/SQRT(1+K21^2/(2*J21))))+IF(colas=2,NORMSDIST((-K21*(1-1/(4*J21))-(O21+(0.001*O21))*SQRT(I21))/SQRT(1+K21^2/(2*J21))),0))-((1-NORMSDIST((K21*(1-1/(4*J21))-(O21-(0.001*O21))*SQRT(I21))/SQRT(1+K21^2/(2*J21))))+IF(colas=2,NORMSDIST((-K21*(1-1/(4*J21))-(O21-(0.001*O21))*SQRT(I21))/SQRT(1+K21^2/(2*J21))),0)))/(2*(0.001*O21))),O21)</f>
        <v>0</v>
      </c>
      <c r="Q21" s="19">
        <f>IFERROR(P21-(((1-NORMSDIST((K21*(1-1/(4*J21))-(P21)*SQRT(I21))/SQRT(1+K21^2/(2*J21))))+IF(colas=2,NORMSDIST((-K21*(1-1/(4*J21))-(P21)*SQRT(I21))/SQRT(1+K21^2/(2*J21))),0))-potencia)/((((1-NORMSDIST((K21*(1-1/(4*J21))-(P21+(0.001*P21))*SQRT(I21))/SQRT(1+K21^2/(2*J21))))+IF(colas=2,NORMSDIST((-K21*(1-1/(4*J21))-(P21+(0.001*P21))*SQRT(I21))/SQRT(1+K21^2/(2*J21))),0))-((1-NORMSDIST((K21*(1-1/(4*J21))-(P21-(0.001*P21))*SQRT(I21))/SQRT(1+K21^2/(2*J21))))+IF(colas=2,NORMSDIST((-K21*(1-1/(4*J21))-(P21-(0.001*P21))*SQRT(I21))/SQRT(1+K21^2/(2*J21))),0)))/(2*(0.001*P21))),P21)</f>
        <v>0</v>
      </c>
      <c r="R21" s="19">
        <f>IFERROR(Q21-(((1-NORMSDIST((K21*(1-1/(4*J21))-(Q21)*SQRT(I21))/SQRT(1+K21^2/(2*J21))))+IF(colas=2,NORMSDIST((-K21*(1-1/(4*J21))-(Q21)*SQRT(I21))/SQRT(1+K21^2/(2*J21))),0))-potencia)/((((1-NORMSDIST((K21*(1-1/(4*J21))-(Q21+(0.001*Q21))*SQRT(I21))/SQRT(1+K21^2/(2*J21))))+IF(colas=2,NORMSDIST((-K21*(1-1/(4*J21))-(Q21+(0.001*Q21))*SQRT(I21))/SQRT(1+K21^2/(2*J21))),0))-((1-NORMSDIST((K21*(1-1/(4*J21))-(Q21-(0.001*Q21))*SQRT(I21))/SQRT(1+K21^2/(2*J21))))+IF(colas=2,NORMSDIST((-K21*(1-1/(4*J21))-(Q21-(0.001*Q21))*SQRT(I21))/SQRT(1+K21^2/(2*J21))),0)))/(2*(0.001*Q21))),Q21)</f>
        <v>0</v>
      </c>
      <c r="S21" s="19">
        <f>R21</f>
        <v>0</v>
      </c>
    </row>
    <row r="22" spans="1:19">
      <c r="I22" s="12">
        <v>19</v>
      </c>
      <c r="J22" s="12">
        <f>I22-1</f>
        <v>0</v>
      </c>
      <c r="K22" s="19">
        <f>IF(colas=2,TINV(alfa,J22),TINV(2*alfa,J22))</f>
        <v>0</v>
      </c>
      <c r="L22" s="19">
        <f>IF(ISNUMBER($E$19),$E$19*SQRT(I22),"")</f>
        <v>0</v>
      </c>
      <c r="M22" s="19">
        <f>IF(ISNUMBER($E$19),((1-NORMSDIST((K22*(1-1/(4*J22))-($E$19)*SQRT(I22))/SQRT(1+K22^2/(2*J22))))+IF(colas=2,NORMSDIST((-K22*(1-1/(4*J22))-($E$19)*SQRT(I22))/SQRT(1+K22^2/(2*J22))),0)),"")</f>
        <v>0</v>
      </c>
      <c r="N22" s="12">
        <f>IF(ISNUMBER(M22),IF(M22&gt;=potencia,I22,""),"")</f>
        <v>0</v>
      </c>
      <c r="O22" s="19">
        <f>(K22+TINV(2*(1-potencia),J22))/SQRT(I22)</f>
        <v>0</v>
      </c>
      <c r="P22" s="19">
        <f>IFERROR(O22-(((1-NORMSDIST((K22*(1-1/(4*J22))-(O22)*SQRT(I22))/SQRT(1+K22^2/(2*J22))))+IF(colas=2,NORMSDIST((-K22*(1-1/(4*J22))-(O22)*SQRT(I22))/SQRT(1+K22^2/(2*J22))),0))-potencia)/((((1-NORMSDIST((K22*(1-1/(4*J22))-(O22+(0.001*O22))*SQRT(I22))/SQRT(1+K22^2/(2*J22))))+IF(colas=2,NORMSDIST((-K22*(1-1/(4*J22))-(O22+(0.001*O22))*SQRT(I22))/SQRT(1+K22^2/(2*J22))),0))-((1-NORMSDIST((K22*(1-1/(4*J22))-(O22-(0.001*O22))*SQRT(I22))/SQRT(1+K22^2/(2*J22))))+IF(colas=2,NORMSDIST((-K22*(1-1/(4*J22))-(O22-(0.001*O22))*SQRT(I22))/SQRT(1+K22^2/(2*J22))),0)))/(2*(0.001*O22))),O22)</f>
        <v>0</v>
      </c>
      <c r="Q22" s="19">
        <f>IFERROR(P22-(((1-NORMSDIST((K22*(1-1/(4*J22))-(P22)*SQRT(I22))/SQRT(1+K22^2/(2*J22))))+IF(colas=2,NORMSDIST((-K22*(1-1/(4*J22))-(P22)*SQRT(I22))/SQRT(1+K22^2/(2*J22))),0))-potencia)/((((1-NORMSDIST((K22*(1-1/(4*J22))-(P22+(0.001*P22))*SQRT(I22))/SQRT(1+K22^2/(2*J22))))+IF(colas=2,NORMSDIST((-K22*(1-1/(4*J22))-(P22+(0.001*P22))*SQRT(I22))/SQRT(1+K22^2/(2*J22))),0))-((1-NORMSDIST((K22*(1-1/(4*J22))-(P22-(0.001*P22))*SQRT(I22))/SQRT(1+K22^2/(2*J22))))+IF(colas=2,NORMSDIST((-K22*(1-1/(4*J22))-(P22-(0.001*P22))*SQRT(I22))/SQRT(1+K22^2/(2*J22))),0)))/(2*(0.001*P22))),P22)</f>
        <v>0</v>
      </c>
      <c r="R22" s="19">
        <f>IFERROR(Q22-(((1-NORMSDIST((K22*(1-1/(4*J22))-(Q22)*SQRT(I22))/SQRT(1+K22^2/(2*J22))))+IF(colas=2,NORMSDIST((-K22*(1-1/(4*J22))-(Q22)*SQRT(I22))/SQRT(1+K22^2/(2*J22))),0))-potencia)/((((1-NORMSDIST((K22*(1-1/(4*J22))-(Q22+(0.001*Q22))*SQRT(I22))/SQRT(1+K22^2/(2*J22))))+IF(colas=2,NORMSDIST((-K22*(1-1/(4*J22))-(Q22+(0.001*Q22))*SQRT(I22))/SQRT(1+K22^2/(2*J22))),0))-((1-NORMSDIST((K22*(1-1/(4*J22))-(Q22-(0.001*Q22))*SQRT(I22))/SQRT(1+K22^2/(2*J22))))+IF(colas=2,NORMSDIST((-K22*(1-1/(4*J22))-(Q22-(0.001*Q22))*SQRT(I22))/SQRT(1+K22^2/(2*J22))),0)))/(2*(0.001*Q22))),Q22)</f>
        <v>0</v>
      </c>
      <c r="S22" s="19">
        <f>R22</f>
        <v>0</v>
      </c>
    </row>
    <row r="23" spans="1:19">
      <c r="A23" s="6" t="s">
        <v>218</v>
      </c>
      <c r="B23" s="6" t="s">
        <v>219</v>
      </c>
      <c r="C23" s="6" t="s">
        <v>220</v>
      </c>
      <c r="D23" s="6"/>
      <c r="E23" s="6"/>
      <c r="I23" s="12">
        <v>20</v>
      </c>
      <c r="J23" s="12">
        <f>I23-1</f>
        <v>0</v>
      </c>
      <c r="K23" s="19">
        <f>IF(colas=2,TINV(alfa,J23),TINV(2*alfa,J23))</f>
        <v>0</v>
      </c>
      <c r="L23" s="19">
        <f>IF(ISNUMBER($E$19),$E$19*SQRT(I23),"")</f>
        <v>0</v>
      </c>
      <c r="M23" s="19">
        <f>IF(ISNUMBER($E$19),((1-NORMSDIST((K23*(1-1/(4*J23))-($E$19)*SQRT(I23))/SQRT(1+K23^2/(2*J23))))+IF(colas=2,NORMSDIST((-K23*(1-1/(4*J23))-($E$19)*SQRT(I23))/SQRT(1+K23^2/(2*J23))),0)),"")</f>
        <v>0</v>
      </c>
      <c r="N23" s="12">
        <f>IF(ISNUMBER(M23),IF(M23&gt;=potencia,I23,""),"")</f>
        <v>0</v>
      </c>
      <c r="O23" s="19">
        <f>(K23+TINV(2*(1-potencia),J23))/SQRT(I23)</f>
        <v>0</v>
      </c>
      <c r="P23" s="19">
        <f>IFERROR(O23-(((1-NORMSDIST((K23*(1-1/(4*J23))-(O23)*SQRT(I23))/SQRT(1+K23^2/(2*J23))))+IF(colas=2,NORMSDIST((-K23*(1-1/(4*J23))-(O23)*SQRT(I23))/SQRT(1+K23^2/(2*J23))),0))-potencia)/((((1-NORMSDIST((K23*(1-1/(4*J23))-(O23+(0.001*O23))*SQRT(I23))/SQRT(1+K23^2/(2*J23))))+IF(colas=2,NORMSDIST((-K23*(1-1/(4*J23))-(O23+(0.001*O23))*SQRT(I23))/SQRT(1+K23^2/(2*J23))),0))-((1-NORMSDIST((K23*(1-1/(4*J23))-(O23-(0.001*O23))*SQRT(I23))/SQRT(1+K23^2/(2*J23))))+IF(colas=2,NORMSDIST((-K23*(1-1/(4*J23))-(O23-(0.001*O23))*SQRT(I23))/SQRT(1+K23^2/(2*J23))),0)))/(2*(0.001*O23))),O23)</f>
        <v>0</v>
      </c>
      <c r="Q23" s="19">
        <f>IFERROR(P23-(((1-NORMSDIST((K23*(1-1/(4*J23))-(P23)*SQRT(I23))/SQRT(1+K23^2/(2*J23))))+IF(colas=2,NORMSDIST((-K23*(1-1/(4*J23))-(P23)*SQRT(I23))/SQRT(1+K23^2/(2*J23))),0))-potencia)/((((1-NORMSDIST((K23*(1-1/(4*J23))-(P23+(0.001*P23))*SQRT(I23))/SQRT(1+K23^2/(2*J23))))+IF(colas=2,NORMSDIST((-K23*(1-1/(4*J23))-(P23+(0.001*P23))*SQRT(I23))/SQRT(1+K23^2/(2*J23))),0))-((1-NORMSDIST((K23*(1-1/(4*J23))-(P23-(0.001*P23))*SQRT(I23))/SQRT(1+K23^2/(2*J23))))+IF(colas=2,NORMSDIST((-K23*(1-1/(4*J23))-(P23-(0.001*P23))*SQRT(I23))/SQRT(1+K23^2/(2*J23))),0)))/(2*(0.001*P23))),P23)</f>
        <v>0</v>
      </c>
      <c r="R23" s="19">
        <f>IFERROR(Q23-(((1-NORMSDIST((K23*(1-1/(4*J23))-(Q23)*SQRT(I23))/SQRT(1+K23^2/(2*J23))))+IF(colas=2,NORMSDIST((-K23*(1-1/(4*J23))-(Q23)*SQRT(I23))/SQRT(1+K23^2/(2*J23))),0))-potencia)/((((1-NORMSDIST((K23*(1-1/(4*J23))-(Q23+(0.001*Q23))*SQRT(I23))/SQRT(1+K23^2/(2*J23))))+IF(colas=2,NORMSDIST((-K23*(1-1/(4*J23))-(Q23+(0.001*Q23))*SQRT(I23))/SQRT(1+K23^2/(2*J23))),0))-((1-NORMSDIST((K23*(1-1/(4*J23))-(Q23-(0.001*Q23))*SQRT(I23))/SQRT(1+K23^2/(2*J23))))+IF(colas=2,NORMSDIST((-K23*(1-1/(4*J23))-(Q23-(0.001*Q23))*SQRT(I23))/SQRT(1+K23^2/(2*J23))),0)))/(2*(0.001*Q23))),Q23)</f>
        <v>0</v>
      </c>
      <c r="S23" s="19">
        <f>R23</f>
        <v>0</v>
      </c>
    </row>
    <row r="24" spans="1:19">
      <c r="A24" s="8" t="s">
        <v>221</v>
      </c>
      <c r="B24" s="16">
        <f>IF(ISNUMBER(min_traza_man),min_traza_man,dur_piloto)</f>
        <v>0</v>
      </c>
      <c r="I24" s="12">
        <v>21</v>
      </c>
      <c r="J24" s="12">
        <f>I24-1</f>
        <v>0</v>
      </c>
      <c r="K24" s="19">
        <f>IF(colas=2,TINV(alfa,J24),TINV(2*alfa,J24))</f>
        <v>0</v>
      </c>
      <c r="L24" s="19">
        <f>IF(ISNUMBER($E$19),$E$19*SQRT(I24),"")</f>
        <v>0</v>
      </c>
      <c r="M24" s="19">
        <f>IF(ISNUMBER($E$19),((1-NORMSDIST((K24*(1-1/(4*J24))-($E$19)*SQRT(I24))/SQRT(1+K24^2/(2*J24))))+IF(colas=2,NORMSDIST((-K24*(1-1/(4*J24))-($E$19)*SQRT(I24))/SQRT(1+K24^2/(2*J24))),0)),"")</f>
        <v>0</v>
      </c>
      <c r="N24" s="12">
        <f>IF(ISNUMBER(M24),IF(M24&gt;=potencia,I24,""),"")</f>
        <v>0</v>
      </c>
      <c r="O24" s="19">
        <f>(K24+TINV(2*(1-potencia),J24))/SQRT(I24)</f>
        <v>0</v>
      </c>
      <c r="P24" s="19">
        <f>IFERROR(O24-(((1-NORMSDIST((K24*(1-1/(4*J24))-(O24)*SQRT(I24))/SQRT(1+K24^2/(2*J24))))+IF(colas=2,NORMSDIST((-K24*(1-1/(4*J24))-(O24)*SQRT(I24))/SQRT(1+K24^2/(2*J24))),0))-potencia)/((((1-NORMSDIST((K24*(1-1/(4*J24))-(O24+(0.001*O24))*SQRT(I24))/SQRT(1+K24^2/(2*J24))))+IF(colas=2,NORMSDIST((-K24*(1-1/(4*J24))-(O24+(0.001*O24))*SQRT(I24))/SQRT(1+K24^2/(2*J24))),0))-((1-NORMSDIST((K24*(1-1/(4*J24))-(O24-(0.001*O24))*SQRT(I24))/SQRT(1+K24^2/(2*J24))))+IF(colas=2,NORMSDIST((-K24*(1-1/(4*J24))-(O24-(0.001*O24))*SQRT(I24))/SQRT(1+K24^2/(2*J24))),0)))/(2*(0.001*O24))),O24)</f>
        <v>0</v>
      </c>
      <c r="Q24" s="19">
        <f>IFERROR(P24-(((1-NORMSDIST((K24*(1-1/(4*J24))-(P24)*SQRT(I24))/SQRT(1+K24^2/(2*J24))))+IF(colas=2,NORMSDIST((-K24*(1-1/(4*J24))-(P24)*SQRT(I24))/SQRT(1+K24^2/(2*J24))),0))-potencia)/((((1-NORMSDIST((K24*(1-1/(4*J24))-(P24+(0.001*P24))*SQRT(I24))/SQRT(1+K24^2/(2*J24))))+IF(colas=2,NORMSDIST((-K24*(1-1/(4*J24))-(P24+(0.001*P24))*SQRT(I24))/SQRT(1+K24^2/(2*J24))),0))-((1-NORMSDIST((K24*(1-1/(4*J24))-(P24-(0.001*P24))*SQRT(I24))/SQRT(1+K24^2/(2*J24))))+IF(colas=2,NORMSDIST((-K24*(1-1/(4*J24))-(P24-(0.001*P24))*SQRT(I24))/SQRT(1+K24^2/(2*J24))),0)))/(2*(0.001*P24))),P24)</f>
        <v>0</v>
      </c>
      <c r="R24" s="19">
        <f>IFERROR(Q24-(((1-NORMSDIST((K24*(1-1/(4*J24))-(Q24)*SQRT(I24))/SQRT(1+K24^2/(2*J24))))+IF(colas=2,NORMSDIST((-K24*(1-1/(4*J24))-(Q24)*SQRT(I24))/SQRT(1+K24^2/(2*J24))),0))-potencia)/((((1-NORMSDIST((K24*(1-1/(4*J24))-(Q24+(0.001*Q24))*SQRT(I24))/SQRT(1+K24^2/(2*J24))))+IF(colas=2,NORMSDIST((-K24*(1-1/(4*J24))-(Q24+(0.001*Q24))*SQRT(I24))/SQRT(1+K24^2/(2*J24))),0))-((1-NORMSDIST((K24*(1-1/(4*J24))-(Q24-(0.001*Q24))*SQRT(I24))/SQRT(1+K24^2/(2*J24))))+IF(colas=2,NORMSDIST((-K24*(1-1/(4*J24))-(Q24-(0.001*Q24))*SQRT(I24))/SQRT(1+K24^2/(2*J24))),0)))/(2*(0.001*Q24))),Q24)</f>
        <v>0</v>
      </c>
      <c r="S24" s="19">
        <f>R24</f>
        <v>0</v>
      </c>
    </row>
    <row r="25" spans="1:19">
      <c r="A25" s="8" t="s">
        <v>222</v>
      </c>
      <c r="B25" s="12">
        <f>IF(AND(ISNUMBER(B24),B24&gt;0),INT(horas_dia*60/B24),"")</f>
        <v>0</v>
      </c>
      <c r="C25" s="12">
        <f>B25</f>
        <v>0</v>
      </c>
      <c r="I25" s="12">
        <v>22</v>
      </c>
      <c r="J25" s="12">
        <f>I25-1</f>
        <v>0</v>
      </c>
      <c r="K25" s="19">
        <f>IF(colas=2,TINV(alfa,J25),TINV(2*alfa,J25))</f>
        <v>0</v>
      </c>
      <c r="L25" s="19">
        <f>IF(ISNUMBER($E$19),$E$19*SQRT(I25),"")</f>
        <v>0</v>
      </c>
      <c r="M25" s="19">
        <f>IF(ISNUMBER($E$19),((1-NORMSDIST((K25*(1-1/(4*J25))-($E$19)*SQRT(I25))/SQRT(1+K25^2/(2*J25))))+IF(colas=2,NORMSDIST((-K25*(1-1/(4*J25))-($E$19)*SQRT(I25))/SQRT(1+K25^2/(2*J25))),0)),"")</f>
        <v>0</v>
      </c>
      <c r="N25" s="12">
        <f>IF(ISNUMBER(M25),IF(M25&gt;=potencia,I25,""),"")</f>
        <v>0</v>
      </c>
      <c r="O25" s="19">
        <f>(K25+TINV(2*(1-potencia),J25))/SQRT(I25)</f>
        <v>0</v>
      </c>
      <c r="P25" s="19">
        <f>IFERROR(O25-(((1-NORMSDIST((K25*(1-1/(4*J25))-(O25)*SQRT(I25))/SQRT(1+K25^2/(2*J25))))+IF(colas=2,NORMSDIST((-K25*(1-1/(4*J25))-(O25)*SQRT(I25))/SQRT(1+K25^2/(2*J25))),0))-potencia)/((((1-NORMSDIST((K25*(1-1/(4*J25))-(O25+(0.001*O25))*SQRT(I25))/SQRT(1+K25^2/(2*J25))))+IF(colas=2,NORMSDIST((-K25*(1-1/(4*J25))-(O25+(0.001*O25))*SQRT(I25))/SQRT(1+K25^2/(2*J25))),0))-((1-NORMSDIST((K25*(1-1/(4*J25))-(O25-(0.001*O25))*SQRT(I25))/SQRT(1+K25^2/(2*J25))))+IF(colas=2,NORMSDIST((-K25*(1-1/(4*J25))-(O25-(0.001*O25))*SQRT(I25))/SQRT(1+K25^2/(2*J25))),0)))/(2*(0.001*O25))),O25)</f>
        <v>0</v>
      </c>
      <c r="Q25" s="19">
        <f>IFERROR(P25-(((1-NORMSDIST((K25*(1-1/(4*J25))-(P25)*SQRT(I25))/SQRT(1+K25^2/(2*J25))))+IF(colas=2,NORMSDIST((-K25*(1-1/(4*J25))-(P25)*SQRT(I25))/SQRT(1+K25^2/(2*J25))),0))-potencia)/((((1-NORMSDIST((K25*(1-1/(4*J25))-(P25+(0.001*P25))*SQRT(I25))/SQRT(1+K25^2/(2*J25))))+IF(colas=2,NORMSDIST((-K25*(1-1/(4*J25))-(P25+(0.001*P25))*SQRT(I25))/SQRT(1+K25^2/(2*J25))),0))-((1-NORMSDIST((K25*(1-1/(4*J25))-(P25-(0.001*P25))*SQRT(I25))/SQRT(1+K25^2/(2*J25))))+IF(colas=2,NORMSDIST((-K25*(1-1/(4*J25))-(P25-(0.001*P25))*SQRT(I25))/SQRT(1+K25^2/(2*J25))),0)))/(2*(0.001*P25))),P25)</f>
        <v>0</v>
      </c>
      <c r="R25" s="19">
        <f>IFERROR(Q25-(((1-NORMSDIST((K25*(1-1/(4*J25))-(Q25)*SQRT(I25))/SQRT(1+K25^2/(2*J25))))+IF(colas=2,NORMSDIST((-K25*(1-1/(4*J25))-(Q25)*SQRT(I25))/SQRT(1+K25^2/(2*J25))),0))-potencia)/((((1-NORMSDIST((K25*(1-1/(4*J25))-(Q25+(0.001*Q25))*SQRT(I25))/SQRT(1+K25^2/(2*J25))))+IF(colas=2,NORMSDIST((-K25*(1-1/(4*J25))-(Q25+(0.001*Q25))*SQRT(I25))/SQRT(1+K25^2/(2*J25))),0))-((1-NORMSDIST((K25*(1-1/(4*J25))-(Q25-(0.001*Q25))*SQRT(I25))/SQRT(1+K25^2/(2*J25))))+IF(colas=2,NORMSDIST((-K25*(1-1/(4*J25))-(Q25-(0.001*Q25))*SQRT(I25))/SQRT(1+K25^2/(2*J25))),0)))/(2*(0.001*Q25))),Q25)</f>
        <v>0</v>
      </c>
      <c r="S25" s="19">
        <f>R25</f>
        <v>0</v>
      </c>
    </row>
    <row r="26" spans="1:19">
      <c r="A26" s="7" t="s">
        <v>223</v>
      </c>
      <c r="B26" s="26">
        <f>IF(ISNUMBER($E$20),ROUNDUP($E$20/3,0),"")</f>
        <v>0</v>
      </c>
      <c r="C26" s="26">
        <f>IF(ISNUMBER($E$20),ROUNDUP($E$20/4,0),"")</f>
        <v>0</v>
      </c>
      <c r="G26" s="10" t="s">
        <v>233</v>
      </c>
      <c r="I26" s="12">
        <v>23</v>
      </c>
      <c r="J26" s="12">
        <f>I26-1</f>
        <v>0</v>
      </c>
      <c r="K26" s="19">
        <f>IF(colas=2,TINV(alfa,J26),TINV(2*alfa,J26))</f>
        <v>0</v>
      </c>
      <c r="L26" s="19">
        <f>IF(ISNUMBER($E$19),$E$19*SQRT(I26),"")</f>
        <v>0</v>
      </c>
      <c r="M26" s="19">
        <f>IF(ISNUMBER($E$19),((1-NORMSDIST((K26*(1-1/(4*J26))-($E$19)*SQRT(I26))/SQRT(1+K26^2/(2*J26))))+IF(colas=2,NORMSDIST((-K26*(1-1/(4*J26))-($E$19)*SQRT(I26))/SQRT(1+K26^2/(2*J26))),0)),"")</f>
        <v>0</v>
      </c>
      <c r="N26" s="12">
        <f>IF(ISNUMBER(M26),IF(M26&gt;=potencia,I26,""),"")</f>
        <v>0</v>
      </c>
      <c r="O26" s="19">
        <f>(K26+TINV(2*(1-potencia),J26))/SQRT(I26)</f>
        <v>0</v>
      </c>
      <c r="P26" s="19">
        <f>IFERROR(O26-(((1-NORMSDIST((K26*(1-1/(4*J26))-(O26)*SQRT(I26))/SQRT(1+K26^2/(2*J26))))+IF(colas=2,NORMSDIST((-K26*(1-1/(4*J26))-(O26)*SQRT(I26))/SQRT(1+K26^2/(2*J26))),0))-potencia)/((((1-NORMSDIST((K26*(1-1/(4*J26))-(O26+(0.001*O26))*SQRT(I26))/SQRT(1+K26^2/(2*J26))))+IF(colas=2,NORMSDIST((-K26*(1-1/(4*J26))-(O26+(0.001*O26))*SQRT(I26))/SQRT(1+K26^2/(2*J26))),0))-((1-NORMSDIST((K26*(1-1/(4*J26))-(O26-(0.001*O26))*SQRT(I26))/SQRT(1+K26^2/(2*J26))))+IF(colas=2,NORMSDIST((-K26*(1-1/(4*J26))-(O26-(0.001*O26))*SQRT(I26))/SQRT(1+K26^2/(2*J26))),0)))/(2*(0.001*O26))),O26)</f>
        <v>0</v>
      </c>
      <c r="Q26" s="19">
        <f>IFERROR(P26-(((1-NORMSDIST((K26*(1-1/(4*J26))-(P26)*SQRT(I26))/SQRT(1+K26^2/(2*J26))))+IF(colas=2,NORMSDIST((-K26*(1-1/(4*J26))-(P26)*SQRT(I26))/SQRT(1+K26^2/(2*J26))),0))-potencia)/((((1-NORMSDIST((K26*(1-1/(4*J26))-(P26+(0.001*P26))*SQRT(I26))/SQRT(1+K26^2/(2*J26))))+IF(colas=2,NORMSDIST((-K26*(1-1/(4*J26))-(P26+(0.001*P26))*SQRT(I26))/SQRT(1+K26^2/(2*J26))),0))-((1-NORMSDIST((K26*(1-1/(4*J26))-(P26-(0.001*P26))*SQRT(I26))/SQRT(1+K26^2/(2*J26))))+IF(colas=2,NORMSDIST((-K26*(1-1/(4*J26))-(P26-(0.001*P26))*SQRT(I26))/SQRT(1+K26^2/(2*J26))),0)))/(2*(0.001*P26))),P26)</f>
        <v>0</v>
      </c>
      <c r="R26" s="19">
        <f>IFERROR(Q26-(((1-NORMSDIST((K26*(1-1/(4*J26))-(Q26)*SQRT(I26))/SQRT(1+K26^2/(2*J26))))+IF(colas=2,NORMSDIST((-K26*(1-1/(4*J26))-(Q26)*SQRT(I26))/SQRT(1+K26^2/(2*J26))),0))-potencia)/((((1-NORMSDIST((K26*(1-1/(4*J26))-(Q26+(0.001*Q26))*SQRT(I26))/SQRT(1+K26^2/(2*J26))))+IF(colas=2,NORMSDIST((-K26*(1-1/(4*J26))-(Q26+(0.001*Q26))*SQRT(I26))/SQRT(1+K26^2/(2*J26))),0))-((1-NORMSDIST((K26*(1-1/(4*J26))-(Q26-(0.001*Q26))*SQRT(I26))/SQRT(1+K26^2/(2*J26))))+IF(colas=2,NORMSDIST((-K26*(1-1/(4*J26))-(Q26-(0.001*Q26))*SQRT(I26))/SQRT(1+K26^2/(2*J26))),0)))/(2*(0.001*Q26))),Q26)</f>
        <v>0</v>
      </c>
      <c r="S26" s="19">
        <f>R26</f>
        <v>0</v>
      </c>
    </row>
    <row r="27" spans="1:19">
      <c r="A27" s="8" t="s">
        <v>224</v>
      </c>
      <c r="B27" s="12">
        <f>IF(ISNUMBER(B26),3*B26,"")</f>
        <v>0</v>
      </c>
      <c r="C27" s="12">
        <f>IF(ISNUMBER(C26),3*C26,"")</f>
        <v>0</v>
      </c>
      <c r="I27" s="12">
        <v>24</v>
      </c>
      <c r="J27" s="12">
        <f>I27-1</f>
        <v>0</v>
      </c>
      <c r="K27" s="19">
        <f>IF(colas=2,TINV(alfa,J27),TINV(2*alfa,J27))</f>
        <v>0</v>
      </c>
      <c r="L27" s="19">
        <f>IF(ISNUMBER($E$19),$E$19*SQRT(I27),"")</f>
        <v>0</v>
      </c>
      <c r="M27" s="19">
        <f>IF(ISNUMBER($E$19),((1-NORMSDIST((K27*(1-1/(4*J27))-($E$19)*SQRT(I27))/SQRT(1+K27^2/(2*J27))))+IF(colas=2,NORMSDIST((-K27*(1-1/(4*J27))-($E$19)*SQRT(I27))/SQRT(1+K27^2/(2*J27))),0)),"")</f>
        <v>0</v>
      </c>
      <c r="N27" s="12">
        <f>IF(ISNUMBER(M27),IF(M27&gt;=potencia,I27,""),"")</f>
        <v>0</v>
      </c>
      <c r="O27" s="19">
        <f>(K27+TINV(2*(1-potencia),J27))/SQRT(I27)</f>
        <v>0</v>
      </c>
      <c r="P27" s="19">
        <f>IFERROR(O27-(((1-NORMSDIST((K27*(1-1/(4*J27))-(O27)*SQRT(I27))/SQRT(1+K27^2/(2*J27))))+IF(colas=2,NORMSDIST((-K27*(1-1/(4*J27))-(O27)*SQRT(I27))/SQRT(1+K27^2/(2*J27))),0))-potencia)/((((1-NORMSDIST((K27*(1-1/(4*J27))-(O27+(0.001*O27))*SQRT(I27))/SQRT(1+K27^2/(2*J27))))+IF(colas=2,NORMSDIST((-K27*(1-1/(4*J27))-(O27+(0.001*O27))*SQRT(I27))/SQRT(1+K27^2/(2*J27))),0))-((1-NORMSDIST((K27*(1-1/(4*J27))-(O27-(0.001*O27))*SQRT(I27))/SQRT(1+K27^2/(2*J27))))+IF(colas=2,NORMSDIST((-K27*(1-1/(4*J27))-(O27-(0.001*O27))*SQRT(I27))/SQRT(1+K27^2/(2*J27))),0)))/(2*(0.001*O27))),O27)</f>
        <v>0</v>
      </c>
      <c r="Q27" s="19">
        <f>IFERROR(P27-(((1-NORMSDIST((K27*(1-1/(4*J27))-(P27)*SQRT(I27))/SQRT(1+K27^2/(2*J27))))+IF(colas=2,NORMSDIST((-K27*(1-1/(4*J27))-(P27)*SQRT(I27))/SQRT(1+K27^2/(2*J27))),0))-potencia)/((((1-NORMSDIST((K27*(1-1/(4*J27))-(P27+(0.001*P27))*SQRT(I27))/SQRT(1+K27^2/(2*J27))))+IF(colas=2,NORMSDIST((-K27*(1-1/(4*J27))-(P27+(0.001*P27))*SQRT(I27))/SQRT(1+K27^2/(2*J27))),0))-((1-NORMSDIST((K27*(1-1/(4*J27))-(P27-(0.001*P27))*SQRT(I27))/SQRT(1+K27^2/(2*J27))))+IF(colas=2,NORMSDIST((-K27*(1-1/(4*J27))-(P27-(0.001*P27))*SQRT(I27))/SQRT(1+K27^2/(2*J27))),0)))/(2*(0.001*P27))),P27)</f>
        <v>0</v>
      </c>
      <c r="R27" s="19">
        <f>IFERROR(Q27-(((1-NORMSDIST((K27*(1-1/(4*J27))-(Q27)*SQRT(I27))/SQRT(1+K27^2/(2*J27))))+IF(colas=2,NORMSDIST((-K27*(1-1/(4*J27))-(Q27)*SQRT(I27))/SQRT(1+K27^2/(2*J27))),0))-potencia)/((((1-NORMSDIST((K27*(1-1/(4*J27))-(Q27+(0.001*Q27))*SQRT(I27))/SQRT(1+K27^2/(2*J27))))+IF(colas=2,NORMSDIST((-K27*(1-1/(4*J27))-(Q27+(0.001*Q27))*SQRT(I27))/SQRT(1+K27^2/(2*J27))),0))-((1-NORMSDIST((K27*(1-1/(4*J27))-(Q27-(0.001*Q27))*SQRT(I27))/SQRT(1+K27^2/(2*J27))))+IF(colas=2,NORMSDIST((-K27*(1-1/(4*J27))-(Q27-(0.001*Q27))*SQRT(I27))/SQRT(1+K27^2/(2*J27))),0)))/(2*(0.001*Q27))),Q27)</f>
        <v>0</v>
      </c>
      <c r="S27" s="19">
        <f>R27</f>
        <v>0</v>
      </c>
    </row>
    <row r="28" spans="1:19">
      <c r="A28" s="8" t="s">
        <v>225</v>
      </c>
      <c r="B28" s="18">
        <f>IF(AND(ISNUMBER(B27),ISNUMBER($B$25)),IF(B27&lt;=$B$25,"Sí","No"),"(falta cronometraje)")</f>
        <v>0</v>
      </c>
      <c r="C28" s="18">
        <f>IF(AND(ISNUMBER(C27),ISNUMBER($B$25)),IF(C27&lt;=$B$25,"Sí","No"),"(falta cronometraje)")</f>
        <v>0</v>
      </c>
      <c r="I28" s="12">
        <v>25</v>
      </c>
      <c r="J28" s="12">
        <f>I28-1</f>
        <v>0</v>
      </c>
      <c r="K28" s="19">
        <f>IF(colas=2,TINV(alfa,J28),TINV(2*alfa,J28))</f>
        <v>0</v>
      </c>
      <c r="L28" s="19">
        <f>IF(ISNUMBER($E$19),$E$19*SQRT(I28),"")</f>
        <v>0</v>
      </c>
      <c r="M28" s="19">
        <f>IF(ISNUMBER($E$19),((1-NORMSDIST((K28*(1-1/(4*J28))-($E$19)*SQRT(I28))/SQRT(1+K28^2/(2*J28))))+IF(colas=2,NORMSDIST((-K28*(1-1/(4*J28))-($E$19)*SQRT(I28))/SQRT(1+K28^2/(2*J28))),0)),"")</f>
        <v>0</v>
      </c>
      <c r="N28" s="12">
        <f>IF(ISNUMBER(M28),IF(M28&gt;=potencia,I28,""),"")</f>
        <v>0</v>
      </c>
      <c r="O28" s="19">
        <f>(K28+TINV(2*(1-potencia),J28))/SQRT(I28)</f>
        <v>0</v>
      </c>
      <c r="P28" s="19">
        <f>IFERROR(O28-(((1-NORMSDIST((K28*(1-1/(4*J28))-(O28)*SQRT(I28))/SQRT(1+K28^2/(2*J28))))+IF(colas=2,NORMSDIST((-K28*(1-1/(4*J28))-(O28)*SQRT(I28))/SQRT(1+K28^2/(2*J28))),0))-potencia)/((((1-NORMSDIST((K28*(1-1/(4*J28))-(O28+(0.001*O28))*SQRT(I28))/SQRT(1+K28^2/(2*J28))))+IF(colas=2,NORMSDIST((-K28*(1-1/(4*J28))-(O28+(0.001*O28))*SQRT(I28))/SQRT(1+K28^2/(2*J28))),0))-((1-NORMSDIST((K28*(1-1/(4*J28))-(O28-(0.001*O28))*SQRT(I28))/SQRT(1+K28^2/(2*J28))))+IF(colas=2,NORMSDIST((-K28*(1-1/(4*J28))-(O28-(0.001*O28))*SQRT(I28))/SQRT(1+K28^2/(2*J28))),0)))/(2*(0.001*O28))),O28)</f>
        <v>0</v>
      </c>
      <c r="Q28" s="19">
        <f>IFERROR(P28-(((1-NORMSDIST((K28*(1-1/(4*J28))-(P28)*SQRT(I28))/SQRT(1+K28^2/(2*J28))))+IF(colas=2,NORMSDIST((-K28*(1-1/(4*J28))-(P28)*SQRT(I28))/SQRT(1+K28^2/(2*J28))),0))-potencia)/((((1-NORMSDIST((K28*(1-1/(4*J28))-(P28+(0.001*P28))*SQRT(I28))/SQRT(1+K28^2/(2*J28))))+IF(colas=2,NORMSDIST((-K28*(1-1/(4*J28))-(P28+(0.001*P28))*SQRT(I28))/SQRT(1+K28^2/(2*J28))),0))-((1-NORMSDIST((K28*(1-1/(4*J28))-(P28-(0.001*P28))*SQRT(I28))/SQRT(1+K28^2/(2*J28))))+IF(colas=2,NORMSDIST((-K28*(1-1/(4*J28))-(P28-(0.001*P28))*SQRT(I28))/SQRT(1+K28^2/(2*J28))),0)))/(2*(0.001*P28))),P28)</f>
        <v>0</v>
      </c>
      <c r="R28" s="19">
        <f>IFERROR(Q28-(((1-NORMSDIST((K28*(1-1/(4*J28))-(Q28)*SQRT(I28))/SQRT(1+K28^2/(2*J28))))+IF(colas=2,NORMSDIST((-K28*(1-1/(4*J28))-(Q28)*SQRT(I28))/SQRT(1+K28^2/(2*J28))),0))-potencia)/((((1-NORMSDIST((K28*(1-1/(4*J28))-(Q28+(0.001*Q28))*SQRT(I28))/SQRT(1+K28^2/(2*J28))))+IF(colas=2,NORMSDIST((-K28*(1-1/(4*J28))-(Q28+(0.001*Q28))*SQRT(I28))/SQRT(1+K28^2/(2*J28))),0))-((1-NORMSDIST((K28*(1-1/(4*J28))-(Q28-(0.001*Q28))*SQRT(I28))/SQRT(1+K28^2/(2*J28))))+IF(colas=2,NORMSDIST((-K28*(1-1/(4*J28))-(Q28-(0.001*Q28))*SQRT(I28))/SQRT(1+K28^2/(2*J28))),0)))/(2*(0.001*Q28))),Q28)</f>
        <v>0</v>
      </c>
      <c r="S28" s="19">
        <f>R28</f>
        <v>0</v>
      </c>
    </row>
    <row r="29" spans="1:19">
      <c r="A29" s="7" t="s">
        <v>226</v>
      </c>
      <c r="B29" s="12">
        <f>IF(ISNUMBER(B26),B26*3,"")</f>
        <v>0</v>
      </c>
      <c r="C29" s="12">
        <f>IF(ISNUMBER(C26),C26*4,"")</f>
        <v>0</v>
      </c>
      <c r="I29" s="12">
        <v>26</v>
      </c>
      <c r="J29" s="12">
        <f>I29-1</f>
        <v>0</v>
      </c>
      <c r="K29" s="19">
        <f>IF(colas=2,TINV(alfa,J29),TINV(2*alfa,J29))</f>
        <v>0</v>
      </c>
      <c r="L29" s="19">
        <f>IF(ISNUMBER($E$19),$E$19*SQRT(I29),"")</f>
        <v>0</v>
      </c>
      <c r="M29" s="19">
        <f>IF(ISNUMBER($E$19),((1-NORMSDIST((K29*(1-1/(4*J29))-($E$19)*SQRT(I29))/SQRT(1+K29^2/(2*J29))))+IF(colas=2,NORMSDIST((-K29*(1-1/(4*J29))-($E$19)*SQRT(I29))/SQRT(1+K29^2/(2*J29))),0)),"")</f>
        <v>0</v>
      </c>
      <c r="N29" s="12">
        <f>IF(ISNUMBER(M29),IF(M29&gt;=potencia,I29,""),"")</f>
        <v>0</v>
      </c>
      <c r="O29" s="19">
        <f>(K29+TINV(2*(1-potencia),J29))/SQRT(I29)</f>
        <v>0</v>
      </c>
      <c r="P29" s="19">
        <f>IFERROR(O29-(((1-NORMSDIST((K29*(1-1/(4*J29))-(O29)*SQRT(I29))/SQRT(1+K29^2/(2*J29))))+IF(colas=2,NORMSDIST((-K29*(1-1/(4*J29))-(O29)*SQRT(I29))/SQRT(1+K29^2/(2*J29))),0))-potencia)/((((1-NORMSDIST((K29*(1-1/(4*J29))-(O29+(0.001*O29))*SQRT(I29))/SQRT(1+K29^2/(2*J29))))+IF(colas=2,NORMSDIST((-K29*(1-1/(4*J29))-(O29+(0.001*O29))*SQRT(I29))/SQRT(1+K29^2/(2*J29))),0))-((1-NORMSDIST((K29*(1-1/(4*J29))-(O29-(0.001*O29))*SQRT(I29))/SQRT(1+K29^2/(2*J29))))+IF(colas=2,NORMSDIST((-K29*(1-1/(4*J29))-(O29-(0.001*O29))*SQRT(I29))/SQRT(1+K29^2/(2*J29))),0)))/(2*(0.001*O29))),O29)</f>
        <v>0</v>
      </c>
      <c r="Q29" s="19">
        <f>IFERROR(P29-(((1-NORMSDIST((K29*(1-1/(4*J29))-(P29)*SQRT(I29))/SQRT(1+K29^2/(2*J29))))+IF(colas=2,NORMSDIST((-K29*(1-1/(4*J29))-(P29)*SQRT(I29))/SQRT(1+K29^2/(2*J29))),0))-potencia)/((((1-NORMSDIST((K29*(1-1/(4*J29))-(P29+(0.001*P29))*SQRT(I29))/SQRT(1+K29^2/(2*J29))))+IF(colas=2,NORMSDIST((-K29*(1-1/(4*J29))-(P29+(0.001*P29))*SQRT(I29))/SQRT(1+K29^2/(2*J29))),0))-((1-NORMSDIST((K29*(1-1/(4*J29))-(P29-(0.001*P29))*SQRT(I29))/SQRT(1+K29^2/(2*J29))))+IF(colas=2,NORMSDIST((-K29*(1-1/(4*J29))-(P29-(0.001*P29))*SQRT(I29))/SQRT(1+K29^2/(2*J29))),0)))/(2*(0.001*P29))),P29)</f>
        <v>0</v>
      </c>
      <c r="R29" s="19">
        <f>IFERROR(Q29-(((1-NORMSDIST((K29*(1-1/(4*J29))-(Q29)*SQRT(I29))/SQRT(1+K29^2/(2*J29))))+IF(colas=2,NORMSDIST((-K29*(1-1/(4*J29))-(Q29)*SQRT(I29))/SQRT(1+K29^2/(2*J29))),0))-potencia)/((((1-NORMSDIST((K29*(1-1/(4*J29))-(Q29+(0.001*Q29))*SQRT(I29))/SQRT(1+K29^2/(2*J29))))+IF(colas=2,NORMSDIST((-K29*(1-1/(4*J29))-(Q29+(0.001*Q29))*SQRT(I29))/SQRT(1+K29^2/(2*J29))),0))-((1-NORMSDIST((K29*(1-1/(4*J29))-(Q29-(0.001*Q29))*SQRT(I29))/SQRT(1+K29^2/(2*J29))))+IF(colas=2,NORMSDIST((-K29*(1-1/(4*J29))-(Q29-(0.001*Q29))*SQRT(I29))/SQRT(1+K29^2/(2*J29))),0)))/(2*(0.001*Q29))),Q29)</f>
        <v>0</v>
      </c>
      <c r="S29" s="19">
        <f>R29</f>
        <v>0</v>
      </c>
    </row>
    <row r="30" spans="1:19">
      <c r="A30" s="8" t="s">
        <v>227</v>
      </c>
      <c r="B30" s="12">
        <f>IF(B28="No",INT($B$25/3),"")</f>
        <v>0</v>
      </c>
      <c r="C30" s="12">
        <f>IF(C28="No",INT($B$25/3),"")</f>
        <v>0</v>
      </c>
      <c r="I30" s="12">
        <v>27</v>
      </c>
      <c r="J30" s="12">
        <f>I30-1</f>
        <v>0</v>
      </c>
      <c r="K30" s="19">
        <f>IF(colas=2,TINV(alfa,J30),TINV(2*alfa,J30))</f>
        <v>0</v>
      </c>
      <c r="L30" s="19">
        <f>IF(ISNUMBER($E$19),$E$19*SQRT(I30),"")</f>
        <v>0</v>
      </c>
      <c r="M30" s="19">
        <f>IF(ISNUMBER($E$19),((1-NORMSDIST((K30*(1-1/(4*J30))-($E$19)*SQRT(I30))/SQRT(1+K30^2/(2*J30))))+IF(colas=2,NORMSDIST((-K30*(1-1/(4*J30))-($E$19)*SQRT(I30))/SQRT(1+K30^2/(2*J30))),0)),"")</f>
        <v>0</v>
      </c>
      <c r="N30" s="12">
        <f>IF(ISNUMBER(M30),IF(M30&gt;=potencia,I30,""),"")</f>
        <v>0</v>
      </c>
      <c r="O30" s="19">
        <f>(K30+TINV(2*(1-potencia),J30))/SQRT(I30)</f>
        <v>0</v>
      </c>
      <c r="P30" s="19">
        <f>IFERROR(O30-(((1-NORMSDIST((K30*(1-1/(4*J30))-(O30)*SQRT(I30))/SQRT(1+K30^2/(2*J30))))+IF(colas=2,NORMSDIST((-K30*(1-1/(4*J30))-(O30)*SQRT(I30))/SQRT(1+K30^2/(2*J30))),0))-potencia)/((((1-NORMSDIST((K30*(1-1/(4*J30))-(O30+(0.001*O30))*SQRT(I30))/SQRT(1+K30^2/(2*J30))))+IF(colas=2,NORMSDIST((-K30*(1-1/(4*J30))-(O30+(0.001*O30))*SQRT(I30))/SQRT(1+K30^2/(2*J30))),0))-((1-NORMSDIST((K30*(1-1/(4*J30))-(O30-(0.001*O30))*SQRT(I30))/SQRT(1+K30^2/(2*J30))))+IF(colas=2,NORMSDIST((-K30*(1-1/(4*J30))-(O30-(0.001*O30))*SQRT(I30))/SQRT(1+K30^2/(2*J30))),0)))/(2*(0.001*O30))),O30)</f>
        <v>0</v>
      </c>
      <c r="Q30" s="19">
        <f>IFERROR(P30-(((1-NORMSDIST((K30*(1-1/(4*J30))-(P30)*SQRT(I30))/SQRT(1+K30^2/(2*J30))))+IF(colas=2,NORMSDIST((-K30*(1-1/(4*J30))-(P30)*SQRT(I30))/SQRT(1+K30^2/(2*J30))),0))-potencia)/((((1-NORMSDIST((K30*(1-1/(4*J30))-(P30+(0.001*P30))*SQRT(I30))/SQRT(1+K30^2/(2*J30))))+IF(colas=2,NORMSDIST((-K30*(1-1/(4*J30))-(P30+(0.001*P30))*SQRT(I30))/SQRT(1+K30^2/(2*J30))),0))-((1-NORMSDIST((K30*(1-1/(4*J30))-(P30-(0.001*P30))*SQRT(I30))/SQRT(1+K30^2/(2*J30))))+IF(colas=2,NORMSDIST((-K30*(1-1/(4*J30))-(P30-(0.001*P30))*SQRT(I30))/SQRT(1+K30^2/(2*J30))),0)))/(2*(0.001*P30))),P30)</f>
        <v>0</v>
      </c>
      <c r="R30" s="19">
        <f>IFERROR(Q30-(((1-NORMSDIST((K30*(1-1/(4*J30))-(Q30)*SQRT(I30))/SQRT(1+K30^2/(2*J30))))+IF(colas=2,NORMSDIST((-K30*(1-1/(4*J30))-(Q30)*SQRT(I30))/SQRT(1+K30^2/(2*J30))),0))-potencia)/((((1-NORMSDIST((K30*(1-1/(4*J30))-(Q30+(0.001*Q30))*SQRT(I30))/SQRT(1+K30^2/(2*J30))))+IF(colas=2,NORMSDIST((-K30*(1-1/(4*J30))-(Q30+(0.001*Q30))*SQRT(I30))/SQRT(1+K30^2/(2*J30))),0))-((1-NORMSDIST((K30*(1-1/(4*J30))-(Q30-(0.001*Q30))*SQRT(I30))/SQRT(1+K30^2/(2*J30))))+IF(colas=2,NORMSDIST((-K30*(1-1/(4*J30))-(Q30-(0.001*Q30))*SQRT(I30))/SQRT(1+K30^2/(2*J30))),0)))/(2*(0.001*Q30))),Q30)</f>
        <v>0</v>
      </c>
      <c r="S30" s="19">
        <f>R30</f>
        <v>0</v>
      </c>
    </row>
    <row r="31" spans="1:19">
      <c r="A31" s="8" t="s">
        <v>228</v>
      </c>
      <c r="B31" s="12">
        <f>IF(ISNUMBER(B30),B30*3,"")</f>
        <v>0</v>
      </c>
      <c r="C31" s="12">
        <f>IF(ISNUMBER(C30),C30*4,"")</f>
        <v>0</v>
      </c>
      <c r="I31" s="12">
        <v>28</v>
      </c>
      <c r="J31" s="12">
        <f>I31-1</f>
        <v>0</v>
      </c>
      <c r="K31" s="19">
        <f>IF(colas=2,TINV(alfa,J31),TINV(2*alfa,J31))</f>
        <v>0</v>
      </c>
      <c r="L31" s="19">
        <f>IF(ISNUMBER($E$19),$E$19*SQRT(I31),"")</f>
        <v>0</v>
      </c>
      <c r="M31" s="19">
        <f>IF(ISNUMBER($E$19),((1-NORMSDIST((K31*(1-1/(4*J31))-($E$19)*SQRT(I31))/SQRT(1+K31^2/(2*J31))))+IF(colas=2,NORMSDIST((-K31*(1-1/(4*J31))-($E$19)*SQRT(I31))/SQRT(1+K31^2/(2*J31))),0)),"")</f>
        <v>0</v>
      </c>
      <c r="N31" s="12">
        <f>IF(ISNUMBER(M31),IF(M31&gt;=potencia,I31,""),"")</f>
        <v>0</v>
      </c>
      <c r="O31" s="19">
        <f>(K31+TINV(2*(1-potencia),J31))/SQRT(I31)</f>
        <v>0</v>
      </c>
      <c r="P31" s="19">
        <f>IFERROR(O31-(((1-NORMSDIST((K31*(1-1/(4*J31))-(O31)*SQRT(I31))/SQRT(1+K31^2/(2*J31))))+IF(colas=2,NORMSDIST((-K31*(1-1/(4*J31))-(O31)*SQRT(I31))/SQRT(1+K31^2/(2*J31))),0))-potencia)/((((1-NORMSDIST((K31*(1-1/(4*J31))-(O31+(0.001*O31))*SQRT(I31))/SQRT(1+K31^2/(2*J31))))+IF(colas=2,NORMSDIST((-K31*(1-1/(4*J31))-(O31+(0.001*O31))*SQRT(I31))/SQRT(1+K31^2/(2*J31))),0))-((1-NORMSDIST((K31*(1-1/(4*J31))-(O31-(0.001*O31))*SQRT(I31))/SQRT(1+K31^2/(2*J31))))+IF(colas=2,NORMSDIST((-K31*(1-1/(4*J31))-(O31-(0.001*O31))*SQRT(I31))/SQRT(1+K31^2/(2*J31))),0)))/(2*(0.001*O31))),O31)</f>
        <v>0</v>
      </c>
      <c r="Q31" s="19">
        <f>IFERROR(P31-(((1-NORMSDIST((K31*(1-1/(4*J31))-(P31)*SQRT(I31))/SQRT(1+K31^2/(2*J31))))+IF(colas=2,NORMSDIST((-K31*(1-1/(4*J31))-(P31)*SQRT(I31))/SQRT(1+K31^2/(2*J31))),0))-potencia)/((((1-NORMSDIST((K31*(1-1/(4*J31))-(P31+(0.001*P31))*SQRT(I31))/SQRT(1+K31^2/(2*J31))))+IF(colas=2,NORMSDIST((-K31*(1-1/(4*J31))-(P31+(0.001*P31))*SQRT(I31))/SQRT(1+K31^2/(2*J31))),0))-((1-NORMSDIST((K31*(1-1/(4*J31))-(P31-(0.001*P31))*SQRT(I31))/SQRT(1+K31^2/(2*J31))))+IF(colas=2,NORMSDIST((-K31*(1-1/(4*J31))-(P31-(0.001*P31))*SQRT(I31))/SQRT(1+K31^2/(2*J31))),0)))/(2*(0.001*P31))),P31)</f>
        <v>0</v>
      </c>
      <c r="R31" s="19">
        <f>IFERROR(Q31-(((1-NORMSDIST((K31*(1-1/(4*J31))-(Q31)*SQRT(I31))/SQRT(1+K31^2/(2*J31))))+IF(colas=2,NORMSDIST((-K31*(1-1/(4*J31))-(Q31)*SQRT(I31))/SQRT(1+K31^2/(2*J31))),0))-potencia)/((((1-NORMSDIST((K31*(1-1/(4*J31))-(Q31+(0.001*Q31))*SQRT(I31))/SQRT(1+K31^2/(2*J31))))+IF(colas=2,NORMSDIST((-K31*(1-1/(4*J31))-(Q31+(0.001*Q31))*SQRT(I31))/SQRT(1+K31^2/(2*J31))),0))-((1-NORMSDIST((K31*(1-1/(4*J31))-(Q31-(0.001*Q31))*SQRT(I31))/SQRT(1+K31^2/(2*J31))))+IF(colas=2,NORMSDIST((-K31*(1-1/(4*J31))-(Q31-(0.001*Q31))*SQRT(I31))/SQRT(1+K31^2/(2*J31))),0)))/(2*(0.001*Q31))),Q31)</f>
        <v>0</v>
      </c>
      <c r="S31" s="19">
        <f>R31</f>
        <v>0</v>
      </c>
    </row>
    <row r="32" spans="1:19">
      <c r="A32" s="7" t="s">
        <v>229</v>
      </c>
      <c r="B32" s="26">
        <f>IF(ISNUMBER(B31),B31,B29)</f>
        <v>0</v>
      </c>
      <c r="C32" s="26">
        <f>IF(ISNUMBER(C31),C31,C29)</f>
        <v>0</v>
      </c>
      <c r="I32" s="12">
        <v>29</v>
      </c>
      <c r="J32" s="12">
        <f>I32-1</f>
        <v>0</v>
      </c>
      <c r="K32" s="19">
        <f>IF(colas=2,TINV(alfa,J32),TINV(2*alfa,J32))</f>
        <v>0</v>
      </c>
      <c r="L32" s="19">
        <f>IF(ISNUMBER($E$19),$E$19*SQRT(I32),"")</f>
        <v>0</v>
      </c>
      <c r="M32" s="19">
        <f>IF(ISNUMBER($E$19),((1-NORMSDIST((K32*(1-1/(4*J32))-($E$19)*SQRT(I32))/SQRT(1+K32^2/(2*J32))))+IF(colas=2,NORMSDIST((-K32*(1-1/(4*J32))-($E$19)*SQRT(I32))/SQRT(1+K32^2/(2*J32))),0)),"")</f>
        <v>0</v>
      </c>
      <c r="N32" s="12">
        <f>IF(ISNUMBER(M32),IF(M32&gt;=potencia,I32,""),"")</f>
        <v>0</v>
      </c>
      <c r="O32" s="19">
        <f>(K32+TINV(2*(1-potencia),J32))/SQRT(I32)</f>
        <v>0</v>
      </c>
      <c r="P32" s="19">
        <f>IFERROR(O32-(((1-NORMSDIST((K32*(1-1/(4*J32))-(O32)*SQRT(I32))/SQRT(1+K32^2/(2*J32))))+IF(colas=2,NORMSDIST((-K32*(1-1/(4*J32))-(O32)*SQRT(I32))/SQRT(1+K32^2/(2*J32))),0))-potencia)/((((1-NORMSDIST((K32*(1-1/(4*J32))-(O32+(0.001*O32))*SQRT(I32))/SQRT(1+K32^2/(2*J32))))+IF(colas=2,NORMSDIST((-K32*(1-1/(4*J32))-(O32+(0.001*O32))*SQRT(I32))/SQRT(1+K32^2/(2*J32))),0))-((1-NORMSDIST((K32*(1-1/(4*J32))-(O32-(0.001*O32))*SQRT(I32))/SQRT(1+K32^2/(2*J32))))+IF(colas=2,NORMSDIST((-K32*(1-1/(4*J32))-(O32-(0.001*O32))*SQRT(I32))/SQRT(1+K32^2/(2*J32))),0)))/(2*(0.001*O32))),O32)</f>
        <v>0</v>
      </c>
      <c r="Q32" s="19">
        <f>IFERROR(P32-(((1-NORMSDIST((K32*(1-1/(4*J32))-(P32)*SQRT(I32))/SQRT(1+K32^2/(2*J32))))+IF(colas=2,NORMSDIST((-K32*(1-1/(4*J32))-(P32)*SQRT(I32))/SQRT(1+K32^2/(2*J32))),0))-potencia)/((((1-NORMSDIST((K32*(1-1/(4*J32))-(P32+(0.001*P32))*SQRT(I32))/SQRT(1+K32^2/(2*J32))))+IF(colas=2,NORMSDIST((-K32*(1-1/(4*J32))-(P32+(0.001*P32))*SQRT(I32))/SQRT(1+K32^2/(2*J32))),0))-((1-NORMSDIST((K32*(1-1/(4*J32))-(P32-(0.001*P32))*SQRT(I32))/SQRT(1+K32^2/(2*J32))))+IF(colas=2,NORMSDIST((-K32*(1-1/(4*J32))-(P32-(0.001*P32))*SQRT(I32))/SQRT(1+K32^2/(2*J32))),0)))/(2*(0.001*P32))),P32)</f>
        <v>0</v>
      </c>
      <c r="R32" s="19">
        <f>IFERROR(Q32-(((1-NORMSDIST((K32*(1-1/(4*J32))-(Q32)*SQRT(I32))/SQRT(1+K32^2/(2*J32))))+IF(colas=2,NORMSDIST((-K32*(1-1/(4*J32))-(Q32)*SQRT(I32))/SQRT(1+K32^2/(2*J32))),0))-potencia)/((((1-NORMSDIST((K32*(1-1/(4*J32))-(Q32+(0.001*Q32))*SQRT(I32))/SQRT(1+K32^2/(2*J32))))+IF(colas=2,NORMSDIST((-K32*(1-1/(4*J32))-(Q32+(0.001*Q32))*SQRT(I32))/SQRT(1+K32^2/(2*J32))),0))-((1-NORMSDIST((K32*(1-1/(4*J32))-(Q32-(0.001*Q32))*SQRT(I32))/SQRT(1+K32^2/(2*J32))))+IF(colas=2,NORMSDIST((-K32*(1-1/(4*J32))-(Q32-(0.001*Q32))*SQRT(I32))/SQRT(1+K32^2/(2*J32))),0)))/(2*(0.001*Q32))),Q32)</f>
        <v>0</v>
      </c>
      <c r="S32" s="19">
        <f>R32</f>
        <v>0</v>
      </c>
    </row>
    <row r="33" spans="1:19">
      <c r="A33" s="7" t="s">
        <v>230</v>
      </c>
      <c r="B33" s="17">
        <f>IF(AND(ISNUMBER(B32),B32&gt;=2,ISNUMBER($E$10)),INDEX($S$5:$S$103,B32-1)*$E$10,"")</f>
        <v>0</v>
      </c>
      <c r="C33" s="17">
        <f>IF(AND(ISNUMBER(C32),C32&gt;=2,ISNUMBER($E$10)),INDEX($S$5:$S$103,C32-1)*$E$10,"")</f>
        <v>0</v>
      </c>
      <c r="G33" s="10" t="s">
        <v>234</v>
      </c>
      <c r="I33" s="12">
        <v>30</v>
      </c>
      <c r="J33" s="12">
        <f>I33-1</f>
        <v>0</v>
      </c>
      <c r="K33" s="19">
        <f>IF(colas=2,TINV(alfa,J33),TINV(2*alfa,J33))</f>
        <v>0</v>
      </c>
      <c r="L33" s="19">
        <f>IF(ISNUMBER($E$19),$E$19*SQRT(I33),"")</f>
        <v>0</v>
      </c>
      <c r="M33" s="19">
        <f>IF(ISNUMBER($E$19),((1-NORMSDIST((K33*(1-1/(4*J33))-($E$19)*SQRT(I33))/SQRT(1+K33^2/(2*J33))))+IF(colas=2,NORMSDIST((-K33*(1-1/(4*J33))-($E$19)*SQRT(I33))/SQRT(1+K33^2/(2*J33))),0)),"")</f>
        <v>0</v>
      </c>
      <c r="N33" s="12">
        <f>IF(ISNUMBER(M33),IF(M33&gt;=potencia,I33,""),"")</f>
        <v>0</v>
      </c>
      <c r="O33" s="19">
        <f>(K33+TINV(2*(1-potencia),J33))/SQRT(I33)</f>
        <v>0</v>
      </c>
      <c r="P33" s="19">
        <f>IFERROR(O33-(((1-NORMSDIST((K33*(1-1/(4*J33))-(O33)*SQRT(I33))/SQRT(1+K33^2/(2*J33))))+IF(colas=2,NORMSDIST((-K33*(1-1/(4*J33))-(O33)*SQRT(I33))/SQRT(1+K33^2/(2*J33))),0))-potencia)/((((1-NORMSDIST((K33*(1-1/(4*J33))-(O33+(0.001*O33))*SQRT(I33))/SQRT(1+K33^2/(2*J33))))+IF(colas=2,NORMSDIST((-K33*(1-1/(4*J33))-(O33+(0.001*O33))*SQRT(I33))/SQRT(1+K33^2/(2*J33))),0))-((1-NORMSDIST((K33*(1-1/(4*J33))-(O33-(0.001*O33))*SQRT(I33))/SQRT(1+K33^2/(2*J33))))+IF(colas=2,NORMSDIST((-K33*(1-1/(4*J33))-(O33-(0.001*O33))*SQRT(I33))/SQRT(1+K33^2/(2*J33))),0)))/(2*(0.001*O33))),O33)</f>
        <v>0</v>
      </c>
      <c r="Q33" s="19">
        <f>IFERROR(P33-(((1-NORMSDIST((K33*(1-1/(4*J33))-(P33)*SQRT(I33))/SQRT(1+K33^2/(2*J33))))+IF(colas=2,NORMSDIST((-K33*(1-1/(4*J33))-(P33)*SQRT(I33))/SQRT(1+K33^2/(2*J33))),0))-potencia)/((((1-NORMSDIST((K33*(1-1/(4*J33))-(P33+(0.001*P33))*SQRT(I33))/SQRT(1+K33^2/(2*J33))))+IF(colas=2,NORMSDIST((-K33*(1-1/(4*J33))-(P33+(0.001*P33))*SQRT(I33))/SQRT(1+K33^2/(2*J33))),0))-((1-NORMSDIST((K33*(1-1/(4*J33))-(P33-(0.001*P33))*SQRT(I33))/SQRT(1+K33^2/(2*J33))))+IF(colas=2,NORMSDIST((-K33*(1-1/(4*J33))-(P33-(0.001*P33))*SQRT(I33))/SQRT(1+K33^2/(2*J33))),0)))/(2*(0.001*P33))),P33)</f>
        <v>0</v>
      </c>
      <c r="R33" s="19">
        <f>IFERROR(Q33-(((1-NORMSDIST((K33*(1-1/(4*J33))-(Q33)*SQRT(I33))/SQRT(1+K33^2/(2*J33))))+IF(colas=2,NORMSDIST((-K33*(1-1/(4*J33))-(Q33)*SQRT(I33))/SQRT(1+K33^2/(2*J33))),0))-potencia)/((((1-NORMSDIST((K33*(1-1/(4*J33))-(Q33+(0.001*Q33))*SQRT(I33))/SQRT(1+K33^2/(2*J33))))+IF(colas=2,NORMSDIST((-K33*(1-1/(4*J33))-(Q33+(0.001*Q33))*SQRT(I33))/SQRT(1+K33^2/(2*J33))),0))-((1-NORMSDIST((K33*(1-1/(4*J33))-(Q33-(0.001*Q33))*SQRT(I33))/SQRT(1+K33^2/(2*J33))))+IF(colas=2,NORMSDIST((-K33*(1-1/(4*J33))-(Q33-(0.001*Q33))*SQRT(I33))/SQRT(1+K33^2/(2*J33))),0)))/(2*(0.001*Q33))),Q33)</f>
        <v>0</v>
      </c>
      <c r="S33" s="19">
        <f>R33</f>
        <v>0</v>
      </c>
    </row>
    <row r="34" spans="1:19">
      <c r="A34" s="8" t="s">
        <v>231</v>
      </c>
      <c r="B34" s="18">
        <f>IF(ISNUMBER(B33),IF(B33&lt;=$E$15+0.005,"Sí","No: declararlo en el informe"),"")</f>
        <v>0</v>
      </c>
      <c r="C34" s="18">
        <f>IF(ISNUMBER(C33),IF(C33&lt;=$E$15+0.005,"Sí","No: declararlo en el informe"),"")</f>
        <v>0</v>
      </c>
      <c r="I34" s="12">
        <v>31</v>
      </c>
      <c r="J34" s="12">
        <f>I34-1</f>
        <v>0</v>
      </c>
      <c r="K34" s="19">
        <f>IF(colas=2,TINV(alfa,J34),TINV(2*alfa,J34))</f>
        <v>0</v>
      </c>
      <c r="L34" s="19">
        <f>IF(ISNUMBER($E$19),$E$19*SQRT(I34),"")</f>
        <v>0</v>
      </c>
      <c r="M34" s="19">
        <f>IF(ISNUMBER($E$19),((1-NORMSDIST((K34*(1-1/(4*J34))-($E$19)*SQRT(I34))/SQRT(1+K34^2/(2*J34))))+IF(colas=2,NORMSDIST((-K34*(1-1/(4*J34))-($E$19)*SQRT(I34))/SQRT(1+K34^2/(2*J34))),0)),"")</f>
        <v>0</v>
      </c>
      <c r="N34" s="12">
        <f>IF(ISNUMBER(M34),IF(M34&gt;=potencia,I34,""),"")</f>
        <v>0</v>
      </c>
      <c r="O34" s="19">
        <f>(K34+TINV(2*(1-potencia),J34))/SQRT(I34)</f>
        <v>0</v>
      </c>
      <c r="P34" s="19">
        <f>IFERROR(O34-(((1-NORMSDIST((K34*(1-1/(4*J34))-(O34)*SQRT(I34))/SQRT(1+K34^2/(2*J34))))+IF(colas=2,NORMSDIST((-K34*(1-1/(4*J34))-(O34)*SQRT(I34))/SQRT(1+K34^2/(2*J34))),0))-potencia)/((((1-NORMSDIST((K34*(1-1/(4*J34))-(O34+(0.001*O34))*SQRT(I34))/SQRT(1+K34^2/(2*J34))))+IF(colas=2,NORMSDIST((-K34*(1-1/(4*J34))-(O34+(0.001*O34))*SQRT(I34))/SQRT(1+K34^2/(2*J34))),0))-((1-NORMSDIST((K34*(1-1/(4*J34))-(O34-(0.001*O34))*SQRT(I34))/SQRT(1+K34^2/(2*J34))))+IF(colas=2,NORMSDIST((-K34*(1-1/(4*J34))-(O34-(0.001*O34))*SQRT(I34))/SQRT(1+K34^2/(2*J34))),0)))/(2*(0.001*O34))),O34)</f>
        <v>0</v>
      </c>
      <c r="Q34" s="19">
        <f>IFERROR(P34-(((1-NORMSDIST((K34*(1-1/(4*J34))-(P34)*SQRT(I34))/SQRT(1+K34^2/(2*J34))))+IF(colas=2,NORMSDIST((-K34*(1-1/(4*J34))-(P34)*SQRT(I34))/SQRT(1+K34^2/(2*J34))),0))-potencia)/((((1-NORMSDIST((K34*(1-1/(4*J34))-(P34+(0.001*P34))*SQRT(I34))/SQRT(1+K34^2/(2*J34))))+IF(colas=2,NORMSDIST((-K34*(1-1/(4*J34))-(P34+(0.001*P34))*SQRT(I34))/SQRT(1+K34^2/(2*J34))),0))-((1-NORMSDIST((K34*(1-1/(4*J34))-(P34-(0.001*P34))*SQRT(I34))/SQRT(1+K34^2/(2*J34))))+IF(colas=2,NORMSDIST((-K34*(1-1/(4*J34))-(P34-(0.001*P34))*SQRT(I34))/SQRT(1+K34^2/(2*J34))),0)))/(2*(0.001*P34))),P34)</f>
        <v>0</v>
      </c>
      <c r="R34" s="19">
        <f>IFERROR(Q34-(((1-NORMSDIST((K34*(1-1/(4*J34))-(Q34)*SQRT(I34))/SQRT(1+K34^2/(2*J34))))+IF(colas=2,NORMSDIST((-K34*(1-1/(4*J34))-(Q34)*SQRT(I34))/SQRT(1+K34^2/(2*J34))),0))-potencia)/((((1-NORMSDIST((K34*(1-1/(4*J34))-(Q34+(0.001*Q34))*SQRT(I34))/SQRT(1+K34^2/(2*J34))))+IF(colas=2,NORMSDIST((-K34*(1-1/(4*J34))-(Q34+(0.001*Q34))*SQRT(I34))/SQRT(1+K34^2/(2*J34))),0))-((1-NORMSDIST((K34*(1-1/(4*J34))-(Q34-(0.001*Q34))*SQRT(I34))/SQRT(1+K34^2/(2*J34))))+IF(colas=2,NORMSDIST((-K34*(1-1/(4*J34))-(Q34-(0.001*Q34))*SQRT(I34))/SQRT(1+K34^2/(2*J34))),0)))/(2*(0.001*Q34))),Q34)</f>
        <v>0</v>
      </c>
      <c r="S34" s="19">
        <f>R34</f>
        <v>0</v>
      </c>
    </row>
    <row r="35" spans="1:19">
      <c r="A35" s="8" t="s">
        <v>232</v>
      </c>
      <c r="B35" s="12">
        <f>IF(ISNUMBER(B32),3*B32,"")</f>
        <v>0</v>
      </c>
      <c r="C35" s="12">
        <f>IF(ISNUMBER(C32),3*C32,"")</f>
        <v>0</v>
      </c>
      <c r="I35" s="12">
        <v>32</v>
      </c>
      <c r="J35" s="12">
        <f>I35-1</f>
        <v>0</v>
      </c>
      <c r="K35" s="19">
        <f>IF(colas=2,TINV(alfa,J35),TINV(2*alfa,J35))</f>
        <v>0</v>
      </c>
      <c r="L35" s="19">
        <f>IF(ISNUMBER($E$19),$E$19*SQRT(I35),"")</f>
        <v>0</v>
      </c>
      <c r="M35" s="19">
        <f>IF(ISNUMBER($E$19),((1-NORMSDIST((K35*(1-1/(4*J35))-($E$19)*SQRT(I35))/SQRT(1+K35^2/(2*J35))))+IF(colas=2,NORMSDIST((-K35*(1-1/(4*J35))-($E$19)*SQRT(I35))/SQRT(1+K35^2/(2*J35))),0)),"")</f>
        <v>0</v>
      </c>
      <c r="N35" s="12">
        <f>IF(ISNUMBER(M35),IF(M35&gt;=potencia,I35,""),"")</f>
        <v>0</v>
      </c>
      <c r="O35" s="19">
        <f>(K35+TINV(2*(1-potencia),J35))/SQRT(I35)</f>
        <v>0</v>
      </c>
      <c r="P35" s="19">
        <f>IFERROR(O35-(((1-NORMSDIST((K35*(1-1/(4*J35))-(O35)*SQRT(I35))/SQRT(1+K35^2/(2*J35))))+IF(colas=2,NORMSDIST((-K35*(1-1/(4*J35))-(O35)*SQRT(I35))/SQRT(1+K35^2/(2*J35))),0))-potencia)/((((1-NORMSDIST((K35*(1-1/(4*J35))-(O35+(0.001*O35))*SQRT(I35))/SQRT(1+K35^2/(2*J35))))+IF(colas=2,NORMSDIST((-K35*(1-1/(4*J35))-(O35+(0.001*O35))*SQRT(I35))/SQRT(1+K35^2/(2*J35))),0))-((1-NORMSDIST((K35*(1-1/(4*J35))-(O35-(0.001*O35))*SQRT(I35))/SQRT(1+K35^2/(2*J35))))+IF(colas=2,NORMSDIST((-K35*(1-1/(4*J35))-(O35-(0.001*O35))*SQRT(I35))/SQRT(1+K35^2/(2*J35))),0)))/(2*(0.001*O35))),O35)</f>
        <v>0</v>
      </c>
      <c r="Q35" s="19">
        <f>IFERROR(P35-(((1-NORMSDIST((K35*(1-1/(4*J35))-(P35)*SQRT(I35))/SQRT(1+K35^2/(2*J35))))+IF(colas=2,NORMSDIST((-K35*(1-1/(4*J35))-(P35)*SQRT(I35))/SQRT(1+K35^2/(2*J35))),0))-potencia)/((((1-NORMSDIST((K35*(1-1/(4*J35))-(P35+(0.001*P35))*SQRT(I35))/SQRT(1+K35^2/(2*J35))))+IF(colas=2,NORMSDIST((-K35*(1-1/(4*J35))-(P35+(0.001*P35))*SQRT(I35))/SQRT(1+K35^2/(2*J35))),0))-((1-NORMSDIST((K35*(1-1/(4*J35))-(P35-(0.001*P35))*SQRT(I35))/SQRT(1+K35^2/(2*J35))))+IF(colas=2,NORMSDIST((-K35*(1-1/(4*J35))-(P35-(0.001*P35))*SQRT(I35))/SQRT(1+K35^2/(2*J35))),0)))/(2*(0.001*P35))),P35)</f>
        <v>0</v>
      </c>
      <c r="R35" s="19">
        <f>IFERROR(Q35-(((1-NORMSDIST((K35*(1-1/(4*J35))-(Q35)*SQRT(I35))/SQRT(1+K35^2/(2*J35))))+IF(colas=2,NORMSDIST((-K35*(1-1/(4*J35))-(Q35)*SQRT(I35))/SQRT(1+K35^2/(2*J35))),0))-potencia)/((((1-NORMSDIST((K35*(1-1/(4*J35))-(Q35+(0.001*Q35))*SQRT(I35))/SQRT(1+K35^2/(2*J35))))+IF(colas=2,NORMSDIST((-K35*(1-1/(4*J35))-(Q35+(0.001*Q35))*SQRT(I35))/SQRT(1+K35^2/(2*J35))),0))-((1-NORMSDIST((K35*(1-1/(4*J35))-(Q35-(0.001*Q35))*SQRT(I35))/SQRT(1+K35^2/(2*J35))))+IF(colas=2,NORMSDIST((-K35*(1-1/(4*J35))-(Q35-(0.001*Q35))*SQRT(I35))/SQRT(1+K35^2/(2*J35))),0)))/(2*(0.001*Q35))),Q35)</f>
        <v>0</v>
      </c>
      <c r="S35" s="19">
        <f>R35</f>
        <v>0</v>
      </c>
    </row>
    <row r="36" spans="1:19">
      <c r="I36" s="12">
        <v>33</v>
      </c>
      <c r="J36" s="12">
        <f>I36-1</f>
        <v>0</v>
      </c>
      <c r="K36" s="19">
        <f>IF(colas=2,TINV(alfa,J36),TINV(2*alfa,J36))</f>
        <v>0</v>
      </c>
      <c r="L36" s="19">
        <f>IF(ISNUMBER($E$19),$E$19*SQRT(I36),"")</f>
        <v>0</v>
      </c>
      <c r="M36" s="19">
        <f>IF(ISNUMBER($E$19),((1-NORMSDIST((K36*(1-1/(4*J36))-($E$19)*SQRT(I36))/SQRT(1+K36^2/(2*J36))))+IF(colas=2,NORMSDIST((-K36*(1-1/(4*J36))-($E$19)*SQRT(I36))/SQRT(1+K36^2/(2*J36))),0)),"")</f>
        <v>0</v>
      </c>
      <c r="N36" s="12">
        <f>IF(ISNUMBER(M36),IF(M36&gt;=potencia,I36,""),"")</f>
        <v>0</v>
      </c>
      <c r="O36" s="19">
        <f>(K36+TINV(2*(1-potencia),J36))/SQRT(I36)</f>
        <v>0</v>
      </c>
      <c r="P36" s="19">
        <f>IFERROR(O36-(((1-NORMSDIST((K36*(1-1/(4*J36))-(O36)*SQRT(I36))/SQRT(1+K36^2/(2*J36))))+IF(colas=2,NORMSDIST((-K36*(1-1/(4*J36))-(O36)*SQRT(I36))/SQRT(1+K36^2/(2*J36))),0))-potencia)/((((1-NORMSDIST((K36*(1-1/(4*J36))-(O36+(0.001*O36))*SQRT(I36))/SQRT(1+K36^2/(2*J36))))+IF(colas=2,NORMSDIST((-K36*(1-1/(4*J36))-(O36+(0.001*O36))*SQRT(I36))/SQRT(1+K36^2/(2*J36))),0))-((1-NORMSDIST((K36*(1-1/(4*J36))-(O36-(0.001*O36))*SQRT(I36))/SQRT(1+K36^2/(2*J36))))+IF(colas=2,NORMSDIST((-K36*(1-1/(4*J36))-(O36-(0.001*O36))*SQRT(I36))/SQRT(1+K36^2/(2*J36))),0)))/(2*(0.001*O36))),O36)</f>
        <v>0</v>
      </c>
      <c r="Q36" s="19">
        <f>IFERROR(P36-(((1-NORMSDIST((K36*(1-1/(4*J36))-(P36)*SQRT(I36))/SQRT(1+K36^2/(2*J36))))+IF(colas=2,NORMSDIST((-K36*(1-1/(4*J36))-(P36)*SQRT(I36))/SQRT(1+K36^2/(2*J36))),0))-potencia)/((((1-NORMSDIST((K36*(1-1/(4*J36))-(P36+(0.001*P36))*SQRT(I36))/SQRT(1+K36^2/(2*J36))))+IF(colas=2,NORMSDIST((-K36*(1-1/(4*J36))-(P36+(0.001*P36))*SQRT(I36))/SQRT(1+K36^2/(2*J36))),0))-((1-NORMSDIST((K36*(1-1/(4*J36))-(P36-(0.001*P36))*SQRT(I36))/SQRT(1+K36^2/(2*J36))))+IF(colas=2,NORMSDIST((-K36*(1-1/(4*J36))-(P36-(0.001*P36))*SQRT(I36))/SQRT(1+K36^2/(2*J36))),0)))/(2*(0.001*P36))),P36)</f>
        <v>0</v>
      </c>
      <c r="R36" s="19">
        <f>IFERROR(Q36-(((1-NORMSDIST((K36*(1-1/(4*J36))-(Q36)*SQRT(I36))/SQRT(1+K36^2/(2*J36))))+IF(colas=2,NORMSDIST((-K36*(1-1/(4*J36))-(Q36)*SQRT(I36))/SQRT(1+K36^2/(2*J36))),0))-potencia)/((((1-NORMSDIST((K36*(1-1/(4*J36))-(Q36+(0.001*Q36))*SQRT(I36))/SQRT(1+K36^2/(2*J36))))+IF(colas=2,NORMSDIST((-K36*(1-1/(4*J36))-(Q36+(0.001*Q36))*SQRT(I36))/SQRT(1+K36^2/(2*J36))),0))-((1-NORMSDIST((K36*(1-1/(4*J36))-(Q36-(0.001*Q36))*SQRT(I36))/SQRT(1+K36^2/(2*J36))))+IF(colas=2,NORMSDIST((-K36*(1-1/(4*J36))-(Q36-(0.001*Q36))*SQRT(I36))/SQRT(1+K36^2/(2*J36))),0)))/(2*(0.001*Q36))),Q36)</f>
        <v>0</v>
      </c>
      <c r="S36" s="19">
        <f>R36</f>
        <v>0</v>
      </c>
    </row>
    <row r="37" spans="1:19">
      <c r="A37" s="7" t="s">
        <v>235</v>
      </c>
      <c r="B37" s="27">
        <v>3</v>
      </c>
      <c r="I37" s="12">
        <v>34</v>
      </c>
      <c r="J37" s="12">
        <f>I37-1</f>
        <v>0</v>
      </c>
      <c r="K37" s="19">
        <f>IF(colas=2,TINV(alfa,J37),TINV(2*alfa,J37))</f>
        <v>0</v>
      </c>
      <c r="L37" s="19">
        <f>IF(ISNUMBER($E$19),$E$19*SQRT(I37),"")</f>
        <v>0</v>
      </c>
      <c r="M37" s="19">
        <f>IF(ISNUMBER($E$19),((1-NORMSDIST((K37*(1-1/(4*J37))-($E$19)*SQRT(I37))/SQRT(1+K37^2/(2*J37))))+IF(colas=2,NORMSDIST((-K37*(1-1/(4*J37))-($E$19)*SQRT(I37))/SQRT(1+K37^2/(2*J37))),0)),"")</f>
        <v>0</v>
      </c>
      <c r="N37" s="12">
        <f>IF(ISNUMBER(M37),IF(M37&gt;=potencia,I37,""),"")</f>
        <v>0</v>
      </c>
      <c r="O37" s="19">
        <f>(K37+TINV(2*(1-potencia),J37))/SQRT(I37)</f>
        <v>0</v>
      </c>
      <c r="P37" s="19">
        <f>IFERROR(O37-(((1-NORMSDIST((K37*(1-1/(4*J37))-(O37)*SQRT(I37))/SQRT(1+K37^2/(2*J37))))+IF(colas=2,NORMSDIST((-K37*(1-1/(4*J37))-(O37)*SQRT(I37))/SQRT(1+K37^2/(2*J37))),0))-potencia)/((((1-NORMSDIST((K37*(1-1/(4*J37))-(O37+(0.001*O37))*SQRT(I37))/SQRT(1+K37^2/(2*J37))))+IF(colas=2,NORMSDIST((-K37*(1-1/(4*J37))-(O37+(0.001*O37))*SQRT(I37))/SQRT(1+K37^2/(2*J37))),0))-((1-NORMSDIST((K37*(1-1/(4*J37))-(O37-(0.001*O37))*SQRT(I37))/SQRT(1+K37^2/(2*J37))))+IF(colas=2,NORMSDIST((-K37*(1-1/(4*J37))-(O37-(0.001*O37))*SQRT(I37))/SQRT(1+K37^2/(2*J37))),0)))/(2*(0.001*O37))),O37)</f>
        <v>0</v>
      </c>
      <c r="Q37" s="19">
        <f>IFERROR(P37-(((1-NORMSDIST((K37*(1-1/(4*J37))-(P37)*SQRT(I37))/SQRT(1+K37^2/(2*J37))))+IF(colas=2,NORMSDIST((-K37*(1-1/(4*J37))-(P37)*SQRT(I37))/SQRT(1+K37^2/(2*J37))),0))-potencia)/((((1-NORMSDIST((K37*(1-1/(4*J37))-(P37+(0.001*P37))*SQRT(I37))/SQRT(1+K37^2/(2*J37))))+IF(colas=2,NORMSDIST((-K37*(1-1/(4*J37))-(P37+(0.001*P37))*SQRT(I37))/SQRT(1+K37^2/(2*J37))),0))-((1-NORMSDIST((K37*(1-1/(4*J37))-(P37-(0.001*P37))*SQRT(I37))/SQRT(1+K37^2/(2*J37))))+IF(colas=2,NORMSDIST((-K37*(1-1/(4*J37))-(P37-(0.001*P37))*SQRT(I37))/SQRT(1+K37^2/(2*J37))),0)))/(2*(0.001*P37))),P37)</f>
        <v>0</v>
      </c>
      <c r="R37" s="19">
        <f>IFERROR(Q37-(((1-NORMSDIST((K37*(1-1/(4*J37))-(Q37)*SQRT(I37))/SQRT(1+K37^2/(2*J37))))+IF(colas=2,NORMSDIST((-K37*(1-1/(4*J37))-(Q37)*SQRT(I37))/SQRT(1+K37^2/(2*J37))),0))-potencia)/((((1-NORMSDIST((K37*(1-1/(4*J37))-(Q37+(0.001*Q37))*SQRT(I37))/SQRT(1+K37^2/(2*J37))))+IF(colas=2,NORMSDIST((-K37*(1-1/(4*J37))-(Q37+(0.001*Q37))*SQRT(I37))/SQRT(1+K37^2/(2*J37))),0))-((1-NORMSDIST((K37*(1-1/(4*J37))-(Q37-(0.001*Q37))*SQRT(I37))/SQRT(1+K37^2/(2*J37))))+IF(colas=2,NORMSDIST((-K37*(1-1/(4*J37))-(Q37-(0.001*Q37))*SQRT(I37))/SQRT(1+K37^2/(2*J37))),0)))/(2*(0.001*Q37))),Q37)</f>
        <v>0</v>
      </c>
      <c r="S37" s="19">
        <f>R37</f>
        <v>0</v>
      </c>
    </row>
    <row r="38" spans="1:19">
      <c r="A38" s="7" t="s">
        <v>236</v>
      </c>
      <c r="B38" s="26">
        <f>IF(dias=4,IF(ISNUMBER(C32),C32/4,""),IF(ISNUMBER(B32),B32/3,""))</f>
        <v>0</v>
      </c>
      <c r="G38" s="10" t="s">
        <v>238</v>
      </c>
      <c r="I38" s="12">
        <v>35</v>
      </c>
      <c r="J38" s="12">
        <f>I38-1</f>
        <v>0</v>
      </c>
      <c r="K38" s="19">
        <f>IF(colas=2,TINV(alfa,J38),TINV(2*alfa,J38))</f>
        <v>0</v>
      </c>
      <c r="L38" s="19">
        <f>IF(ISNUMBER($E$19),$E$19*SQRT(I38),"")</f>
        <v>0</v>
      </c>
      <c r="M38" s="19">
        <f>IF(ISNUMBER($E$19),((1-NORMSDIST((K38*(1-1/(4*J38))-($E$19)*SQRT(I38))/SQRT(1+K38^2/(2*J38))))+IF(colas=2,NORMSDIST((-K38*(1-1/(4*J38))-($E$19)*SQRT(I38))/SQRT(1+K38^2/(2*J38))),0)),"")</f>
        <v>0</v>
      </c>
      <c r="N38" s="12">
        <f>IF(ISNUMBER(M38),IF(M38&gt;=potencia,I38,""),"")</f>
        <v>0</v>
      </c>
      <c r="O38" s="19">
        <f>(K38+TINV(2*(1-potencia),J38))/SQRT(I38)</f>
        <v>0</v>
      </c>
      <c r="P38" s="19">
        <f>IFERROR(O38-(((1-NORMSDIST((K38*(1-1/(4*J38))-(O38)*SQRT(I38))/SQRT(1+K38^2/(2*J38))))+IF(colas=2,NORMSDIST((-K38*(1-1/(4*J38))-(O38)*SQRT(I38))/SQRT(1+K38^2/(2*J38))),0))-potencia)/((((1-NORMSDIST((K38*(1-1/(4*J38))-(O38+(0.001*O38))*SQRT(I38))/SQRT(1+K38^2/(2*J38))))+IF(colas=2,NORMSDIST((-K38*(1-1/(4*J38))-(O38+(0.001*O38))*SQRT(I38))/SQRT(1+K38^2/(2*J38))),0))-((1-NORMSDIST((K38*(1-1/(4*J38))-(O38-(0.001*O38))*SQRT(I38))/SQRT(1+K38^2/(2*J38))))+IF(colas=2,NORMSDIST((-K38*(1-1/(4*J38))-(O38-(0.001*O38))*SQRT(I38))/SQRT(1+K38^2/(2*J38))),0)))/(2*(0.001*O38))),O38)</f>
        <v>0</v>
      </c>
      <c r="Q38" s="19">
        <f>IFERROR(P38-(((1-NORMSDIST((K38*(1-1/(4*J38))-(P38)*SQRT(I38))/SQRT(1+K38^2/(2*J38))))+IF(colas=2,NORMSDIST((-K38*(1-1/(4*J38))-(P38)*SQRT(I38))/SQRT(1+K38^2/(2*J38))),0))-potencia)/((((1-NORMSDIST((K38*(1-1/(4*J38))-(P38+(0.001*P38))*SQRT(I38))/SQRT(1+K38^2/(2*J38))))+IF(colas=2,NORMSDIST((-K38*(1-1/(4*J38))-(P38+(0.001*P38))*SQRT(I38))/SQRT(1+K38^2/(2*J38))),0))-((1-NORMSDIST((K38*(1-1/(4*J38))-(P38-(0.001*P38))*SQRT(I38))/SQRT(1+K38^2/(2*J38))))+IF(colas=2,NORMSDIST((-K38*(1-1/(4*J38))-(P38-(0.001*P38))*SQRT(I38))/SQRT(1+K38^2/(2*J38))),0)))/(2*(0.001*P38))),P38)</f>
        <v>0</v>
      </c>
      <c r="R38" s="19">
        <f>IFERROR(Q38-(((1-NORMSDIST((K38*(1-1/(4*J38))-(Q38)*SQRT(I38))/SQRT(1+K38^2/(2*J38))))+IF(colas=2,NORMSDIST((-K38*(1-1/(4*J38))-(Q38)*SQRT(I38))/SQRT(1+K38^2/(2*J38))),0))-potencia)/((((1-NORMSDIST((K38*(1-1/(4*J38))-(Q38+(0.001*Q38))*SQRT(I38))/SQRT(1+K38^2/(2*J38))))+IF(colas=2,NORMSDIST((-K38*(1-1/(4*J38))-(Q38+(0.001*Q38))*SQRT(I38))/SQRT(1+K38^2/(2*J38))),0))-((1-NORMSDIST((K38*(1-1/(4*J38))-(Q38-(0.001*Q38))*SQRT(I38))/SQRT(1+K38^2/(2*J38))))+IF(colas=2,NORMSDIST((-K38*(1-1/(4*J38))-(Q38-(0.001*Q38))*SQRT(I38))/SQRT(1+K38^2/(2*J38))),0)))/(2*(0.001*Q38))),Q38)</f>
        <v>0</v>
      </c>
      <c r="S38" s="19">
        <f>R38</f>
        <v>0</v>
      </c>
    </row>
    <row r="39" spans="1:19">
      <c r="A39" s="7" t="s">
        <v>237</v>
      </c>
      <c r="B39" s="26">
        <f>IF(ISNUMBER(B38),B38*dias,"")</f>
        <v>0</v>
      </c>
      <c r="I39" s="12">
        <v>36</v>
      </c>
      <c r="J39" s="12">
        <f>I39-1</f>
        <v>0</v>
      </c>
      <c r="K39" s="19">
        <f>IF(colas=2,TINV(alfa,J39),TINV(2*alfa,J39))</f>
        <v>0</v>
      </c>
      <c r="L39" s="19">
        <f>IF(ISNUMBER($E$19),$E$19*SQRT(I39),"")</f>
        <v>0</v>
      </c>
      <c r="M39" s="19">
        <f>IF(ISNUMBER($E$19),((1-NORMSDIST((K39*(1-1/(4*J39))-($E$19)*SQRT(I39))/SQRT(1+K39^2/(2*J39))))+IF(colas=2,NORMSDIST((-K39*(1-1/(4*J39))-($E$19)*SQRT(I39))/SQRT(1+K39^2/(2*J39))),0)),"")</f>
        <v>0</v>
      </c>
      <c r="N39" s="12">
        <f>IF(ISNUMBER(M39),IF(M39&gt;=potencia,I39,""),"")</f>
        <v>0</v>
      </c>
      <c r="O39" s="19">
        <f>(K39+TINV(2*(1-potencia),J39))/SQRT(I39)</f>
        <v>0</v>
      </c>
      <c r="P39" s="19">
        <f>IFERROR(O39-(((1-NORMSDIST((K39*(1-1/(4*J39))-(O39)*SQRT(I39))/SQRT(1+K39^2/(2*J39))))+IF(colas=2,NORMSDIST((-K39*(1-1/(4*J39))-(O39)*SQRT(I39))/SQRT(1+K39^2/(2*J39))),0))-potencia)/((((1-NORMSDIST((K39*(1-1/(4*J39))-(O39+(0.001*O39))*SQRT(I39))/SQRT(1+K39^2/(2*J39))))+IF(colas=2,NORMSDIST((-K39*(1-1/(4*J39))-(O39+(0.001*O39))*SQRT(I39))/SQRT(1+K39^2/(2*J39))),0))-((1-NORMSDIST((K39*(1-1/(4*J39))-(O39-(0.001*O39))*SQRT(I39))/SQRT(1+K39^2/(2*J39))))+IF(colas=2,NORMSDIST((-K39*(1-1/(4*J39))-(O39-(0.001*O39))*SQRT(I39))/SQRT(1+K39^2/(2*J39))),0)))/(2*(0.001*O39))),O39)</f>
        <v>0</v>
      </c>
      <c r="Q39" s="19">
        <f>IFERROR(P39-(((1-NORMSDIST((K39*(1-1/(4*J39))-(P39)*SQRT(I39))/SQRT(1+K39^2/(2*J39))))+IF(colas=2,NORMSDIST((-K39*(1-1/(4*J39))-(P39)*SQRT(I39))/SQRT(1+K39^2/(2*J39))),0))-potencia)/((((1-NORMSDIST((K39*(1-1/(4*J39))-(P39+(0.001*P39))*SQRT(I39))/SQRT(1+K39^2/(2*J39))))+IF(colas=2,NORMSDIST((-K39*(1-1/(4*J39))-(P39+(0.001*P39))*SQRT(I39))/SQRT(1+K39^2/(2*J39))),0))-((1-NORMSDIST((K39*(1-1/(4*J39))-(P39-(0.001*P39))*SQRT(I39))/SQRT(1+K39^2/(2*J39))))+IF(colas=2,NORMSDIST((-K39*(1-1/(4*J39))-(P39-(0.001*P39))*SQRT(I39))/SQRT(1+K39^2/(2*J39))),0)))/(2*(0.001*P39))),P39)</f>
        <v>0</v>
      </c>
      <c r="R39" s="19">
        <f>IFERROR(Q39-(((1-NORMSDIST((K39*(1-1/(4*J39))-(Q39)*SQRT(I39))/SQRT(1+K39^2/(2*J39))))+IF(colas=2,NORMSDIST((-K39*(1-1/(4*J39))-(Q39)*SQRT(I39))/SQRT(1+K39^2/(2*J39))),0))-potencia)/((((1-NORMSDIST((K39*(1-1/(4*J39))-(Q39+(0.001*Q39))*SQRT(I39))/SQRT(1+K39^2/(2*J39))))+IF(colas=2,NORMSDIST((-K39*(1-1/(4*J39))-(Q39+(0.001*Q39))*SQRT(I39))/SQRT(1+K39^2/(2*J39))),0))-((1-NORMSDIST((K39*(1-1/(4*J39))-(Q39-(0.001*Q39))*SQRT(I39))/SQRT(1+K39^2/(2*J39))))+IF(colas=2,NORMSDIST((-K39*(1-1/(4*J39))-(Q39-(0.001*Q39))*SQRT(I39))/SQRT(1+K39^2/(2*J39))),0)))/(2*(0.001*Q39))),Q39)</f>
        <v>0</v>
      </c>
      <c r="S39" s="19">
        <f>R39</f>
        <v>0</v>
      </c>
    </row>
    <row r="40" spans="1:19">
      <c r="I40" s="12">
        <v>37</v>
      </c>
      <c r="J40" s="12">
        <f>I40-1</f>
        <v>0</v>
      </c>
      <c r="K40" s="19">
        <f>IF(colas=2,TINV(alfa,J40),TINV(2*alfa,J40))</f>
        <v>0</v>
      </c>
      <c r="L40" s="19">
        <f>IF(ISNUMBER($E$19),$E$19*SQRT(I40),"")</f>
        <v>0</v>
      </c>
      <c r="M40" s="19">
        <f>IF(ISNUMBER($E$19),((1-NORMSDIST((K40*(1-1/(4*J40))-($E$19)*SQRT(I40))/SQRT(1+K40^2/(2*J40))))+IF(colas=2,NORMSDIST((-K40*(1-1/(4*J40))-($E$19)*SQRT(I40))/SQRT(1+K40^2/(2*J40))),0)),"")</f>
        <v>0</v>
      </c>
      <c r="N40" s="12">
        <f>IF(ISNUMBER(M40),IF(M40&gt;=potencia,I40,""),"")</f>
        <v>0</v>
      </c>
      <c r="O40" s="19">
        <f>(K40+TINV(2*(1-potencia),J40))/SQRT(I40)</f>
        <v>0</v>
      </c>
      <c r="P40" s="19">
        <f>IFERROR(O40-(((1-NORMSDIST((K40*(1-1/(4*J40))-(O40)*SQRT(I40))/SQRT(1+K40^2/(2*J40))))+IF(colas=2,NORMSDIST((-K40*(1-1/(4*J40))-(O40)*SQRT(I40))/SQRT(1+K40^2/(2*J40))),0))-potencia)/((((1-NORMSDIST((K40*(1-1/(4*J40))-(O40+(0.001*O40))*SQRT(I40))/SQRT(1+K40^2/(2*J40))))+IF(colas=2,NORMSDIST((-K40*(1-1/(4*J40))-(O40+(0.001*O40))*SQRT(I40))/SQRT(1+K40^2/(2*J40))),0))-((1-NORMSDIST((K40*(1-1/(4*J40))-(O40-(0.001*O40))*SQRT(I40))/SQRT(1+K40^2/(2*J40))))+IF(colas=2,NORMSDIST((-K40*(1-1/(4*J40))-(O40-(0.001*O40))*SQRT(I40))/SQRT(1+K40^2/(2*J40))),0)))/(2*(0.001*O40))),O40)</f>
        <v>0</v>
      </c>
      <c r="Q40" s="19">
        <f>IFERROR(P40-(((1-NORMSDIST((K40*(1-1/(4*J40))-(P40)*SQRT(I40))/SQRT(1+K40^2/(2*J40))))+IF(colas=2,NORMSDIST((-K40*(1-1/(4*J40))-(P40)*SQRT(I40))/SQRT(1+K40^2/(2*J40))),0))-potencia)/((((1-NORMSDIST((K40*(1-1/(4*J40))-(P40+(0.001*P40))*SQRT(I40))/SQRT(1+K40^2/(2*J40))))+IF(colas=2,NORMSDIST((-K40*(1-1/(4*J40))-(P40+(0.001*P40))*SQRT(I40))/SQRT(1+K40^2/(2*J40))),0))-((1-NORMSDIST((K40*(1-1/(4*J40))-(P40-(0.001*P40))*SQRT(I40))/SQRT(1+K40^2/(2*J40))))+IF(colas=2,NORMSDIST((-K40*(1-1/(4*J40))-(P40-(0.001*P40))*SQRT(I40))/SQRT(1+K40^2/(2*J40))),0)))/(2*(0.001*P40))),P40)</f>
        <v>0</v>
      </c>
      <c r="R40" s="19">
        <f>IFERROR(Q40-(((1-NORMSDIST((K40*(1-1/(4*J40))-(Q40)*SQRT(I40))/SQRT(1+K40^2/(2*J40))))+IF(colas=2,NORMSDIST((-K40*(1-1/(4*J40))-(Q40)*SQRT(I40))/SQRT(1+K40^2/(2*J40))),0))-potencia)/((((1-NORMSDIST((K40*(1-1/(4*J40))-(Q40+(0.001*Q40))*SQRT(I40))/SQRT(1+K40^2/(2*J40))))+IF(colas=2,NORMSDIST((-K40*(1-1/(4*J40))-(Q40+(0.001*Q40))*SQRT(I40))/SQRT(1+K40^2/(2*J40))),0))-((1-NORMSDIST((K40*(1-1/(4*J40))-(Q40-(0.001*Q40))*SQRT(I40))/SQRT(1+K40^2/(2*J40))))+IF(colas=2,NORMSDIST((-K40*(1-1/(4*J40))-(Q40-(0.001*Q40))*SQRT(I40))/SQRT(1+K40^2/(2*J40))),0)))/(2*(0.001*Q40))),Q40)</f>
        <v>0</v>
      </c>
      <c r="S40" s="19">
        <f>R40</f>
        <v>0</v>
      </c>
    </row>
    <row r="41" spans="1:19">
      <c r="I41" s="12">
        <v>38</v>
      </c>
      <c r="J41" s="12">
        <f>I41-1</f>
        <v>0</v>
      </c>
      <c r="K41" s="19">
        <f>IF(colas=2,TINV(alfa,J41),TINV(2*alfa,J41))</f>
        <v>0</v>
      </c>
      <c r="L41" s="19">
        <f>IF(ISNUMBER($E$19),$E$19*SQRT(I41),"")</f>
        <v>0</v>
      </c>
      <c r="M41" s="19">
        <f>IF(ISNUMBER($E$19),((1-NORMSDIST((K41*(1-1/(4*J41))-($E$19)*SQRT(I41))/SQRT(1+K41^2/(2*J41))))+IF(colas=2,NORMSDIST((-K41*(1-1/(4*J41))-($E$19)*SQRT(I41))/SQRT(1+K41^2/(2*J41))),0)),"")</f>
        <v>0</v>
      </c>
      <c r="N41" s="12">
        <f>IF(ISNUMBER(M41),IF(M41&gt;=potencia,I41,""),"")</f>
        <v>0</v>
      </c>
      <c r="O41" s="19">
        <f>(K41+TINV(2*(1-potencia),J41))/SQRT(I41)</f>
        <v>0</v>
      </c>
      <c r="P41" s="19">
        <f>IFERROR(O41-(((1-NORMSDIST((K41*(1-1/(4*J41))-(O41)*SQRT(I41))/SQRT(1+K41^2/(2*J41))))+IF(colas=2,NORMSDIST((-K41*(1-1/(4*J41))-(O41)*SQRT(I41))/SQRT(1+K41^2/(2*J41))),0))-potencia)/((((1-NORMSDIST((K41*(1-1/(4*J41))-(O41+(0.001*O41))*SQRT(I41))/SQRT(1+K41^2/(2*J41))))+IF(colas=2,NORMSDIST((-K41*(1-1/(4*J41))-(O41+(0.001*O41))*SQRT(I41))/SQRT(1+K41^2/(2*J41))),0))-((1-NORMSDIST((K41*(1-1/(4*J41))-(O41-(0.001*O41))*SQRT(I41))/SQRT(1+K41^2/(2*J41))))+IF(colas=2,NORMSDIST((-K41*(1-1/(4*J41))-(O41-(0.001*O41))*SQRT(I41))/SQRT(1+K41^2/(2*J41))),0)))/(2*(0.001*O41))),O41)</f>
        <v>0</v>
      </c>
      <c r="Q41" s="19">
        <f>IFERROR(P41-(((1-NORMSDIST((K41*(1-1/(4*J41))-(P41)*SQRT(I41))/SQRT(1+K41^2/(2*J41))))+IF(colas=2,NORMSDIST((-K41*(1-1/(4*J41))-(P41)*SQRT(I41))/SQRT(1+K41^2/(2*J41))),0))-potencia)/((((1-NORMSDIST((K41*(1-1/(4*J41))-(P41+(0.001*P41))*SQRT(I41))/SQRT(1+K41^2/(2*J41))))+IF(colas=2,NORMSDIST((-K41*(1-1/(4*J41))-(P41+(0.001*P41))*SQRT(I41))/SQRT(1+K41^2/(2*J41))),0))-((1-NORMSDIST((K41*(1-1/(4*J41))-(P41-(0.001*P41))*SQRT(I41))/SQRT(1+K41^2/(2*J41))))+IF(colas=2,NORMSDIST((-K41*(1-1/(4*J41))-(P41-(0.001*P41))*SQRT(I41))/SQRT(1+K41^2/(2*J41))),0)))/(2*(0.001*P41))),P41)</f>
        <v>0</v>
      </c>
      <c r="R41" s="19">
        <f>IFERROR(Q41-(((1-NORMSDIST((K41*(1-1/(4*J41))-(Q41)*SQRT(I41))/SQRT(1+K41^2/(2*J41))))+IF(colas=2,NORMSDIST((-K41*(1-1/(4*J41))-(Q41)*SQRT(I41))/SQRT(1+K41^2/(2*J41))),0))-potencia)/((((1-NORMSDIST((K41*(1-1/(4*J41))-(Q41+(0.001*Q41))*SQRT(I41))/SQRT(1+K41^2/(2*J41))))+IF(colas=2,NORMSDIST((-K41*(1-1/(4*J41))-(Q41+(0.001*Q41))*SQRT(I41))/SQRT(1+K41^2/(2*J41))),0))-((1-NORMSDIST((K41*(1-1/(4*J41))-(Q41-(0.001*Q41))*SQRT(I41))/SQRT(1+K41^2/(2*J41))))+IF(colas=2,NORMSDIST((-K41*(1-1/(4*J41))-(Q41-(0.001*Q41))*SQRT(I41))/SQRT(1+K41^2/(2*J41))),0)))/(2*(0.001*Q41))),Q41)</f>
        <v>0</v>
      </c>
      <c r="S41" s="19">
        <f>R41</f>
        <v>0</v>
      </c>
    </row>
    <row r="42" spans="1:19">
      <c r="I42" s="12">
        <v>39</v>
      </c>
      <c r="J42" s="12">
        <f>I42-1</f>
        <v>0</v>
      </c>
      <c r="K42" s="19">
        <f>IF(colas=2,TINV(alfa,J42),TINV(2*alfa,J42))</f>
        <v>0</v>
      </c>
      <c r="L42" s="19">
        <f>IF(ISNUMBER($E$19),$E$19*SQRT(I42),"")</f>
        <v>0</v>
      </c>
      <c r="M42" s="19">
        <f>IF(ISNUMBER($E$19),((1-NORMSDIST((K42*(1-1/(4*J42))-($E$19)*SQRT(I42))/SQRT(1+K42^2/(2*J42))))+IF(colas=2,NORMSDIST((-K42*(1-1/(4*J42))-($E$19)*SQRT(I42))/SQRT(1+K42^2/(2*J42))),0)),"")</f>
        <v>0</v>
      </c>
      <c r="N42" s="12">
        <f>IF(ISNUMBER(M42),IF(M42&gt;=potencia,I42,""),"")</f>
        <v>0</v>
      </c>
      <c r="O42" s="19">
        <f>(K42+TINV(2*(1-potencia),J42))/SQRT(I42)</f>
        <v>0</v>
      </c>
      <c r="P42" s="19">
        <f>IFERROR(O42-(((1-NORMSDIST((K42*(1-1/(4*J42))-(O42)*SQRT(I42))/SQRT(1+K42^2/(2*J42))))+IF(colas=2,NORMSDIST((-K42*(1-1/(4*J42))-(O42)*SQRT(I42))/SQRT(1+K42^2/(2*J42))),0))-potencia)/((((1-NORMSDIST((K42*(1-1/(4*J42))-(O42+(0.001*O42))*SQRT(I42))/SQRT(1+K42^2/(2*J42))))+IF(colas=2,NORMSDIST((-K42*(1-1/(4*J42))-(O42+(0.001*O42))*SQRT(I42))/SQRT(1+K42^2/(2*J42))),0))-((1-NORMSDIST((K42*(1-1/(4*J42))-(O42-(0.001*O42))*SQRT(I42))/SQRT(1+K42^2/(2*J42))))+IF(colas=2,NORMSDIST((-K42*(1-1/(4*J42))-(O42-(0.001*O42))*SQRT(I42))/SQRT(1+K42^2/(2*J42))),0)))/(2*(0.001*O42))),O42)</f>
        <v>0</v>
      </c>
      <c r="Q42" s="19">
        <f>IFERROR(P42-(((1-NORMSDIST((K42*(1-1/(4*J42))-(P42)*SQRT(I42))/SQRT(1+K42^2/(2*J42))))+IF(colas=2,NORMSDIST((-K42*(1-1/(4*J42))-(P42)*SQRT(I42))/SQRT(1+K42^2/(2*J42))),0))-potencia)/((((1-NORMSDIST((K42*(1-1/(4*J42))-(P42+(0.001*P42))*SQRT(I42))/SQRT(1+K42^2/(2*J42))))+IF(colas=2,NORMSDIST((-K42*(1-1/(4*J42))-(P42+(0.001*P42))*SQRT(I42))/SQRT(1+K42^2/(2*J42))),0))-((1-NORMSDIST((K42*(1-1/(4*J42))-(P42-(0.001*P42))*SQRT(I42))/SQRT(1+K42^2/(2*J42))))+IF(colas=2,NORMSDIST((-K42*(1-1/(4*J42))-(P42-(0.001*P42))*SQRT(I42))/SQRT(1+K42^2/(2*J42))),0)))/(2*(0.001*P42))),P42)</f>
        <v>0</v>
      </c>
      <c r="R42" s="19">
        <f>IFERROR(Q42-(((1-NORMSDIST((K42*(1-1/(4*J42))-(Q42)*SQRT(I42))/SQRT(1+K42^2/(2*J42))))+IF(colas=2,NORMSDIST((-K42*(1-1/(4*J42))-(Q42)*SQRT(I42))/SQRT(1+K42^2/(2*J42))),0))-potencia)/((((1-NORMSDIST((K42*(1-1/(4*J42))-(Q42+(0.001*Q42))*SQRT(I42))/SQRT(1+K42^2/(2*J42))))+IF(colas=2,NORMSDIST((-K42*(1-1/(4*J42))-(Q42+(0.001*Q42))*SQRT(I42))/SQRT(1+K42^2/(2*J42))),0))-((1-NORMSDIST((K42*(1-1/(4*J42))-(Q42-(0.001*Q42))*SQRT(I42))/SQRT(1+K42^2/(2*J42))))+IF(colas=2,NORMSDIST((-K42*(1-1/(4*J42))-(Q42-(0.001*Q42))*SQRT(I42))/SQRT(1+K42^2/(2*J42))),0)))/(2*(0.001*Q42))),Q42)</f>
        <v>0</v>
      </c>
      <c r="S42" s="19">
        <f>R42</f>
        <v>0</v>
      </c>
    </row>
    <row r="43" spans="1:19">
      <c r="I43" s="12">
        <v>40</v>
      </c>
      <c r="J43" s="12">
        <f>I43-1</f>
        <v>0</v>
      </c>
      <c r="K43" s="19">
        <f>IF(colas=2,TINV(alfa,J43),TINV(2*alfa,J43))</f>
        <v>0</v>
      </c>
      <c r="L43" s="19">
        <f>IF(ISNUMBER($E$19),$E$19*SQRT(I43),"")</f>
        <v>0</v>
      </c>
      <c r="M43" s="19">
        <f>IF(ISNUMBER($E$19),((1-NORMSDIST((K43*(1-1/(4*J43))-($E$19)*SQRT(I43))/SQRT(1+K43^2/(2*J43))))+IF(colas=2,NORMSDIST((-K43*(1-1/(4*J43))-($E$19)*SQRT(I43))/SQRT(1+K43^2/(2*J43))),0)),"")</f>
        <v>0</v>
      </c>
      <c r="N43" s="12">
        <f>IF(ISNUMBER(M43),IF(M43&gt;=potencia,I43,""),"")</f>
        <v>0</v>
      </c>
      <c r="O43" s="19">
        <f>(K43+TINV(2*(1-potencia),J43))/SQRT(I43)</f>
        <v>0</v>
      </c>
      <c r="P43" s="19">
        <f>IFERROR(O43-(((1-NORMSDIST((K43*(1-1/(4*J43))-(O43)*SQRT(I43))/SQRT(1+K43^2/(2*J43))))+IF(colas=2,NORMSDIST((-K43*(1-1/(4*J43))-(O43)*SQRT(I43))/SQRT(1+K43^2/(2*J43))),0))-potencia)/((((1-NORMSDIST((K43*(1-1/(4*J43))-(O43+(0.001*O43))*SQRT(I43))/SQRT(1+K43^2/(2*J43))))+IF(colas=2,NORMSDIST((-K43*(1-1/(4*J43))-(O43+(0.001*O43))*SQRT(I43))/SQRT(1+K43^2/(2*J43))),0))-((1-NORMSDIST((K43*(1-1/(4*J43))-(O43-(0.001*O43))*SQRT(I43))/SQRT(1+K43^2/(2*J43))))+IF(colas=2,NORMSDIST((-K43*(1-1/(4*J43))-(O43-(0.001*O43))*SQRT(I43))/SQRT(1+K43^2/(2*J43))),0)))/(2*(0.001*O43))),O43)</f>
        <v>0</v>
      </c>
      <c r="Q43" s="19">
        <f>IFERROR(P43-(((1-NORMSDIST((K43*(1-1/(4*J43))-(P43)*SQRT(I43))/SQRT(1+K43^2/(2*J43))))+IF(colas=2,NORMSDIST((-K43*(1-1/(4*J43))-(P43)*SQRT(I43))/SQRT(1+K43^2/(2*J43))),0))-potencia)/((((1-NORMSDIST((K43*(1-1/(4*J43))-(P43+(0.001*P43))*SQRT(I43))/SQRT(1+K43^2/(2*J43))))+IF(colas=2,NORMSDIST((-K43*(1-1/(4*J43))-(P43+(0.001*P43))*SQRT(I43))/SQRT(1+K43^2/(2*J43))),0))-((1-NORMSDIST((K43*(1-1/(4*J43))-(P43-(0.001*P43))*SQRT(I43))/SQRT(1+K43^2/(2*J43))))+IF(colas=2,NORMSDIST((-K43*(1-1/(4*J43))-(P43-(0.001*P43))*SQRT(I43))/SQRT(1+K43^2/(2*J43))),0)))/(2*(0.001*P43))),P43)</f>
        <v>0</v>
      </c>
      <c r="R43" s="19">
        <f>IFERROR(Q43-(((1-NORMSDIST((K43*(1-1/(4*J43))-(Q43)*SQRT(I43))/SQRT(1+K43^2/(2*J43))))+IF(colas=2,NORMSDIST((-K43*(1-1/(4*J43))-(Q43)*SQRT(I43))/SQRT(1+K43^2/(2*J43))),0))-potencia)/((((1-NORMSDIST((K43*(1-1/(4*J43))-(Q43+(0.001*Q43))*SQRT(I43))/SQRT(1+K43^2/(2*J43))))+IF(colas=2,NORMSDIST((-K43*(1-1/(4*J43))-(Q43+(0.001*Q43))*SQRT(I43))/SQRT(1+K43^2/(2*J43))),0))-((1-NORMSDIST((K43*(1-1/(4*J43))-(Q43-(0.001*Q43))*SQRT(I43))/SQRT(1+K43^2/(2*J43))))+IF(colas=2,NORMSDIST((-K43*(1-1/(4*J43))-(Q43-(0.001*Q43))*SQRT(I43))/SQRT(1+K43^2/(2*J43))),0)))/(2*(0.001*Q43))),Q43)</f>
        <v>0</v>
      </c>
      <c r="S43" s="19">
        <f>R43</f>
        <v>0</v>
      </c>
    </row>
    <row r="44" spans="1:19">
      <c r="I44" s="12">
        <v>41</v>
      </c>
      <c r="J44" s="12">
        <f>I44-1</f>
        <v>0</v>
      </c>
      <c r="K44" s="19">
        <f>IF(colas=2,TINV(alfa,J44),TINV(2*alfa,J44))</f>
        <v>0</v>
      </c>
      <c r="L44" s="19">
        <f>IF(ISNUMBER($E$19),$E$19*SQRT(I44),"")</f>
        <v>0</v>
      </c>
      <c r="M44" s="19">
        <f>IF(ISNUMBER($E$19),((1-NORMSDIST((K44*(1-1/(4*J44))-($E$19)*SQRT(I44))/SQRT(1+K44^2/(2*J44))))+IF(colas=2,NORMSDIST((-K44*(1-1/(4*J44))-($E$19)*SQRT(I44))/SQRT(1+K44^2/(2*J44))),0)),"")</f>
        <v>0</v>
      </c>
      <c r="N44" s="12">
        <f>IF(ISNUMBER(M44),IF(M44&gt;=potencia,I44,""),"")</f>
        <v>0</v>
      </c>
      <c r="O44" s="19">
        <f>(K44+TINV(2*(1-potencia),J44))/SQRT(I44)</f>
        <v>0</v>
      </c>
      <c r="P44" s="19">
        <f>IFERROR(O44-(((1-NORMSDIST((K44*(1-1/(4*J44))-(O44)*SQRT(I44))/SQRT(1+K44^2/(2*J44))))+IF(colas=2,NORMSDIST((-K44*(1-1/(4*J44))-(O44)*SQRT(I44))/SQRT(1+K44^2/(2*J44))),0))-potencia)/((((1-NORMSDIST((K44*(1-1/(4*J44))-(O44+(0.001*O44))*SQRT(I44))/SQRT(1+K44^2/(2*J44))))+IF(colas=2,NORMSDIST((-K44*(1-1/(4*J44))-(O44+(0.001*O44))*SQRT(I44))/SQRT(1+K44^2/(2*J44))),0))-((1-NORMSDIST((K44*(1-1/(4*J44))-(O44-(0.001*O44))*SQRT(I44))/SQRT(1+K44^2/(2*J44))))+IF(colas=2,NORMSDIST((-K44*(1-1/(4*J44))-(O44-(0.001*O44))*SQRT(I44))/SQRT(1+K44^2/(2*J44))),0)))/(2*(0.001*O44))),O44)</f>
        <v>0</v>
      </c>
      <c r="Q44" s="19">
        <f>IFERROR(P44-(((1-NORMSDIST((K44*(1-1/(4*J44))-(P44)*SQRT(I44))/SQRT(1+K44^2/(2*J44))))+IF(colas=2,NORMSDIST((-K44*(1-1/(4*J44))-(P44)*SQRT(I44))/SQRT(1+K44^2/(2*J44))),0))-potencia)/((((1-NORMSDIST((K44*(1-1/(4*J44))-(P44+(0.001*P44))*SQRT(I44))/SQRT(1+K44^2/(2*J44))))+IF(colas=2,NORMSDIST((-K44*(1-1/(4*J44))-(P44+(0.001*P44))*SQRT(I44))/SQRT(1+K44^2/(2*J44))),0))-((1-NORMSDIST((K44*(1-1/(4*J44))-(P44-(0.001*P44))*SQRT(I44))/SQRT(1+K44^2/(2*J44))))+IF(colas=2,NORMSDIST((-K44*(1-1/(4*J44))-(P44-(0.001*P44))*SQRT(I44))/SQRT(1+K44^2/(2*J44))),0)))/(2*(0.001*P44))),P44)</f>
        <v>0</v>
      </c>
      <c r="R44" s="19">
        <f>IFERROR(Q44-(((1-NORMSDIST((K44*(1-1/(4*J44))-(Q44)*SQRT(I44))/SQRT(1+K44^2/(2*J44))))+IF(colas=2,NORMSDIST((-K44*(1-1/(4*J44))-(Q44)*SQRT(I44))/SQRT(1+K44^2/(2*J44))),0))-potencia)/((((1-NORMSDIST((K44*(1-1/(4*J44))-(Q44+(0.001*Q44))*SQRT(I44))/SQRT(1+K44^2/(2*J44))))+IF(colas=2,NORMSDIST((-K44*(1-1/(4*J44))-(Q44+(0.001*Q44))*SQRT(I44))/SQRT(1+K44^2/(2*J44))),0))-((1-NORMSDIST((K44*(1-1/(4*J44))-(Q44-(0.001*Q44))*SQRT(I44))/SQRT(1+K44^2/(2*J44))))+IF(colas=2,NORMSDIST((-K44*(1-1/(4*J44))-(Q44-(0.001*Q44))*SQRT(I44))/SQRT(1+K44^2/(2*J44))),0)))/(2*(0.001*Q44))),Q44)</f>
        <v>0</v>
      </c>
      <c r="S44" s="19">
        <f>R44</f>
        <v>0</v>
      </c>
    </row>
    <row r="45" spans="1:19">
      <c r="I45" s="12">
        <v>42</v>
      </c>
      <c r="J45" s="12">
        <f>I45-1</f>
        <v>0</v>
      </c>
      <c r="K45" s="19">
        <f>IF(colas=2,TINV(alfa,J45),TINV(2*alfa,J45))</f>
        <v>0</v>
      </c>
      <c r="L45" s="19">
        <f>IF(ISNUMBER($E$19),$E$19*SQRT(I45),"")</f>
        <v>0</v>
      </c>
      <c r="M45" s="19">
        <f>IF(ISNUMBER($E$19),((1-NORMSDIST((K45*(1-1/(4*J45))-($E$19)*SQRT(I45))/SQRT(1+K45^2/(2*J45))))+IF(colas=2,NORMSDIST((-K45*(1-1/(4*J45))-($E$19)*SQRT(I45))/SQRT(1+K45^2/(2*J45))),0)),"")</f>
        <v>0</v>
      </c>
      <c r="N45" s="12">
        <f>IF(ISNUMBER(M45),IF(M45&gt;=potencia,I45,""),"")</f>
        <v>0</v>
      </c>
      <c r="O45" s="19">
        <f>(K45+TINV(2*(1-potencia),J45))/SQRT(I45)</f>
        <v>0</v>
      </c>
      <c r="P45" s="19">
        <f>IFERROR(O45-(((1-NORMSDIST((K45*(1-1/(4*J45))-(O45)*SQRT(I45))/SQRT(1+K45^2/(2*J45))))+IF(colas=2,NORMSDIST((-K45*(1-1/(4*J45))-(O45)*SQRT(I45))/SQRT(1+K45^2/(2*J45))),0))-potencia)/((((1-NORMSDIST((K45*(1-1/(4*J45))-(O45+(0.001*O45))*SQRT(I45))/SQRT(1+K45^2/(2*J45))))+IF(colas=2,NORMSDIST((-K45*(1-1/(4*J45))-(O45+(0.001*O45))*SQRT(I45))/SQRT(1+K45^2/(2*J45))),0))-((1-NORMSDIST((K45*(1-1/(4*J45))-(O45-(0.001*O45))*SQRT(I45))/SQRT(1+K45^2/(2*J45))))+IF(colas=2,NORMSDIST((-K45*(1-1/(4*J45))-(O45-(0.001*O45))*SQRT(I45))/SQRT(1+K45^2/(2*J45))),0)))/(2*(0.001*O45))),O45)</f>
        <v>0</v>
      </c>
      <c r="Q45" s="19">
        <f>IFERROR(P45-(((1-NORMSDIST((K45*(1-1/(4*J45))-(P45)*SQRT(I45))/SQRT(1+K45^2/(2*J45))))+IF(colas=2,NORMSDIST((-K45*(1-1/(4*J45))-(P45)*SQRT(I45))/SQRT(1+K45^2/(2*J45))),0))-potencia)/((((1-NORMSDIST((K45*(1-1/(4*J45))-(P45+(0.001*P45))*SQRT(I45))/SQRT(1+K45^2/(2*J45))))+IF(colas=2,NORMSDIST((-K45*(1-1/(4*J45))-(P45+(0.001*P45))*SQRT(I45))/SQRT(1+K45^2/(2*J45))),0))-((1-NORMSDIST((K45*(1-1/(4*J45))-(P45-(0.001*P45))*SQRT(I45))/SQRT(1+K45^2/(2*J45))))+IF(colas=2,NORMSDIST((-K45*(1-1/(4*J45))-(P45-(0.001*P45))*SQRT(I45))/SQRT(1+K45^2/(2*J45))),0)))/(2*(0.001*P45))),P45)</f>
        <v>0</v>
      </c>
      <c r="R45" s="19">
        <f>IFERROR(Q45-(((1-NORMSDIST((K45*(1-1/(4*J45))-(Q45)*SQRT(I45))/SQRT(1+K45^2/(2*J45))))+IF(colas=2,NORMSDIST((-K45*(1-1/(4*J45))-(Q45)*SQRT(I45))/SQRT(1+K45^2/(2*J45))),0))-potencia)/((((1-NORMSDIST((K45*(1-1/(4*J45))-(Q45+(0.001*Q45))*SQRT(I45))/SQRT(1+K45^2/(2*J45))))+IF(colas=2,NORMSDIST((-K45*(1-1/(4*J45))-(Q45+(0.001*Q45))*SQRT(I45))/SQRT(1+K45^2/(2*J45))),0))-((1-NORMSDIST((K45*(1-1/(4*J45))-(Q45-(0.001*Q45))*SQRT(I45))/SQRT(1+K45^2/(2*J45))))+IF(colas=2,NORMSDIST((-K45*(1-1/(4*J45))-(Q45-(0.001*Q45))*SQRT(I45))/SQRT(1+K45^2/(2*J45))),0)))/(2*(0.001*Q45))),Q45)</f>
        <v>0</v>
      </c>
      <c r="S45" s="19">
        <f>R45</f>
        <v>0</v>
      </c>
    </row>
    <row r="46" spans="1:19">
      <c r="I46" s="12">
        <v>43</v>
      </c>
      <c r="J46" s="12">
        <f>I46-1</f>
        <v>0</v>
      </c>
      <c r="K46" s="19">
        <f>IF(colas=2,TINV(alfa,J46),TINV(2*alfa,J46))</f>
        <v>0</v>
      </c>
      <c r="L46" s="19">
        <f>IF(ISNUMBER($E$19),$E$19*SQRT(I46),"")</f>
        <v>0</v>
      </c>
      <c r="M46" s="19">
        <f>IF(ISNUMBER($E$19),((1-NORMSDIST((K46*(1-1/(4*J46))-($E$19)*SQRT(I46))/SQRT(1+K46^2/(2*J46))))+IF(colas=2,NORMSDIST((-K46*(1-1/(4*J46))-($E$19)*SQRT(I46))/SQRT(1+K46^2/(2*J46))),0)),"")</f>
        <v>0</v>
      </c>
      <c r="N46" s="12">
        <f>IF(ISNUMBER(M46),IF(M46&gt;=potencia,I46,""),"")</f>
        <v>0</v>
      </c>
      <c r="O46" s="19">
        <f>(K46+TINV(2*(1-potencia),J46))/SQRT(I46)</f>
        <v>0</v>
      </c>
      <c r="P46" s="19">
        <f>IFERROR(O46-(((1-NORMSDIST((K46*(1-1/(4*J46))-(O46)*SQRT(I46))/SQRT(1+K46^2/(2*J46))))+IF(colas=2,NORMSDIST((-K46*(1-1/(4*J46))-(O46)*SQRT(I46))/SQRT(1+K46^2/(2*J46))),0))-potencia)/((((1-NORMSDIST((K46*(1-1/(4*J46))-(O46+(0.001*O46))*SQRT(I46))/SQRT(1+K46^2/(2*J46))))+IF(colas=2,NORMSDIST((-K46*(1-1/(4*J46))-(O46+(0.001*O46))*SQRT(I46))/SQRT(1+K46^2/(2*J46))),0))-((1-NORMSDIST((K46*(1-1/(4*J46))-(O46-(0.001*O46))*SQRT(I46))/SQRT(1+K46^2/(2*J46))))+IF(colas=2,NORMSDIST((-K46*(1-1/(4*J46))-(O46-(0.001*O46))*SQRT(I46))/SQRT(1+K46^2/(2*J46))),0)))/(2*(0.001*O46))),O46)</f>
        <v>0</v>
      </c>
      <c r="Q46" s="19">
        <f>IFERROR(P46-(((1-NORMSDIST((K46*(1-1/(4*J46))-(P46)*SQRT(I46))/SQRT(1+K46^2/(2*J46))))+IF(colas=2,NORMSDIST((-K46*(1-1/(4*J46))-(P46)*SQRT(I46))/SQRT(1+K46^2/(2*J46))),0))-potencia)/((((1-NORMSDIST((K46*(1-1/(4*J46))-(P46+(0.001*P46))*SQRT(I46))/SQRT(1+K46^2/(2*J46))))+IF(colas=2,NORMSDIST((-K46*(1-1/(4*J46))-(P46+(0.001*P46))*SQRT(I46))/SQRT(1+K46^2/(2*J46))),0))-((1-NORMSDIST((K46*(1-1/(4*J46))-(P46-(0.001*P46))*SQRT(I46))/SQRT(1+K46^2/(2*J46))))+IF(colas=2,NORMSDIST((-K46*(1-1/(4*J46))-(P46-(0.001*P46))*SQRT(I46))/SQRT(1+K46^2/(2*J46))),0)))/(2*(0.001*P46))),P46)</f>
        <v>0</v>
      </c>
      <c r="R46" s="19">
        <f>IFERROR(Q46-(((1-NORMSDIST((K46*(1-1/(4*J46))-(Q46)*SQRT(I46))/SQRT(1+K46^2/(2*J46))))+IF(colas=2,NORMSDIST((-K46*(1-1/(4*J46))-(Q46)*SQRT(I46))/SQRT(1+K46^2/(2*J46))),0))-potencia)/((((1-NORMSDIST((K46*(1-1/(4*J46))-(Q46+(0.001*Q46))*SQRT(I46))/SQRT(1+K46^2/(2*J46))))+IF(colas=2,NORMSDIST((-K46*(1-1/(4*J46))-(Q46+(0.001*Q46))*SQRT(I46))/SQRT(1+K46^2/(2*J46))),0))-((1-NORMSDIST((K46*(1-1/(4*J46))-(Q46-(0.001*Q46))*SQRT(I46))/SQRT(1+K46^2/(2*J46))))+IF(colas=2,NORMSDIST((-K46*(1-1/(4*J46))-(Q46-(0.001*Q46))*SQRT(I46))/SQRT(1+K46^2/(2*J46))),0)))/(2*(0.001*Q46))),Q46)</f>
        <v>0</v>
      </c>
      <c r="S46" s="19">
        <f>R46</f>
        <v>0</v>
      </c>
    </row>
    <row r="47" spans="1:19">
      <c r="I47" s="12">
        <v>44</v>
      </c>
      <c r="J47" s="12">
        <f>I47-1</f>
        <v>0</v>
      </c>
      <c r="K47" s="19">
        <f>IF(colas=2,TINV(alfa,J47),TINV(2*alfa,J47))</f>
        <v>0</v>
      </c>
      <c r="L47" s="19">
        <f>IF(ISNUMBER($E$19),$E$19*SQRT(I47),"")</f>
        <v>0</v>
      </c>
      <c r="M47" s="19">
        <f>IF(ISNUMBER($E$19),((1-NORMSDIST((K47*(1-1/(4*J47))-($E$19)*SQRT(I47))/SQRT(1+K47^2/(2*J47))))+IF(colas=2,NORMSDIST((-K47*(1-1/(4*J47))-($E$19)*SQRT(I47))/SQRT(1+K47^2/(2*J47))),0)),"")</f>
        <v>0</v>
      </c>
      <c r="N47" s="12">
        <f>IF(ISNUMBER(M47),IF(M47&gt;=potencia,I47,""),"")</f>
        <v>0</v>
      </c>
      <c r="O47" s="19">
        <f>(K47+TINV(2*(1-potencia),J47))/SQRT(I47)</f>
        <v>0</v>
      </c>
      <c r="P47" s="19">
        <f>IFERROR(O47-(((1-NORMSDIST((K47*(1-1/(4*J47))-(O47)*SQRT(I47))/SQRT(1+K47^2/(2*J47))))+IF(colas=2,NORMSDIST((-K47*(1-1/(4*J47))-(O47)*SQRT(I47))/SQRT(1+K47^2/(2*J47))),0))-potencia)/((((1-NORMSDIST((K47*(1-1/(4*J47))-(O47+(0.001*O47))*SQRT(I47))/SQRT(1+K47^2/(2*J47))))+IF(colas=2,NORMSDIST((-K47*(1-1/(4*J47))-(O47+(0.001*O47))*SQRT(I47))/SQRT(1+K47^2/(2*J47))),0))-((1-NORMSDIST((K47*(1-1/(4*J47))-(O47-(0.001*O47))*SQRT(I47))/SQRT(1+K47^2/(2*J47))))+IF(colas=2,NORMSDIST((-K47*(1-1/(4*J47))-(O47-(0.001*O47))*SQRT(I47))/SQRT(1+K47^2/(2*J47))),0)))/(2*(0.001*O47))),O47)</f>
        <v>0</v>
      </c>
      <c r="Q47" s="19">
        <f>IFERROR(P47-(((1-NORMSDIST((K47*(1-1/(4*J47))-(P47)*SQRT(I47))/SQRT(1+K47^2/(2*J47))))+IF(colas=2,NORMSDIST((-K47*(1-1/(4*J47))-(P47)*SQRT(I47))/SQRT(1+K47^2/(2*J47))),0))-potencia)/((((1-NORMSDIST((K47*(1-1/(4*J47))-(P47+(0.001*P47))*SQRT(I47))/SQRT(1+K47^2/(2*J47))))+IF(colas=2,NORMSDIST((-K47*(1-1/(4*J47))-(P47+(0.001*P47))*SQRT(I47))/SQRT(1+K47^2/(2*J47))),0))-((1-NORMSDIST((K47*(1-1/(4*J47))-(P47-(0.001*P47))*SQRT(I47))/SQRT(1+K47^2/(2*J47))))+IF(colas=2,NORMSDIST((-K47*(1-1/(4*J47))-(P47-(0.001*P47))*SQRT(I47))/SQRT(1+K47^2/(2*J47))),0)))/(2*(0.001*P47))),P47)</f>
        <v>0</v>
      </c>
      <c r="R47" s="19">
        <f>IFERROR(Q47-(((1-NORMSDIST((K47*(1-1/(4*J47))-(Q47)*SQRT(I47))/SQRT(1+K47^2/(2*J47))))+IF(colas=2,NORMSDIST((-K47*(1-1/(4*J47))-(Q47)*SQRT(I47))/SQRT(1+K47^2/(2*J47))),0))-potencia)/((((1-NORMSDIST((K47*(1-1/(4*J47))-(Q47+(0.001*Q47))*SQRT(I47))/SQRT(1+K47^2/(2*J47))))+IF(colas=2,NORMSDIST((-K47*(1-1/(4*J47))-(Q47+(0.001*Q47))*SQRT(I47))/SQRT(1+K47^2/(2*J47))),0))-((1-NORMSDIST((K47*(1-1/(4*J47))-(Q47-(0.001*Q47))*SQRT(I47))/SQRT(1+K47^2/(2*J47))))+IF(colas=2,NORMSDIST((-K47*(1-1/(4*J47))-(Q47-(0.001*Q47))*SQRT(I47))/SQRT(1+K47^2/(2*J47))),0)))/(2*(0.001*Q47))),Q47)</f>
        <v>0</v>
      </c>
      <c r="S47" s="19">
        <f>R47</f>
        <v>0</v>
      </c>
    </row>
    <row r="48" spans="1:19">
      <c r="I48" s="12">
        <v>45</v>
      </c>
      <c r="J48" s="12">
        <f>I48-1</f>
        <v>0</v>
      </c>
      <c r="K48" s="19">
        <f>IF(colas=2,TINV(alfa,J48),TINV(2*alfa,J48))</f>
        <v>0</v>
      </c>
      <c r="L48" s="19">
        <f>IF(ISNUMBER($E$19),$E$19*SQRT(I48),"")</f>
        <v>0</v>
      </c>
      <c r="M48" s="19">
        <f>IF(ISNUMBER($E$19),((1-NORMSDIST((K48*(1-1/(4*J48))-($E$19)*SQRT(I48))/SQRT(1+K48^2/(2*J48))))+IF(colas=2,NORMSDIST((-K48*(1-1/(4*J48))-($E$19)*SQRT(I48))/SQRT(1+K48^2/(2*J48))),0)),"")</f>
        <v>0</v>
      </c>
      <c r="N48" s="12">
        <f>IF(ISNUMBER(M48),IF(M48&gt;=potencia,I48,""),"")</f>
        <v>0</v>
      </c>
      <c r="O48" s="19">
        <f>(K48+TINV(2*(1-potencia),J48))/SQRT(I48)</f>
        <v>0</v>
      </c>
      <c r="P48" s="19">
        <f>IFERROR(O48-(((1-NORMSDIST((K48*(1-1/(4*J48))-(O48)*SQRT(I48))/SQRT(1+K48^2/(2*J48))))+IF(colas=2,NORMSDIST((-K48*(1-1/(4*J48))-(O48)*SQRT(I48))/SQRT(1+K48^2/(2*J48))),0))-potencia)/((((1-NORMSDIST((K48*(1-1/(4*J48))-(O48+(0.001*O48))*SQRT(I48))/SQRT(1+K48^2/(2*J48))))+IF(colas=2,NORMSDIST((-K48*(1-1/(4*J48))-(O48+(0.001*O48))*SQRT(I48))/SQRT(1+K48^2/(2*J48))),0))-((1-NORMSDIST((K48*(1-1/(4*J48))-(O48-(0.001*O48))*SQRT(I48))/SQRT(1+K48^2/(2*J48))))+IF(colas=2,NORMSDIST((-K48*(1-1/(4*J48))-(O48-(0.001*O48))*SQRT(I48))/SQRT(1+K48^2/(2*J48))),0)))/(2*(0.001*O48))),O48)</f>
        <v>0</v>
      </c>
      <c r="Q48" s="19">
        <f>IFERROR(P48-(((1-NORMSDIST((K48*(1-1/(4*J48))-(P48)*SQRT(I48))/SQRT(1+K48^2/(2*J48))))+IF(colas=2,NORMSDIST((-K48*(1-1/(4*J48))-(P48)*SQRT(I48))/SQRT(1+K48^2/(2*J48))),0))-potencia)/((((1-NORMSDIST((K48*(1-1/(4*J48))-(P48+(0.001*P48))*SQRT(I48))/SQRT(1+K48^2/(2*J48))))+IF(colas=2,NORMSDIST((-K48*(1-1/(4*J48))-(P48+(0.001*P48))*SQRT(I48))/SQRT(1+K48^2/(2*J48))),0))-((1-NORMSDIST((K48*(1-1/(4*J48))-(P48-(0.001*P48))*SQRT(I48))/SQRT(1+K48^2/(2*J48))))+IF(colas=2,NORMSDIST((-K48*(1-1/(4*J48))-(P48-(0.001*P48))*SQRT(I48))/SQRT(1+K48^2/(2*J48))),0)))/(2*(0.001*P48))),P48)</f>
        <v>0</v>
      </c>
      <c r="R48" s="19">
        <f>IFERROR(Q48-(((1-NORMSDIST((K48*(1-1/(4*J48))-(Q48)*SQRT(I48))/SQRT(1+K48^2/(2*J48))))+IF(colas=2,NORMSDIST((-K48*(1-1/(4*J48))-(Q48)*SQRT(I48))/SQRT(1+K48^2/(2*J48))),0))-potencia)/((((1-NORMSDIST((K48*(1-1/(4*J48))-(Q48+(0.001*Q48))*SQRT(I48))/SQRT(1+K48^2/(2*J48))))+IF(colas=2,NORMSDIST((-K48*(1-1/(4*J48))-(Q48+(0.001*Q48))*SQRT(I48))/SQRT(1+K48^2/(2*J48))),0))-((1-NORMSDIST((K48*(1-1/(4*J48))-(Q48-(0.001*Q48))*SQRT(I48))/SQRT(1+K48^2/(2*J48))))+IF(colas=2,NORMSDIST((-K48*(1-1/(4*J48))-(Q48-(0.001*Q48))*SQRT(I48))/SQRT(1+K48^2/(2*J48))),0)))/(2*(0.001*Q48))),Q48)</f>
        <v>0</v>
      </c>
      <c r="S48" s="19">
        <f>R48</f>
        <v>0</v>
      </c>
    </row>
    <row r="49" spans="9:19">
      <c r="I49" s="12">
        <v>46</v>
      </c>
      <c r="J49" s="12">
        <f>I49-1</f>
        <v>0</v>
      </c>
      <c r="K49" s="19">
        <f>IF(colas=2,TINV(alfa,J49),TINV(2*alfa,J49))</f>
        <v>0</v>
      </c>
      <c r="L49" s="19">
        <f>IF(ISNUMBER($E$19),$E$19*SQRT(I49),"")</f>
        <v>0</v>
      </c>
      <c r="M49" s="19">
        <f>IF(ISNUMBER($E$19),((1-NORMSDIST((K49*(1-1/(4*J49))-($E$19)*SQRT(I49))/SQRT(1+K49^2/(2*J49))))+IF(colas=2,NORMSDIST((-K49*(1-1/(4*J49))-($E$19)*SQRT(I49))/SQRT(1+K49^2/(2*J49))),0)),"")</f>
        <v>0</v>
      </c>
      <c r="N49" s="12">
        <f>IF(ISNUMBER(M49),IF(M49&gt;=potencia,I49,""),"")</f>
        <v>0</v>
      </c>
      <c r="O49" s="19">
        <f>(K49+TINV(2*(1-potencia),J49))/SQRT(I49)</f>
        <v>0</v>
      </c>
      <c r="P49" s="19">
        <f>IFERROR(O49-(((1-NORMSDIST((K49*(1-1/(4*J49))-(O49)*SQRT(I49))/SQRT(1+K49^2/(2*J49))))+IF(colas=2,NORMSDIST((-K49*(1-1/(4*J49))-(O49)*SQRT(I49))/SQRT(1+K49^2/(2*J49))),0))-potencia)/((((1-NORMSDIST((K49*(1-1/(4*J49))-(O49+(0.001*O49))*SQRT(I49))/SQRT(1+K49^2/(2*J49))))+IF(colas=2,NORMSDIST((-K49*(1-1/(4*J49))-(O49+(0.001*O49))*SQRT(I49))/SQRT(1+K49^2/(2*J49))),0))-((1-NORMSDIST((K49*(1-1/(4*J49))-(O49-(0.001*O49))*SQRT(I49))/SQRT(1+K49^2/(2*J49))))+IF(colas=2,NORMSDIST((-K49*(1-1/(4*J49))-(O49-(0.001*O49))*SQRT(I49))/SQRT(1+K49^2/(2*J49))),0)))/(2*(0.001*O49))),O49)</f>
        <v>0</v>
      </c>
      <c r="Q49" s="19">
        <f>IFERROR(P49-(((1-NORMSDIST((K49*(1-1/(4*J49))-(P49)*SQRT(I49))/SQRT(1+K49^2/(2*J49))))+IF(colas=2,NORMSDIST((-K49*(1-1/(4*J49))-(P49)*SQRT(I49))/SQRT(1+K49^2/(2*J49))),0))-potencia)/((((1-NORMSDIST((K49*(1-1/(4*J49))-(P49+(0.001*P49))*SQRT(I49))/SQRT(1+K49^2/(2*J49))))+IF(colas=2,NORMSDIST((-K49*(1-1/(4*J49))-(P49+(0.001*P49))*SQRT(I49))/SQRT(1+K49^2/(2*J49))),0))-((1-NORMSDIST((K49*(1-1/(4*J49))-(P49-(0.001*P49))*SQRT(I49))/SQRT(1+K49^2/(2*J49))))+IF(colas=2,NORMSDIST((-K49*(1-1/(4*J49))-(P49-(0.001*P49))*SQRT(I49))/SQRT(1+K49^2/(2*J49))),0)))/(2*(0.001*P49))),P49)</f>
        <v>0</v>
      </c>
      <c r="R49" s="19">
        <f>IFERROR(Q49-(((1-NORMSDIST((K49*(1-1/(4*J49))-(Q49)*SQRT(I49))/SQRT(1+K49^2/(2*J49))))+IF(colas=2,NORMSDIST((-K49*(1-1/(4*J49))-(Q49)*SQRT(I49))/SQRT(1+K49^2/(2*J49))),0))-potencia)/((((1-NORMSDIST((K49*(1-1/(4*J49))-(Q49+(0.001*Q49))*SQRT(I49))/SQRT(1+K49^2/(2*J49))))+IF(colas=2,NORMSDIST((-K49*(1-1/(4*J49))-(Q49+(0.001*Q49))*SQRT(I49))/SQRT(1+K49^2/(2*J49))),0))-((1-NORMSDIST((K49*(1-1/(4*J49))-(Q49-(0.001*Q49))*SQRT(I49))/SQRT(1+K49^2/(2*J49))))+IF(colas=2,NORMSDIST((-K49*(1-1/(4*J49))-(Q49-(0.001*Q49))*SQRT(I49))/SQRT(1+K49^2/(2*J49))),0)))/(2*(0.001*Q49))),Q49)</f>
        <v>0</v>
      </c>
      <c r="S49" s="19">
        <f>R49</f>
        <v>0</v>
      </c>
    </row>
    <row r="50" spans="9:19">
      <c r="I50" s="12">
        <v>47</v>
      </c>
      <c r="J50" s="12">
        <f>I50-1</f>
        <v>0</v>
      </c>
      <c r="K50" s="19">
        <f>IF(colas=2,TINV(alfa,J50),TINV(2*alfa,J50))</f>
        <v>0</v>
      </c>
      <c r="L50" s="19">
        <f>IF(ISNUMBER($E$19),$E$19*SQRT(I50),"")</f>
        <v>0</v>
      </c>
      <c r="M50" s="19">
        <f>IF(ISNUMBER($E$19),((1-NORMSDIST((K50*(1-1/(4*J50))-($E$19)*SQRT(I50))/SQRT(1+K50^2/(2*J50))))+IF(colas=2,NORMSDIST((-K50*(1-1/(4*J50))-($E$19)*SQRT(I50))/SQRT(1+K50^2/(2*J50))),0)),"")</f>
        <v>0</v>
      </c>
      <c r="N50" s="12">
        <f>IF(ISNUMBER(M50),IF(M50&gt;=potencia,I50,""),"")</f>
        <v>0</v>
      </c>
      <c r="O50" s="19">
        <f>(K50+TINV(2*(1-potencia),J50))/SQRT(I50)</f>
        <v>0</v>
      </c>
      <c r="P50" s="19">
        <f>IFERROR(O50-(((1-NORMSDIST((K50*(1-1/(4*J50))-(O50)*SQRT(I50))/SQRT(1+K50^2/(2*J50))))+IF(colas=2,NORMSDIST((-K50*(1-1/(4*J50))-(O50)*SQRT(I50))/SQRT(1+K50^2/(2*J50))),0))-potencia)/((((1-NORMSDIST((K50*(1-1/(4*J50))-(O50+(0.001*O50))*SQRT(I50))/SQRT(1+K50^2/(2*J50))))+IF(colas=2,NORMSDIST((-K50*(1-1/(4*J50))-(O50+(0.001*O50))*SQRT(I50))/SQRT(1+K50^2/(2*J50))),0))-((1-NORMSDIST((K50*(1-1/(4*J50))-(O50-(0.001*O50))*SQRT(I50))/SQRT(1+K50^2/(2*J50))))+IF(colas=2,NORMSDIST((-K50*(1-1/(4*J50))-(O50-(0.001*O50))*SQRT(I50))/SQRT(1+K50^2/(2*J50))),0)))/(2*(0.001*O50))),O50)</f>
        <v>0</v>
      </c>
      <c r="Q50" s="19">
        <f>IFERROR(P50-(((1-NORMSDIST((K50*(1-1/(4*J50))-(P50)*SQRT(I50))/SQRT(1+K50^2/(2*J50))))+IF(colas=2,NORMSDIST((-K50*(1-1/(4*J50))-(P50)*SQRT(I50))/SQRT(1+K50^2/(2*J50))),0))-potencia)/((((1-NORMSDIST((K50*(1-1/(4*J50))-(P50+(0.001*P50))*SQRT(I50))/SQRT(1+K50^2/(2*J50))))+IF(colas=2,NORMSDIST((-K50*(1-1/(4*J50))-(P50+(0.001*P50))*SQRT(I50))/SQRT(1+K50^2/(2*J50))),0))-((1-NORMSDIST((K50*(1-1/(4*J50))-(P50-(0.001*P50))*SQRT(I50))/SQRT(1+K50^2/(2*J50))))+IF(colas=2,NORMSDIST((-K50*(1-1/(4*J50))-(P50-(0.001*P50))*SQRT(I50))/SQRT(1+K50^2/(2*J50))),0)))/(2*(0.001*P50))),P50)</f>
        <v>0</v>
      </c>
      <c r="R50" s="19">
        <f>IFERROR(Q50-(((1-NORMSDIST((K50*(1-1/(4*J50))-(Q50)*SQRT(I50))/SQRT(1+K50^2/(2*J50))))+IF(colas=2,NORMSDIST((-K50*(1-1/(4*J50))-(Q50)*SQRT(I50))/SQRT(1+K50^2/(2*J50))),0))-potencia)/((((1-NORMSDIST((K50*(1-1/(4*J50))-(Q50+(0.001*Q50))*SQRT(I50))/SQRT(1+K50^2/(2*J50))))+IF(colas=2,NORMSDIST((-K50*(1-1/(4*J50))-(Q50+(0.001*Q50))*SQRT(I50))/SQRT(1+K50^2/(2*J50))),0))-((1-NORMSDIST((K50*(1-1/(4*J50))-(Q50-(0.001*Q50))*SQRT(I50))/SQRT(1+K50^2/(2*J50))))+IF(colas=2,NORMSDIST((-K50*(1-1/(4*J50))-(Q50-(0.001*Q50))*SQRT(I50))/SQRT(1+K50^2/(2*J50))),0)))/(2*(0.001*Q50))),Q50)</f>
        <v>0</v>
      </c>
      <c r="S50" s="19">
        <f>R50</f>
        <v>0</v>
      </c>
    </row>
    <row r="51" spans="9:19">
      <c r="I51" s="12">
        <v>48</v>
      </c>
      <c r="J51" s="12">
        <f>I51-1</f>
        <v>0</v>
      </c>
      <c r="K51" s="19">
        <f>IF(colas=2,TINV(alfa,J51),TINV(2*alfa,J51))</f>
        <v>0</v>
      </c>
      <c r="L51" s="19">
        <f>IF(ISNUMBER($E$19),$E$19*SQRT(I51),"")</f>
        <v>0</v>
      </c>
      <c r="M51" s="19">
        <f>IF(ISNUMBER($E$19),((1-NORMSDIST((K51*(1-1/(4*J51))-($E$19)*SQRT(I51))/SQRT(1+K51^2/(2*J51))))+IF(colas=2,NORMSDIST((-K51*(1-1/(4*J51))-($E$19)*SQRT(I51))/SQRT(1+K51^2/(2*J51))),0)),"")</f>
        <v>0</v>
      </c>
      <c r="N51" s="12">
        <f>IF(ISNUMBER(M51),IF(M51&gt;=potencia,I51,""),"")</f>
        <v>0</v>
      </c>
      <c r="O51" s="19">
        <f>(K51+TINV(2*(1-potencia),J51))/SQRT(I51)</f>
        <v>0</v>
      </c>
      <c r="P51" s="19">
        <f>IFERROR(O51-(((1-NORMSDIST((K51*(1-1/(4*J51))-(O51)*SQRT(I51))/SQRT(1+K51^2/(2*J51))))+IF(colas=2,NORMSDIST((-K51*(1-1/(4*J51))-(O51)*SQRT(I51))/SQRT(1+K51^2/(2*J51))),0))-potencia)/((((1-NORMSDIST((K51*(1-1/(4*J51))-(O51+(0.001*O51))*SQRT(I51))/SQRT(1+K51^2/(2*J51))))+IF(colas=2,NORMSDIST((-K51*(1-1/(4*J51))-(O51+(0.001*O51))*SQRT(I51))/SQRT(1+K51^2/(2*J51))),0))-((1-NORMSDIST((K51*(1-1/(4*J51))-(O51-(0.001*O51))*SQRT(I51))/SQRT(1+K51^2/(2*J51))))+IF(colas=2,NORMSDIST((-K51*(1-1/(4*J51))-(O51-(0.001*O51))*SQRT(I51))/SQRT(1+K51^2/(2*J51))),0)))/(2*(0.001*O51))),O51)</f>
        <v>0</v>
      </c>
      <c r="Q51" s="19">
        <f>IFERROR(P51-(((1-NORMSDIST((K51*(1-1/(4*J51))-(P51)*SQRT(I51))/SQRT(1+K51^2/(2*J51))))+IF(colas=2,NORMSDIST((-K51*(1-1/(4*J51))-(P51)*SQRT(I51))/SQRT(1+K51^2/(2*J51))),0))-potencia)/((((1-NORMSDIST((K51*(1-1/(4*J51))-(P51+(0.001*P51))*SQRT(I51))/SQRT(1+K51^2/(2*J51))))+IF(colas=2,NORMSDIST((-K51*(1-1/(4*J51))-(P51+(0.001*P51))*SQRT(I51))/SQRT(1+K51^2/(2*J51))),0))-((1-NORMSDIST((K51*(1-1/(4*J51))-(P51-(0.001*P51))*SQRT(I51))/SQRT(1+K51^2/(2*J51))))+IF(colas=2,NORMSDIST((-K51*(1-1/(4*J51))-(P51-(0.001*P51))*SQRT(I51))/SQRT(1+K51^2/(2*J51))),0)))/(2*(0.001*P51))),P51)</f>
        <v>0</v>
      </c>
      <c r="R51" s="19">
        <f>IFERROR(Q51-(((1-NORMSDIST((K51*(1-1/(4*J51))-(Q51)*SQRT(I51))/SQRT(1+K51^2/(2*J51))))+IF(colas=2,NORMSDIST((-K51*(1-1/(4*J51))-(Q51)*SQRT(I51))/SQRT(1+K51^2/(2*J51))),0))-potencia)/((((1-NORMSDIST((K51*(1-1/(4*J51))-(Q51+(0.001*Q51))*SQRT(I51))/SQRT(1+K51^2/(2*J51))))+IF(colas=2,NORMSDIST((-K51*(1-1/(4*J51))-(Q51+(0.001*Q51))*SQRT(I51))/SQRT(1+K51^2/(2*J51))),0))-((1-NORMSDIST((K51*(1-1/(4*J51))-(Q51-(0.001*Q51))*SQRT(I51))/SQRT(1+K51^2/(2*J51))))+IF(colas=2,NORMSDIST((-K51*(1-1/(4*J51))-(Q51-(0.001*Q51))*SQRT(I51))/SQRT(1+K51^2/(2*J51))),0)))/(2*(0.001*Q51))),Q51)</f>
        <v>0</v>
      </c>
      <c r="S51" s="19">
        <f>R51</f>
        <v>0</v>
      </c>
    </row>
    <row r="52" spans="9:19">
      <c r="I52" s="12">
        <v>49</v>
      </c>
      <c r="J52" s="12">
        <f>I52-1</f>
        <v>0</v>
      </c>
      <c r="K52" s="19">
        <f>IF(colas=2,TINV(alfa,J52),TINV(2*alfa,J52))</f>
        <v>0</v>
      </c>
      <c r="L52" s="19">
        <f>IF(ISNUMBER($E$19),$E$19*SQRT(I52),"")</f>
        <v>0</v>
      </c>
      <c r="M52" s="19">
        <f>IF(ISNUMBER($E$19),((1-NORMSDIST((K52*(1-1/(4*J52))-($E$19)*SQRT(I52))/SQRT(1+K52^2/(2*J52))))+IF(colas=2,NORMSDIST((-K52*(1-1/(4*J52))-($E$19)*SQRT(I52))/SQRT(1+K52^2/(2*J52))),0)),"")</f>
        <v>0</v>
      </c>
      <c r="N52" s="12">
        <f>IF(ISNUMBER(M52),IF(M52&gt;=potencia,I52,""),"")</f>
        <v>0</v>
      </c>
      <c r="O52" s="19">
        <f>(K52+TINV(2*(1-potencia),J52))/SQRT(I52)</f>
        <v>0</v>
      </c>
      <c r="P52" s="19">
        <f>IFERROR(O52-(((1-NORMSDIST((K52*(1-1/(4*J52))-(O52)*SQRT(I52))/SQRT(1+K52^2/(2*J52))))+IF(colas=2,NORMSDIST((-K52*(1-1/(4*J52))-(O52)*SQRT(I52))/SQRT(1+K52^2/(2*J52))),0))-potencia)/((((1-NORMSDIST((K52*(1-1/(4*J52))-(O52+(0.001*O52))*SQRT(I52))/SQRT(1+K52^2/(2*J52))))+IF(colas=2,NORMSDIST((-K52*(1-1/(4*J52))-(O52+(0.001*O52))*SQRT(I52))/SQRT(1+K52^2/(2*J52))),0))-((1-NORMSDIST((K52*(1-1/(4*J52))-(O52-(0.001*O52))*SQRT(I52))/SQRT(1+K52^2/(2*J52))))+IF(colas=2,NORMSDIST((-K52*(1-1/(4*J52))-(O52-(0.001*O52))*SQRT(I52))/SQRT(1+K52^2/(2*J52))),0)))/(2*(0.001*O52))),O52)</f>
        <v>0</v>
      </c>
      <c r="Q52" s="19">
        <f>IFERROR(P52-(((1-NORMSDIST((K52*(1-1/(4*J52))-(P52)*SQRT(I52))/SQRT(1+K52^2/(2*J52))))+IF(colas=2,NORMSDIST((-K52*(1-1/(4*J52))-(P52)*SQRT(I52))/SQRT(1+K52^2/(2*J52))),0))-potencia)/((((1-NORMSDIST((K52*(1-1/(4*J52))-(P52+(0.001*P52))*SQRT(I52))/SQRT(1+K52^2/(2*J52))))+IF(colas=2,NORMSDIST((-K52*(1-1/(4*J52))-(P52+(0.001*P52))*SQRT(I52))/SQRT(1+K52^2/(2*J52))),0))-((1-NORMSDIST((K52*(1-1/(4*J52))-(P52-(0.001*P52))*SQRT(I52))/SQRT(1+K52^2/(2*J52))))+IF(colas=2,NORMSDIST((-K52*(1-1/(4*J52))-(P52-(0.001*P52))*SQRT(I52))/SQRT(1+K52^2/(2*J52))),0)))/(2*(0.001*P52))),P52)</f>
        <v>0</v>
      </c>
      <c r="R52" s="19">
        <f>IFERROR(Q52-(((1-NORMSDIST((K52*(1-1/(4*J52))-(Q52)*SQRT(I52))/SQRT(1+K52^2/(2*J52))))+IF(colas=2,NORMSDIST((-K52*(1-1/(4*J52))-(Q52)*SQRT(I52))/SQRT(1+K52^2/(2*J52))),0))-potencia)/((((1-NORMSDIST((K52*(1-1/(4*J52))-(Q52+(0.001*Q52))*SQRT(I52))/SQRT(1+K52^2/(2*J52))))+IF(colas=2,NORMSDIST((-K52*(1-1/(4*J52))-(Q52+(0.001*Q52))*SQRT(I52))/SQRT(1+K52^2/(2*J52))),0))-((1-NORMSDIST((K52*(1-1/(4*J52))-(Q52-(0.001*Q52))*SQRT(I52))/SQRT(1+K52^2/(2*J52))))+IF(colas=2,NORMSDIST((-K52*(1-1/(4*J52))-(Q52-(0.001*Q52))*SQRT(I52))/SQRT(1+K52^2/(2*J52))),0)))/(2*(0.001*Q52))),Q52)</f>
        <v>0</v>
      </c>
      <c r="S52" s="19">
        <f>R52</f>
        <v>0</v>
      </c>
    </row>
    <row r="53" spans="9:19">
      <c r="I53" s="12">
        <v>50</v>
      </c>
      <c r="J53" s="12">
        <f>I53-1</f>
        <v>0</v>
      </c>
      <c r="K53" s="19">
        <f>IF(colas=2,TINV(alfa,J53),TINV(2*alfa,J53))</f>
        <v>0</v>
      </c>
      <c r="L53" s="19">
        <f>IF(ISNUMBER($E$19),$E$19*SQRT(I53),"")</f>
        <v>0</v>
      </c>
      <c r="M53" s="19">
        <f>IF(ISNUMBER($E$19),((1-NORMSDIST((K53*(1-1/(4*J53))-($E$19)*SQRT(I53))/SQRT(1+K53^2/(2*J53))))+IF(colas=2,NORMSDIST((-K53*(1-1/(4*J53))-($E$19)*SQRT(I53))/SQRT(1+K53^2/(2*J53))),0)),"")</f>
        <v>0</v>
      </c>
      <c r="N53" s="12">
        <f>IF(ISNUMBER(M53),IF(M53&gt;=potencia,I53,""),"")</f>
        <v>0</v>
      </c>
      <c r="O53" s="19">
        <f>(K53+TINV(2*(1-potencia),J53))/SQRT(I53)</f>
        <v>0</v>
      </c>
      <c r="P53" s="19">
        <f>IFERROR(O53-(((1-NORMSDIST((K53*(1-1/(4*J53))-(O53)*SQRT(I53))/SQRT(1+K53^2/(2*J53))))+IF(colas=2,NORMSDIST((-K53*(1-1/(4*J53))-(O53)*SQRT(I53))/SQRT(1+K53^2/(2*J53))),0))-potencia)/((((1-NORMSDIST((K53*(1-1/(4*J53))-(O53+(0.001*O53))*SQRT(I53))/SQRT(1+K53^2/(2*J53))))+IF(colas=2,NORMSDIST((-K53*(1-1/(4*J53))-(O53+(0.001*O53))*SQRT(I53))/SQRT(1+K53^2/(2*J53))),0))-((1-NORMSDIST((K53*(1-1/(4*J53))-(O53-(0.001*O53))*SQRT(I53))/SQRT(1+K53^2/(2*J53))))+IF(colas=2,NORMSDIST((-K53*(1-1/(4*J53))-(O53-(0.001*O53))*SQRT(I53))/SQRT(1+K53^2/(2*J53))),0)))/(2*(0.001*O53))),O53)</f>
        <v>0</v>
      </c>
      <c r="Q53" s="19">
        <f>IFERROR(P53-(((1-NORMSDIST((K53*(1-1/(4*J53))-(P53)*SQRT(I53))/SQRT(1+K53^2/(2*J53))))+IF(colas=2,NORMSDIST((-K53*(1-1/(4*J53))-(P53)*SQRT(I53))/SQRT(1+K53^2/(2*J53))),0))-potencia)/((((1-NORMSDIST((K53*(1-1/(4*J53))-(P53+(0.001*P53))*SQRT(I53))/SQRT(1+K53^2/(2*J53))))+IF(colas=2,NORMSDIST((-K53*(1-1/(4*J53))-(P53+(0.001*P53))*SQRT(I53))/SQRT(1+K53^2/(2*J53))),0))-((1-NORMSDIST((K53*(1-1/(4*J53))-(P53-(0.001*P53))*SQRT(I53))/SQRT(1+K53^2/(2*J53))))+IF(colas=2,NORMSDIST((-K53*(1-1/(4*J53))-(P53-(0.001*P53))*SQRT(I53))/SQRT(1+K53^2/(2*J53))),0)))/(2*(0.001*P53))),P53)</f>
        <v>0</v>
      </c>
      <c r="R53" s="19">
        <f>IFERROR(Q53-(((1-NORMSDIST((K53*(1-1/(4*J53))-(Q53)*SQRT(I53))/SQRT(1+K53^2/(2*J53))))+IF(colas=2,NORMSDIST((-K53*(1-1/(4*J53))-(Q53)*SQRT(I53))/SQRT(1+K53^2/(2*J53))),0))-potencia)/((((1-NORMSDIST((K53*(1-1/(4*J53))-(Q53+(0.001*Q53))*SQRT(I53))/SQRT(1+K53^2/(2*J53))))+IF(colas=2,NORMSDIST((-K53*(1-1/(4*J53))-(Q53+(0.001*Q53))*SQRT(I53))/SQRT(1+K53^2/(2*J53))),0))-((1-NORMSDIST((K53*(1-1/(4*J53))-(Q53-(0.001*Q53))*SQRT(I53))/SQRT(1+K53^2/(2*J53))))+IF(colas=2,NORMSDIST((-K53*(1-1/(4*J53))-(Q53-(0.001*Q53))*SQRT(I53))/SQRT(1+K53^2/(2*J53))),0)))/(2*(0.001*Q53))),Q53)</f>
        <v>0</v>
      </c>
      <c r="S53" s="19">
        <f>R53</f>
        <v>0</v>
      </c>
    </row>
    <row r="54" spans="9:19">
      <c r="I54" s="12">
        <v>51</v>
      </c>
      <c r="J54" s="12">
        <f>I54-1</f>
        <v>0</v>
      </c>
      <c r="K54" s="19">
        <f>IF(colas=2,TINV(alfa,J54),TINV(2*alfa,J54))</f>
        <v>0</v>
      </c>
      <c r="L54" s="19">
        <f>IF(ISNUMBER($E$19),$E$19*SQRT(I54),"")</f>
        <v>0</v>
      </c>
      <c r="M54" s="19">
        <f>IF(ISNUMBER($E$19),((1-NORMSDIST((K54*(1-1/(4*J54))-($E$19)*SQRT(I54))/SQRT(1+K54^2/(2*J54))))+IF(colas=2,NORMSDIST((-K54*(1-1/(4*J54))-($E$19)*SQRT(I54))/SQRT(1+K54^2/(2*J54))),0)),"")</f>
        <v>0</v>
      </c>
      <c r="N54" s="12">
        <f>IF(ISNUMBER(M54),IF(M54&gt;=potencia,I54,""),"")</f>
        <v>0</v>
      </c>
      <c r="O54" s="19">
        <f>(K54+TINV(2*(1-potencia),J54))/SQRT(I54)</f>
        <v>0</v>
      </c>
      <c r="P54" s="19">
        <f>IFERROR(O54-(((1-NORMSDIST((K54*(1-1/(4*J54))-(O54)*SQRT(I54))/SQRT(1+K54^2/(2*J54))))+IF(colas=2,NORMSDIST((-K54*(1-1/(4*J54))-(O54)*SQRT(I54))/SQRT(1+K54^2/(2*J54))),0))-potencia)/((((1-NORMSDIST((K54*(1-1/(4*J54))-(O54+(0.001*O54))*SQRT(I54))/SQRT(1+K54^2/(2*J54))))+IF(colas=2,NORMSDIST((-K54*(1-1/(4*J54))-(O54+(0.001*O54))*SQRT(I54))/SQRT(1+K54^2/(2*J54))),0))-((1-NORMSDIST((K54*(1-1/(4*J54))-(O54-(0.001*O54))*SQRT(I54))/SQRT(1+K54^2/(2*J54))))+IF(colas=2,NORMSDIST((-K54*(1-1/(4*J54))-(O54-(0.001*O54))*SQRT(I54))/SQRT(1+K54^2/(2*J54))),0)))/(2*(0.001*O54))),O54)</f>
        <v>0</v>
      </c>
      <c r="Q54" s="19">
        <f>IFERROR(P54-(((1-NORMSDIST((K54*(1-1/(4*J54))-(P54)*SQRT(I54))/SQRT(1+K54^2/(2*J54))))+IF(colas=2,NORMSDIST((-K54*(1-1/(4*J54))-(P54)*SQRT(I54))/SQRT(1+K54^2/(2*J54))),0))-potencia)/((((1-NORMSDIST((K54*(1-1/(4*J54))-(P54+(0.001*P54))*SQRT(I54))/SQRT(1+K54^2/(2*J54))))+IF(colas=2,NORMSDIST((-K54*(1-1/(4*J54))-(P54+(0.001*P54))*SQRT(I54))/SQRT(1+K54^2/(2*J54))),0))-((1-NORMSDIST((K54*(1-1/(4*J54))-(P54-(0.001*P54))*SQRT(I54))/SQRT(1+K54^2/(2*J54))))+IF(colas=2,NORMSDIST((-K54*(1-1/(4*J54))-(P54-(0.001*P54))*SQRT(I54))/SQRT(1+K54^2/(2*J54))),0)))/(2*(0.001*P54))),P54)</f>
        <v>0</v>
      </c>
      <c r="R54" s="19">
        <f>IFERROR(Q54-(((1-NORMSDIST((K54*(1-1/(4*J54))-(Q54)*SQRT(I54))/SQRT(1+K54^2/(2*J54))))+IF(colas=2,NORMSDIST((-K54*(1-1/(4*J54))-(Q54)*SQRT(I54))/SQRT(1+K54^2/(2*J54))),0))-potencia)/((((1-NORMSDIST((K54*(1-1/(4*J54))-(Q54+(0.001*Q54))*SQRT(I54))/SQRT(1+K54^2/(2*J54))))+IF(colas=2,NORMSDIST((-K54*(1-1/(4*J54))-(Q54+(0.001*Q54))*SQRT(I54))/SQRT(1+K54^2/(2*J54))),0))-((1-NORMSDIST((K54*(1-1/(4*J54))-(Q54-(0.001*Q54))*SQRT(I54))/SQRT(1+K54^2/(2*J54))))+IF(colas=2,NORMSDIST((-K54*(1-1/(4*J54))-(Q54-(0.001*Q54))*SQRT(I54))/SQRT(1+K54^2/(2*J54))),0)))/(2*(0.001*Q54))),Q54)</f>
        <v>0</v>
      </c>
      <c r="S54" s="19">
        <f>R54</f>
        <v>0</v>
      </c>
    </row>
    <row r="55" spans="9:19">
      <c r="I55" s="12">
        <v>52</v>
      </c>
      <c r="J55" s="12">
        <f>I55-1</f>
        <v>0</v>
      </c>
      <c r="K55" s="19">
        <f>IF(colas=2,TINV(alfa,J55),TINV(2*alfa,J55))</f>
        <v>0</v>
      </c>
      <c r="L55" s="19">
        <f>IF(ISNUMBER($E$19),$E$19*SQRT(I55),"")</f>
        <v>0</v>
      </c>
      <c r="M55" s="19">
        <f>IF(ISNUMBER($E$19),((1-NORMSDIST((K55*(1-1/(4*J55))-($E$19)*SQRT(I55))/SQRT(1+K55^2/(2*J55))))+IF(colas=2,NORMSDIST((-K55*(1-1/(4*J55))-($E$19)*SQRT(I55))/SQRT(1+K55^2/(2*J55))),0)),"")</f>
        <v>0</v>
      </c>
      <c r="N55" s="12">
        <f>IF(ISNUMBER(M55),IF(M55&gt;=potencia,I55,""),"")</f>
        <v>0</v>
      </c>
      <c r="O55" s="19">
        <f>(K55+TINV(2*(1-potencia),J55))/SQRT(I55)</f>
        <v>0</v>
      </c>
      <c r="P55" s="19">
        <f>IFERROR(O55-(((1-NORMSDIST((K55*(1-1/(4*J55))-(O55)*SQRT(I55))/SQRT(1+K55^2/(2*J55))))+IF(colas=2,NORMSDIST((-K55*(1-1/(4*J55))-(O55)*SQRT(I55))/SQRT(1+K55^2/(2*J55))),0))-potencia)/((((1-NORMSDIST((K55*(1-1/(4*J55))-(O55+(0.001*O55))*SQRT(I55))/SQRT(1+K55^2/(2*J55))))+IF(colas=2,NORMSDIST((-K55*(1-1/(4*J55))-(O55+(0.001*O55))*SQRT(I55))/SQRT(1+K55^2/(2*J55))),0))-((1-NORMSDIST((K55*(1-1/(4*J55))-(O55-(0.001*O55))*SQRT(I55))/SQRT(1+K55^2/(2*J55))))+IF(colas=2,NORMSDIST((-K55*(1-1/(4*J55))-(O55-(0.001*O55))*SQRT(I55))/SQRT(1+K55^2/(2*J55))),0)))/(2*(0.001*O55))),O55)</f>
        <v>0</v>
      </c>
      <c r="Q55" s="19">
        <f>IFERROR(P55-(((1-NORMSDIST((K55*(1-1/(4*J55))-(P55)*SQRT(I55))/SQRT(1+K55^2/(2*J55))))+IF(colas=2,NORMSDIST((-K55*(1-1/(4*J55))-(P55)*SQRT(I55))/SQRT(1+K55^2/(2*J55))),0))-potencia)/((((1-NORMSDIST((K55*(1-1/(4*J55))-(P55+(0.001*P55))*SQRT(I55))/SQRT(1+K55^2/(2*J55))))+IF(colas=2,NORMSDIST((-K55*(1-1/(4*J55))-(P55+(0.001*P55))*SQRT(I55))/SQRT(1+K55^2/(2*J55))),0))-((1-NORMSDIST((K55*(1-1/(4*J55))-(P55-(0.001*P55))*SQRT(I55))/SQRT(1+K55^2/(2*J55))))+IF(colas=2,NORMSDIST((-K55*(1-1/(4*J55))-(P55-(0.001*P55))*SQRT(I55))/SQRT(1+K55^2/(2*J55))),0)))/(2*(0.001*P55))),P55)</f>
        <v>0</v>
      </c>
      <c r="R55" s="19">
        <f>IFERROR(Q55-(((1-NORMSDIST((K55*(1-1/(4*J55))-(Q55)*SQRT(I55))/SQRT(1+K55^2/(2*J55))))+IF(colas=2,NORMSDIST((-K55*(1-1/(4*J55))-(Q55)*SQRT(I55))/SQRT(1+K55^2/(2*J55))),0))-potencia)/((((1-NORMSDIST((K55*(1-1/(4*J55))-(Q55+(0.001*Q55))*SQRT(I55))/SQRT(1+K55^2/(2*J55))))+IF(colas=2,NORMSDIST((-K55*(1-1/(4*J55))-(Q55+(0.001*Q55))*SQRT(I55))/SQRT(1+K55^2/(2*J55))),0))-((1-NORMSDIST((K55*(1-1/(4*J55))-(Q55-(0.001*Q55))*SQRT(I55))/SQRT(1+K55^2/(2*J55))))+IF(colas=2,NORMSDIST((-K55*(1-1/(4*J55))-(Q55-(0.001*Q55))*SQRT(I55))/SQRT(1+K55^2/(2*J55))),0)))/(2*(0.001*Q55))),Q55)</f>
        <v>0</v>
      </c>
      <c r="S55" s="19">
        <f>R55</f>
        <v>0</v>
      </c>
    </row>
    <row r="56" spans="9:19">
      <c r="I56" s="12">
        <v>53</v>
      </c>
      <c r="J56" s="12">
        <f>I56-1</f>
        <v>0</v>
      </c>
      <c r="K56" s="19">
        <f>IF(colas=2,TINV(alfa,J56),TINV(2*alfa,J56))</f>
        <v>0</v>
      </c>
      <c r="L56" s="19">
        <f>IF(ISNUMBER($E$19),$E$19*SQRT(I56),"")</f>
        <v>0</v>
      </c>
      <c r="M56" s="19">
        <f>IF(ISNUMBER($E$19),((1-NORMSDIST((K56*(1-1/(4*J56))-($E$19)*SQRT(I56))/SQRT(1+K56^2/(2*J56))))+IF(colas=2,NORMSDIST((-K56*(1-1/(4*J56))-($E$19)*SQRT(I56))/SQRT(1+K56^2/(2*J56))),0)),"")</f>
        <v>0</v>
      </c>
      <c r="N56" s="12">
        <f>IF(ISNUMBER(M56),IF(M56&gt;=potencia,I56,""),"")</f>
        <v>0</v>
      </c>
      <c r="O56" s="19">
        <f>(K56+TINV(2*(1-potencia),J56))/SQRT(I56)</f>
        <v>0</v>
      </c>
      <c r="P56" s="19">
        <f>IFERROR(O56-(((1-NORMSDIST((K56*(1-1/(4*J56))-(O56)*SQRT(I56))/SQRT(1+K56^2/(2*J56))))+IF(colas=2,NORMSDIST((-K56*(1-1/(4*J56))-(O56)*SQRT(I56))/SQRT(1+K56^2/(2*J56))),0))-potencia)/((((1-NORMSDIST((K56*(1-1/(4*J56))-(O56+(0.001*O56))*SQRT(I56))/SQRT(1+K56^2/(2*J56))))+IF(colas=2,NORMSDIST((-K56*(1-1/(4*J56))-(O56+(0.001*O56))*SQRT(I56))/SQRT(1+K56^2/(2*J56))),0))-((1-NORMSDIST((K56*(1-1/(4*J56))-(O56-(0.001*O56))*SQRT(I56))/SQRT(1+K56^2/(2*J56))))+IF(colas=2,NORMSDIST((-K56*(1-1/(4*J56))-(O56-(0.001*O56))*SQRT(I56))/SQRT(1+K56^2/(2*J56))),0)))/(2*(0.001*O56))),O56)</f>
        <v>0</v>
      </c>
      <c r="Q56" s="19">
        <f>IFERROR(P56-(((1-NORMSDIST((K56*(1-1/(4*J56))-(P56)*SQRT(I56))/SQRT(1+K56^2/(2*J56))))+IF(colas=2,NORMSDIST((-K56*(1-1/(4*J56))-(P56)*SQRT(I56))/SQRT(1+K56^2/(2*J56))),0))-potencia)/((((1-NORMSDIST((K56*(1-1/(4*J56))-(P56+(0.001*P56))*SQRT(I56))/SQRT(1+K56^2/(2*J56))))+IF(colas=2,NORMSDIST((-K56*(1-1/(4*J56))-(P56+(0.001*P56))*SQRT(I56))/SQRT(1+K56^2/(2*J56))),0))-((1-NORMSDIST((K56*(1-1/(4*J56))-(P56-(0.001*P56))*SQRT(I56))/SQRT(1+K56^2/(2*J56))))+IF(colas=2,NORMSDIST((-K56*(1-1/(4*J56))-(P56-(0.001*P56))*SQRT(I56))/SQRT(1+K56^2/(2*J56))),0)))/(2*(0.001*P56))),P56)</f>
        <v>0</v>
      </c>
      <c r="R56" s="19">
        <f>IFERROR(Q56-(((1-NORMSDIST((K56*(1-1/(4*J56))-(Q56)*SQRT(I56))/SQRT(1+K56^2/(2*J56))))+IF(colas=2,NORMSDIST((-K56*(1-1/(4*J56))-(Q56)*SQRT(I56))/SQRT(1+K56^2/(2*J56))),0))-potencia)/((((1-NORMSDIST((K56*(1-1/(4*J56))-(Q56+(0.001*Q56))*SQRT(I56))/SQRT(1+K56^2/(2*J56))))+IF(colas=2,NORMSDIST((-K56*(1-1/(4*J56))-(Q56+(0.001*Q56))*SQRT(I56))/SQRT(1+K56^2/(2*J56))),0))-((1-NORMSDIST((K56*(1-1/(4*J56))-(Q56-(0.001*Q56))*SQRT(I56))/SQRT(1+K56^2/(2*J56))))+IF(colas=2,NORMSDIST((-K56*(1-1/(4*J56))-(Q56-(0.001*Q56))*SQRT(I56))/SQRT(1+K56^2/(2*J56))),0)))/(2*(0.001*Q56))),Q56)</f>
        <v>0</v>
      </c>
      <c r="S56" s="19">
        <f>R56</f>
        <v>0</v>
      </c>
    </row>
    <row r="57" spans="9:19">
      <c r="I57" s="12">
        <v>54</v>
      </c>
      <c r="J57" s="12">
        <f>I57-1</f>
        <v>0</v>
      </c>
      <c r="K57" s="19">
        <f>IF(colas=2,TINV(alfa,J57),TINV(2*alfa,J57))</f>
        <v>0</v>
      </c>
      <c r="L57" s="19">
        <f>IF(ISNUMBER($E$19),$E$19*SQRT(I57),"")</f>
        <v>0</v>
      </c>
      <c r="M57" s="19">
        <f>IF(ISNUMBER($E$19),((1-NORMSDIST((K57*(1-1/(4*J57))-($E$19)*SQRT(I57))/SQRT(1+K57^2/(2*J57))))+IF(colas=2,NORMSDIST((-K57*(1-1/(4*J57))-($E$19)*SQRT(I57))/SQRT(1+K57^2/(2*J57))),0)),"")</f>
        <v>0</v>
      </c>
      <c r="N57" s="12">
        <f>IF(ISNUMBER(M57),IF(M57&gt;=potencia,I57,""),"")</f>
        <v>0</v>
      </c>
      <c r="O57" s="19">
        <f>(K57+TINV(2*(1-potencia),J57))/SQRT(I57)</f>
        <v>0</v>
      </c>
      <c r="P57" s="19">
        <f>IFERROR(O57-(((1-NORMSDIST((K57*(1-1/(4*J57))-(O57)*SQRT(I57))/SQRT(1+K57^2/(2*J57))))+IF(colas=2,NORMSDIST((-K57*(1-1/(4*J57))-(O57)*SQRT(I57))/SQRT(1+K57^2/(2*J57))),0))-potencia)/((((1-NORMSDIST((K57*(1-1/(4*J57))-(O57+(0.001*O57))*SQRT(I57))/SQRT(1+K57^2/(2*J57))))+IF(colas=2,NORMSDIST((-K57*(1-1/(4*J57))-(O57+(0.001*O57))*SQRT(I57))/SQRT(1+K57^2/(2*J57))),0))-((1-NORMSDIST((K57*(1-1/(4*J57))-(O57-(0.001*O57))*SQRT(I57))/SQRT(1+K57^2/(2*J57))))+IF(colas=2,NORMSDIST((-K57*(1-1/(4*J57))-(O57-(0.001*O57))*SQRT(I57))/SQRT(1+K57^2/(2*J57))),0)))/(2*(0.001*O57))),O57)</f>
        <v>0</v>
      </c>
      <c r="Q57" s="19">
        <f>IFERROR(P57-(((1-NORMSDIST((K57*(1-1/(4*J57))-(P57)*SQRT(I57))/SQRT(1+K57^2/(2*J57))))+IF(colas=2,NORMSDIST((-K57*(1-1/(4*J57))-(P57)*SQRT(I57))/SQRT(1+K57^2/(2*J57))),0))-potencia)/((((1-NORMSDIST((K57*(1-1/(4*J57))-(P57+(0.001*P57))*SQRT(I57))/SQRT(1+K57^2/(2*J57))))+IF(colas=2,NORMSDIST((-K57*(1-1/(4*J57))-(P57+(0.001*P57))*SQRT(I57))/SQRT(1+K57^2/(2*J57))),0))-((1-NORMSDIST((K57*(1-1/(4*J57))-(P57-(0.001*P57))*SQRT(I57))/SQRT(1+K57^2/(2*J57))))+IF(colas=2,NORMSDIST((-K57*(1-1/(4*J57))-(P57-(0.001*P57))*SQRT(I57))/SQRT(1+K57^2/(2*J57))),0)))/(2*(0.001*P57))),P57)</f>
        <v>0</v>
      </c>
      <c r="R57" s="19">
        <f>IFERROR(Q57-(((1-NORMSDIST((K57*(1-1/(4*J57))-(Q57)*SQRT(I57))/SQRT(1+K57^2/(2*J57))))+IF(colas=2,NORMSDIST((-K57*(1-1/(4*J57))-(Q57)*SQRT(I57))/SQRT(1+K57^2/(2*J57))),0))-potencia)/((((1-NORMSDIST((K57*(1-1/(4*J57))-(Q57+(0.001*Q57))*SQRT(I57))/SQRT(1+K57^2/(2*J57))))+IF(colas=2,NORMSDIST((-K57*(1-1/(4*J57))-(Q57+(0.001*Q57))*SQRT(I57))/SQRT(1+K57^2/(2*J57))),0))-((1-NORMSDIST((K57*(1-1/(4*J57))-(Q57-(0.001*Q57))*SQRT(I57))/SQRT(1+K57^2/(2*J57))))+IF(colas=2,NORMSDIST((-K57*(1-1/(4*J57))-(Q57-(0.001*Q57))*SQRT(I57))/SQRT(1+K57^2/(2*J57))),0)))/(2*(0.001*Q57))),Q57)</f>
        <v>0</v>
      </c>
      <c r="S57" s="19">
        <f>R57</f>
        <v>0</v>
      </c>
    </row>
    <row r="58" spans="9:19">
      <c r="I58" s="12">
        <v>55</v>
      </c>
      <c r="J58" s="12">
        <f>I58-1</f>
        <v>0</v>
      </c>
      <c r="K58" s="19">
        <f>IF(colas=2,TINV(alfa,J58),TINV(2*alfa,J58))</f>
        <v>0</v>
      </c>
      <c r="L58" s="19">
        <f>IF(ISNUMBER($E$19),$E$19*SQRT(I58),"")</f>
        <v>0</v>
      </c>
      <c r="M58" s="19">
        <f>IF(ISNUMBER($E$19),((1-NORMSDIST((K58*(1-1/(4*J58))-($E$19)*SQRT(I58))/SQRT(1+K58^2/(2*J58))))+IF(colas=2,NORMSDIST((-K58*(1-1/(4*J58))-($E$19)*SQRT(I58))/SQRT(1+K58^2/(2*J58))),0)),"")</f>
        <v>0</v>
      </c>
      <c r="N58" s="12">
        <f>IF(ISNUMBER(M58),IF(M58&gt;=potencia,I58,""),"")</f>
        <v>0</v>
      </c>
      <c r="O58" s="19">
        <f>(K58+TINV(2*(1-potencia),J58))/SQRT(I58)</f>
        <v>0</v>
      </c>
      <c r="P58" s="19">
        <f>IFERROR(O58-(((1-NORMSDIST((K58*(1-1/(4*J58))-(O58)*SQRT(I58))/SQRT(1+K58^2/(2*J58))))+IF(colas=2,NORMSDIST((-K58*(1-1/(4*J58))-(O58)*SQRT(I58))/SQRT(1+K58^2/(2*J58))),0))-potencia)/((((1-NORMSDIST((K58*(1-1/(4*J58))-(O58+(0.001*O58))*SQRT(I58))/SQRT(1+K58^2/(2*J58))))+IF(colas=2,NORMSDIST((-K58*(1-1/(4*J58))-(O58+(0.001*O58))*SQRT(I58))/SQRT(1+K58^2/(2*J58))),0))-((1-NORMSDIST((K58*(1-1/(4*J58))-(O58-(0.001*O58))*SQRT(I58))/SQRT(1+K58^2/(2*J58))))+IF(colas=2,NORMSDIST((-K58*(1-1/(4*J58))-(O58-(0.001*O58))*SQRT(I58))/SQRT(1+K58^2/(2*J58))),0)))/(2*(0.001*O58))),O58)</f>
        <v>0</v>
      </c>
      <c r="Q58" s="19">
        <f>IFERROR(P58-(((1-NORMSDIST((K58*(1-1/(4*J58))-(P58)*SQRT(I58))/SQRT(1+K58^2/(2*J58))))+IF(colas=2,NORMSDIST((-K58*(1-1/(4*J58))-(P58)*SQRT(I58))/SQRT(1+K58^2/(2*J58))),0))-potencia)/((((1-NORMSDIST((K58*(1-1/(4*J58))-(P58+(0.001*P58))*SQRT(I58))/SQRT(1+K58^2/(2*J58))))+IF(colas=2,NORMSDIST((-K58*(1-1/(4*J58))-(P58+(0.001*P58))*SQRT(I58))/SQRT(1+K58^2/(2*J58))),0))-((1-NORMSDIST((K58*(1-1/(4*J58))-(P58-(0.001*P58))*SQRT(I58))/SQRT(1+K58^2/(2*J58))))+IF(colas=2,NORMSDIST((-K58*(1-1/(4*J58))-(P58-(0.001*P58))*SQRT(I58))/SQRT(1+K58^2/(2*J58))),0)))/(2*(0.001*P58))),P58)</f>
        <v>0</v>
      </c>
      <c r="R58" s="19">
        <f>IFERROR(Q58-(((1-NORMSDIST((K58*(1-1/(4*J58))-(Q58)*SQRT(I58))/SQRT(1+K58^2/(2*J58))))+IF(colas=2,NORMSDIST((-K58*(1-1/(4*J58))-(Q58)*SQRT(I58))/SQRT(1+K58^2/(2*J58))),0))-potencia)/((((1-NORMSDIST((K58*(1-1/(4*J58))-(Q58+(0.001*Q58))*SQRT(I58))/SQRT(1+K58^2/(2*J58))))+IF(colas=2,NORMSDIST((-K58*(1-1/(4*J58))-(Q58+(0.001*Q58))*SQRT(I58))/SQRT(1+K58^2/(2*J58))),0))-((1-NORMSDIST((K58*(1-1/(4*J58))-(Q58-(0.001*Q58))*SQRT(I58))/SQRT(1+K58^2/(2*J58))))+IF(colas=2,NORMSDIST((-K58*(1-1/(4*J58))-(Q58-(0.001*Q58))*SQRT(I58))/SQRT(1+K58^2/(2*J58))),0)))/(2*(0.001*Q58))),Q58)</f>
        <v>0</v>
      </c>
      <c r="S58" s="19">
        <f>R58</f>
        <v>0</v>
      </c>
    </row>
    <row r="59" spans="9:19">
      <c r="I59" s="12">
        <v>56</v>
      </c>
      <c r="J59" s="12">
        <f>I59-1</f>
        <v>0</v>
      </c>
      <c r="K59" s="19">
        <f>IF(colas=2,TINV(alfa,J59),TINV(2*alfa,J59))</f>
        <v>0</v>
      </c>
      <c r="L59" s="19">
        <f>IF(ISNUMBER($E$19),$E$19*SQRT(I59),"")</f>
        <v>0</v>
      </c>
      <c r="M59" s="19">
        <f>IF(ISNUMBER($E$19),((1-NORMSDIST((K59*(1-1/(4*J59))-($E$19)*SQRT(I59))/SQRT(1+K59^2/(2*J59))))+IF(colas=2,NORMSDIST((-K59*(1-1/(4*J59))-($E$19)*SQRT(I59))/SQRT(1+K59^2/(2*J59))),0)),"")</f>
        <v>0</v>
      </c>
      <c r="N59" s="12">
        <f>IF(ISNUMBER(M59),IF(M59&gt;=potencia,I59,""),"")</f>
        <v>0</v>
      </c>
      <c r="O59" s="19">
        <f>(K59+TINV(2*(1-potencia),J59))/SQRT(I59)</f>
        <v>0</v>
      </c>
      <c r="P59" s="19">
        <f>IFERROR(O59-(((1-NORMSDIST((K59*(1-1/(4*J59))-(O59)*SQRT(I59))/SQRT(1+K59^2/(2*J59))))+IF(colas=2,NORMSDIST((-K59*(1-1/(4*J59))-(O59)*SQRT(I59))/SQRT(1+K59^2/(2*J59))),0))-potencia)/((((1-NORMSDIST((K59*(1-1/(4*J59))-(O59+(0.001*O59))*SQRT(I59))/SQRT(1+K59^2/(2*J59))))+IF(colas=2,NORMSDIST((-K59*(1-1/(4*J59))-(O59+(0.001*O59))*SQRT(I59))/SQRT(1+K59^2/(2*J59))),0))-((1-NORMSDIST((K59*(1-1/(4*J59))-(O59-(0.001*O59))*SQRT(I59))/SQRT(1+K59^2/(2*J59))))+IF(colas=2,NORMSDIST((-K59*(1-1/(4*J59))-(O59-(0.001*O59))*SQRT(I59))/SQRT(1+K59^2/(2*J59))),0)))/(2*(0.001*O59))),O59)</f>
        <v>0</v>
      </c>
      <c r="Q59" s="19">
        <f>IFERROR(P59-(((1-NORMSDIST((K59*(1-1/(4*J59))-(P59)*SQRT(I59))/SQRT(1+K59^2/(2*J59))))+IF(colas=2,NORMSDIST((-K59*(1-1/(4*J59))-(P59)*SQRT(I59))/SQRT(1+K59^2/(2*J59))),0))-potencia)/((((1-NORMSDIST((K59*(1-1/(4*J59))-(P59+(0.001*P59))*SQRT(I59))/SQRT(1+K59^2/(2*J59))))+IF(colas=2,NORMSDIST((-K59*(1-1/(4*J59))-(P59+(0.001*P59))*SQRT(I59))/SQRT(1+K59^2/(2*J59))),0))-((1-NORMSDIST((K59*(1-1/(4*J59))-(P59-(0.001*P59))*SQRT(I59))/SQRT(1+K59^2/(2*J59))))+IF(colas=2,NORMSDIST((-K59*(1-1/(4*J59))-(P59-(0.001*P59))*SQRT(I59))/SQRT(1+K59^2/(2*J59))),0)))/(2*(0.001*P59))),P59)</f>
        <v>0</v>
      </c>
      <c r="R59" s="19">
        <f>IFERROR(Q59-(((1-NORMSDIST((K59*(1-1/(4*J59))-(Q59)*SQRT(I59))/SQRT(1+K59^2/(2*J59))))+IF(colas=2,NORMSDIST((-K59*(1-1/(4*J59))-(Q59)*SQRT(I59))/SQRT(1+K59^2/(2*J59))),0))-potencia)/((((1-NORMSDIST((K59*(1-1/(4*J59))-(Q59+(0.001*Q59))*SQRT(I59))/SQRT(1+K59^2/(2*J59))))+IF(colas=2,NORMSDIST((-K59*(1-1/(4*J59))-(Q59+(0.001*Q59))*SQRT(I59))/SQRT(1+K59^2/(2*J59))),0))-((1-NORMSDIST((K59*(1-1/(4*J59))-(Q59-(0.001*Q59))*SQRT(I59))/SQRT(1+K59^2/(2*J59))))+IF(colas=2,NORMSDIST((-K59*(1-1/(4*J59))-(Q59-(0.001*Q59))*SQRT(I59))/SQRT(1+K59^2/(2*J59))),0)))/(2*(0.001*Q59))),Q59)</f>
        <v>0</v>
      </c>
      <c r="S59" s="19">
        <f>R59</f>
        <v>0</v>
      </c>
    </row>
    <row r="60" spans="9:19">
      <c r="I60" s="12">
        <v>57</v>
      </c>
      <c r="J60" s="12">
        <f>I60-1</f>
        <v>0</v>
      </c>
      <c r="K60" s="19">
        <f>IF(colas=2,TINV(alfa,J60),TINV(2*alfa,J60))</f>
        <v>0</v>
      </c>
      <c r="L60" s="19">
        <f>IF(ISNUMBER($E$19),$E$19*SQRT(I60),"")</f>
        <v>0</v>
      </c>
      <c r="M60" s="19">
        <f>IF(ISNUMBER($E$19),((1-NORMSDIST((K60*(1-1/(4*J60))-($E$19)*SQRT(I60))/SQRT(1+K60^2/(2*J60))))+IF(colas=2,NORMSDIST((-K60*(1-1/(4*J60))-($E$19)*SQRT(I60))/SQRT(1+K60^2/(2*J60))),0)),"")</f>
        <v>0</v>
      </c>
      <c r="N60" s="12">
        <f>IF(ISNUMBER(M60),IF(M60&gt;=potencia,I60,""),"")</f>
        <v>0</v>
      </c>
      <c r="O60" s="19">
        <f>(K60+TINV(2*(1-potencia),J60))/SQRT(I60)</f>
        <v>0</v>
      </c>
      <c r="P60" s="19">
        <f>IFERROR(O60-(((1-NORMSDIST((K60*(1-1/(4*J60))-(O60)*SQRT(I60))/SQRT(1+K60^2/(2*J60))))+IF(colas=2,NORMSDIST((-K60*(1-1/(4*J60))-(O60)*SQRT(I60))/SQRT(1+K60^2/(2*J60))),0))-potencia)/((((1-NORMSDIST((K60*(1-1/(4*J60))-(O60+(0.001*O60))*SQRT(I60))/SQRT(1+K60^2/(2*J60))))+IF(colas=2,NORMSDIST((-K60*(1-1/(4*J60))-(O60+(0.001*O60))*SQRT(I60))/SQRT(1+K60^2/(2*J60))),0))-((1-NORMSDIST((K60*(1-1/(4*J60))-(O60-(0.001*O60))*SQRT(I60))/SQRT(1+K60^2/(2*J60))))+IF(colas=2,NORMSDIST((-K60*(1-1/(4*J60))-(O60-(0.001*O60))*SQRT(I60))/SQRT(1+K60^2/(2*J60))),0)))/(2*(0.001*O60))),O60)</f>
        <v>0</v>
      </c>
      <c r="Q60" s="19">
        <f>IFERROR(P60-(((1-NORMSDIST((K60*(1-1/(4*J60))-(P60)*SQRT(I60))/SQRT(1+K60^2/(2*J60))))+IF(colas=2,NORMSDIST((-K60*(1-1/(4*J60))-(P60)*SQRT(I60))/SQRT(1+K60^2/(2*J60))),0))-potencia)/((((1-NORMSDIST((K60*(1-1/(4*J60))-(P60+(0.001*P60))*SQRT(I60))/SQRT(1+K60^2/(2*J60))))+IF(colas=2,NORMSDIST((-K60*(1-1/(4*J60))-(P60+(0.001*P60))*SQRT(I60))/SQRT(1+K60^2/(2*J60))),0))-((1-NORMSDIST((K60*(1-1/(4*J60))-(P60-(0.001*P60))*SQRT(I60))/SQRT(1+K60^2/(2*J60))))+IF(colas=2,NORMSDIST((-K60*(1-1/(4*J60))-(P60-(0.001*P60))*SQRT(I60))/SQRT(1+K60^2/(2*J60))),0)))/(2*(0.001*P60))),P60)</f>
        <v>0</v>
      </c>
      <c r="R60" s="19">
        <f>IFERROR(Q60-(((1-NORMSDIST((K60*(1-1/(4*J60))-(Q60)*SQRT(I60))/SQRT(1+K60^2/(2*J60))))+IF(colas=2,NORMSDIST((-K60*(1-1/(4*J60))-(Q60)*SQRT(I60))/SQRT(1+K60^2/(2*J60))),0))-potencia)/((((1-NORMSDIST((K60*(1-1/(4*J60))-(Q60+(0.001*Q60))*SQRT(I60))/SQRT(1+K60^2/(2*J60))))+IF(colas=2,NORMSDIST((-K60*(1-1/(4*J60))-(Q60+(0.001*Q60))*SQRT(I60))/SQRT(1+K60^2/(2*J60))),0))-((1-NORMSDIST((K60*(1-1/(4*J60))-(Q60-(0.001*Q60))*SQRT(I60))/SQRT(1+K60^2/(2*J60))))+IF(colas=2,NORMSDIST((-K60*(1-1/(4*J60))-(Q60-(0.001*Q60))*SQRT(I60))/SQRT(1+K60^2/(2*J60))),0)))/(2*(0.001*Q60))),Q60)</f>
        <v>0</v>
      </c>
      <c r="S60" s="19">
        <f>R60</f>
        <v>0</v>
      </c>
    </row>
    <row r="61" spans="9:19">
      <c r="I61" s="12">
        <v>58</v>
      </c>
      <c r="J61" s="12">
        <f>I61-1</f>
        <v>0</v>
      </c>
      <c r="K61" s="19">
        <f>IF(colas=2,TINV(alfa,J61),TINV(2*alfa,J61))</f>
        <v>0</v>
      </c>
      <c r="L61" s="19">
        <f>IF(ISNUMBER($E$19),$E$19*SQRT(I61),"")</f>
        <v>0</v>
      </c>
      <c r="M61" s="19">
        <f>IF(ISNUMBER($E$19),((1-NORMSDIST((K61*(1-1/(4*J61))-($E$19)*SQRT(I61))/SQRT(1+K61^2/(2*J61))))+IF(colas=2,NORMSDIST((-K61*(1-1/(4*J61))-($E$19)*SQRT(I61))/SQRT(1+K61^2/(2*J61))),0)),"")</f>
        <v>0</v>
      </c>
      <c r="N61" s="12">
        <f>IF(ISNUMBER(M61),IF(M61&gt;=potencia,I61,""),"")</f>
        <v>0</v>
      </c>
      <c r="O61" s="19">
        <f>(K61+TINV(2*(1-potencia),J61))/SQRT(I61)</f>
        <v>0</v>
      </c>
      <c r="P61" s="19">
        <f>IFERROR(O61-(((1-NORMSDIST((K61*(1-1/(4*J61))-(O61)*SQRT(I61))/SQRT(1+K61^2/(2*J61))))+IF(colas=2,NORMSDIST((-K61*(1-1/(4*J61))-(O61)*SQRT(I61))/SQRT(1+K61^2/(2*J61))),0))-potencia)/((((1-NORMSDIST((K61*(1-1/(4*J61))-(O61+(0.001*O61))*SQRT(I61))/SQRT(1+K61^2/(2*J61))))+IF(colas=2,NORMSDIST((-K61*(1-1/(4*J61))-(O61+(0.001*O61))*SQRT(I61))/SQRT(1+K61^2/(2*J61))),0))-((1-NORMSDIST((K61*(1-1/(4*J61))-(O61-(0.001*O61))*SQRT(I61))/SQRT(1+K61^2/(2*J61))))+IF(colas=2,NORMSDIST((-K61*(1-1/(4*J61))-(O61-(0.001*O61))*SQRT(I61))/SQRT(1+K61^2/(2*J61))),0)))/(2*(0.001*O61))),O61)</f>
        <v>0</v>
      </c>
      <c r="Q61" s="19">
        <f>IFERROR(P61-(((1-NORMSDIST((K61*(1-1/(4*J61))-(P61)*SQRT(I61))/SQRT(1+K61^2/(2*J61))))+IF(colas=2,NORMSDIST((-K61*(1-1/(4*J61))-(P61)*SQRT(I61))/SQRT(1+K61^2/(2*J61))),0))-potencia)/((((1-NORMSDIST((K61*(1-1/(4*J61))-(P61+(0.001*P61))*SQRT(I61))/SQRT(1+K61^2/(2*J61))))+IF(colas=2,NORMSDIST((-K61*(1-1/(4*J61))-(P61+(0.001*P61))*SQRT(I61))/SQRT(1+K61^2/(2*J61))),0))-((1-NORMSDIST((K61*(1-1/(4*J61))-(P61-(0.001*P61))*SQRT(I61))/SQRT(1+K61^2/(2*J61))))+IF(colas=2,NORMSDIST((-K61*(1-1/(4*J61))-(P61-(0.001*P61))*SQRT(I61))/SQRT(1+K61^2/(2*J61))),0)))/(2*(0.001*P61))),P61)</f>
        <v>0</v>
      </c>
      <c r="R61" s="19">
        <f>IFERROR(Q61-(((1-NORMSDIST((K61*(1-1/(4*J61))-(Q61)*SQRT(I61))/SQRT(1+K61^2/(2*J61))))+IF(colas=2,NORMSDIST((-K61*(1-1/(4*J61))-(Q61)*SQRT(I61))/SQRT(1+K61^2/(2*J61))),0))-potencia)/((((1-NORMSDIST((K61*(1-1/(4*J61))-(Q61+(0.001*Q61))*SQRT(I61))/SQRT(1+K61^2/(2*J61))))+IF(colas=2,NORMSDIST((-K61*(1-1/(4*J61))-(Q61+(0.001*Q61))*SQRT(I61))/SQRT(1+K61^2/(2*J61))),0))-((1-NORMSDIST((K61*(1-1/(4*J61))-(Q61-(0.001*Q61))*SQRT(I61))/SQRT(1+K61^2/(2*J61))))+IF(colas=2,NORMSDIST((-K61*(1-1/(4*J61))-(Q61-(0.001*Q61))*SQRT(I61))/SQRT(1+K61^2/(2*J61))),0)))/(2*(0.001*Q61))),Q61)</f>
        <v>0</v>
      </c>
      <c r="S61" s="19">
        <f>R61</f>
        <v>0</v>
      </c>
    </row>
    <row r="62" spans="9:19">
      <c r="I62" s="12">
        <v>59</v>
      </c>
      <c r="J62" s="12">
        <f>I62-1</f>
        <v>0</v>
      </c>
      <c r="K62" s="19">
        <f>IF(colas=2,TINV(alfa,J62),TINV(2*alfa,J62))</f>
        <v>0</v>
      </c>
      <c r="L62" s="19">
        <f>IF(ISNUMBER($E$19),$E$19*SQRT(I62),"")</f>
        <v>0</v>
      </c>
      <c r="M62" s="19">
        <f>IF(ISNUMBER($E$19),((1-NORMSDIST((K62*(1-1/(4*J62))-($E$19)*SQRT(I62))/SQRT(1+K62^2/(2*J62))))+IF(colas=2,NORMSDIST((-K62*(1-1/(4*J62))-($E$19)*SQRT(I62))/SQRT(1+K62^2/(2*J62))),0)),"")</f>
        <v>0</v>
      </c>
      <c r="N62" s="12">
        <f>IF(ISNUMBER(M62),IF(M62&gt;=potencia,I62,""),"")</f>
        <v>0</v>
      </c>
      <c r="O62" s="19">
        <f>(K62+TINV(2*(1-potencia),J62))/SQRT(I62)</f>
        <v>0</v>
      </c>
      <c r="P62" s="19">
        <f>IFERROR(O62-(((1-NORMSDIST((K62*(1-1/(4*J62))-(O62)*SQRT(I62))/SQRT(1+K62^2/(2*J62))))+IF(colas=2,NORMSDIST((-K62*(1-1/(4*J62))-(O62)*SQRT(I62))/SQRT(1+K62^2/(2*J62))),0))-potencia)/((((1-NORMSDIST((K62*(1-1/(4*J62))-(O62+(0.001*O62))*SQRT(I62))/SQRT(1+K62^2/(2*J62))))+IF(colas=2,NORMSDIST((-K62*(1-1/(4*J62))-(O62+(0.001*O62))*SQRT(I62))/SQRT(1+K62^2/(2*J62))),0))-((1-NORMSDIST((K62*(1-1/(4*J62))-(O62-(0.001*O62))*SQRT(I62))/SQRT(1+K62^2/(2*J62))))+IF(colas=2,NORMSDIST((-K62*(1-1/(4*J62))-(O62-(0.001*O62))*SQRT(I62))/SQRT(1+K62^2/(2*J62))),0)))/(2*(0.001*O62))),O62)</f>
        <v>0</v>
      </c>
      <c r="Q62" s="19">
        <f>IFERROR(P62-(((1-NORMSDIST((K62*(1-1/(4*J62))-(P62)*SQRT(I62))/SQRT(1+K62^2/(2*J62))))+IF(colas=2,NORMSDIST((-K62*(1-1/(4*J62))-(P62)*SQRT(I62))/SQRT(1+K62^2/(2*J62))),0))-potencia)/((((1-NORMSDIST((K62*(1-1/(4*J62))-(P62+(0.001*P62))*SQRT(I62))/SQRT(1+K62^2/(2*J62))))+IF(colas=2,NORMSDIST((-K62*(1-1/(4*J62))-(P62+(0.001*P62))*SQRT(I62))/SQRT(1+K62^2/(2*J62))),0))-((1-NORMSDIST((K62*(1-1/(4*J62))-(P62-(0.001*P62))*SQRT(I62))/SQRT(1+K62^2/(2*J62))))+IF(colas=2,NORMSDIST((-K62*(1-1/(4*J62))-(P62-(0.001*P62))*SQRT(I62))/SQRT(1+K62^2/(2*J62))),0)))/(2*(0.001*P62))),P62)</f>
        <v>0</v>
      </c>
      <c r="R62" s="19">
        <f>IFERROR(Q62-(((1-NORMSDIST((K62*(1-1/(4*J62))-(Q62)*SQRT(I62))/SQRT(1+K62^2/(2*J62))))+IF(colas=2,NORMSDIST((-K62*(1-1/(4*J62))-(Q62)*SQRT(I62))/SQRT(1+K62^2/(2*J62))),0))-potencia)/((((1-NORMSDIST((K62*(1-1/(4*J62))-(Q62+(0.001*Q62))*SQRT(I62))/SQRT(1+K62^2/(2*J62))))+IF(colas=2,NORMSDIST((-K62*(1-1/(4*J62))-(Q62+(0.001*Q62))*SQRT(I62))/SQRT(1+K62^2/(2*J62))),0))-((1-NORMSDIST((K62*(1-1/(4*J62))-(Q62-(0.001*Q62))*SQRT(I62))/SQRT(1+K62^2/(2*J62))))+IF(colas=2,NORMSDIST((-K62*(1-1/(4*J62))-(Q62-(0.001*Q62))*SQRT(I62))/SQRT(1+K62^2/(2*J62))),0)))/(2*(0.001*Q62))),Q62)</f>
        <v>0</v>
      </c>
      <c r="S62" s="19">
        <f>R62</f>
        <v>0</v>
      </c>
    </row>
    <row r="63" spans="9:19">
      <c r="I63" s="12">
        <v>60</v>
      </c>
      <c r="J63" s="12">
        <f>I63-1</f>
        <v>0</v>
      </c>
      <c r="K63" s="19">
        <f>IF(colas=2,TINV(alfa,J63),TINV(2*alfa,J63))</f>
        <v>0</v>
      </c>
      <c r="L63" s="19">
        <f>IF(ISNUMBER($E$19),$E$19*SQRT(I63),"")</f>
        <v>0</v>
      </c>
      <c r="M63" s="19">
        <f>IF(ISNUMBER($E$19),((1-NORMSDIST((K63*(1-1/(4*J63))-($E$19)*SQRT(I63))/SQRT(1+K63^2/(2*J63))))+IF(colas=2,NORMSDIST((-K63*(1-1/(4*J63))-($E$19)*SQRT(I63))/SQRT(1+K63^2/(2*J63))),0)),"")</f>
        <v>0</v>
      </c>
      <c r="N63" s="12">
        <f>IF(ISNUMBER(M63),IF(M63&gt;=potencia,I63,""),"")</f>
        <v>0</v>
      </c>
      <c r="O63" s="19">
        <f>(K63+TINV(2*(1-potencia),J63))/SQRT(I63)</f>
        <v>0</v>
      </c>
      <c r="P63" s="19">
        <f>IFERROR(O63-(((1-NORMSDIST((K63*(1-1/(4*J63))-(O63)*SQRT(I63))/SQRT(1+K63^2/(2*J63))))+IF(colas=2,NORMSDIST((-K63*(1-1/(4*J63))-(O63)*SQRT(I63))/SQRT(1+K63^2/(2*J63))),0))-potencia)/((((1-NORMSDIST((K63*(1-1/(4*J63))-(O63+(0.001*O63))*SQRT(I63))/SQRT(1+K63^2/(2*J63))))+IF(colas=2,NORMSDIST((-K63*(1-1/(4*J63))-(O63+(0.001*O63))*SQRT(I63))/SQRT(1+K63^2/(2*J63))),0))-((1-NORMSDIST((K63*(1-1/(4*J63))-(O63-(0.001*O63))*SQRT(I63))/SQRT(1+K63^2/(2*J63))))+IF(colas=2,NORMSDIST((-K63*(1-1/(4*J63))-(O63-(0.001*O63))*SQRT(I63))/SQRT(1+K63^2/(2*J63))),0)))/(2*(0.001*O63))),O63)</f>
        <v>0</v>
      </c>
      <c r="Q63" s="19">
        <f>IFERROR(P63-(((1-NORMSDIST((K63*(1-1/(4*J63))-(P63)*SQRT(I63))/SQRT(1+K63^2/(2*J63))))+IF(colas=2,NORMSDIST((-K63*(1-1/(4*J63))-(P63)*SQRT(I63))/SQRT(1+K63^2/(2*J63))),0))-potencia)/((((1-NORMSDIST((K63*(1-1/(4*J63))-(P63+(0.001*P63))*SQRT(I63))/SQRT(1+K63^2/(2*J63))))+IF(colas=2,NORMSDIST((-K63*(1-1/(4*J63))-(P63+(0.001*P63))*SQRT(I63))/SQRT(1+K63^2/(2*J63))),0))-((1-NORMSDIST((K63*(1-1/(4*J63))-(P63-(0.001*P63))*SQRT(I63))/SQRT(1+K63^2/(2*J63))))+IF(colas=2,NORMSDIST((-K63*(1-1/(4*J63))-(P63-(0.001*P63))*SQRT(I63))/SQRT(1+K63^2/(2*J63))),0)))/(2*(0.001*P63))),P63)</f>
        <v>0</v>
      </c>
      <c r="R63" s="19">
        <f>IFERROR(Q63-(((1-NORMSDIST((K63*(1-1/(4*J63))-(Q63)*SQRT(I63))/SQRT(1+K63^2/(2*J63))))+IF(colas=2,NORMSDIST((-K63*(1-1/(4*J63))-(Q63)*SQRT(I63))/SQRT(1+K63^2/(2*J63))),0))-potencia)/((((1-NORMSDIST((K63*(1-1/(4*J63))-(Q63+(0.001*Q63))*SQRT(I63))/SQRT(1+K63^2/(2*J63))))+IF(colas=2,NORMSDIST((-K63*(1-1/(4*J63))-(Q63+(0.001*Q63))*SQRT(I63))/SQRT(1+K63^2/(2*J63))),0))-((1-NORMSDIST((K63*(1-1/(4*J63))-(Q63-(0.001*Q63))*SQRT(I63))/SQRT(1+K63^2/(2*J63))))+IF(colas=2,NORMSDIST((-K63*(1-1/(4*J63))-(Q63-(0.001*Q63))*SQRT(I63))/SQRT(1+K63^2/(2*J63))),0)))/(2*(0.001*Q63))),Q63)</f>
        <v>0</v>
      </c>
      <c r="S63" s="19">
        <f>R63</f>
        <v>0</v>
      </c>
    </row>
    <row r="64" spans="9:19">
      <c r="I64" s="12">
        <v>61</v>
      </c>
      <c r="J64" s="12">
        <f>I64-1</f>
        <v>0</v>
      </c>
      <c r="K64" s="19">
        <f>IF(colas=2,TINV(alfa,J64),TINV(2*alfa,J64))</f>
        <v>0</v>
      </c>
      <c r="L64" s="19">
        <f>IF(ISNUMBER($E$19),$E$19*SQRT(I64),"")</f>
        <v>0</v>
      </c>
      <c r="M64" s="19">
        <f>IF(ISNUMBER($E$19),((1-NORMSDIST((K64*(1-1/(4*J64))-($E$19)*SQRT(I64))/SQRT(1+K64^2/(2*J64))))+IF(colas=2,NORMSDIST((-K64*(1-1/(4*J64))-($E$19)*SQRT(I64))/SQRT(1+K64^2/(2*J64))),0)),"")</f>
        <v>0</v>
      </c>
      <c r="N64" s="12">
        <f>IF(ISNUMBER(M64),IF(M64&gt;=potencia,I64,""),"")</f>
        <v>0</v>
      </c>
      <c r="O64" s="19">
        <f>(K64+TINV(2*(1-potencia),J64))/SQRT(I64)</f>
        <v>0</v>
      </c>
      <c r="P64" s="19">
        <f>IFERROR(O64-(((1-NORMSDIST((K64*(1-1/(4*J64))-(O64)*SQRT(I64))/SQRT(1+K64^2/(2*J64))))+IF(colas=2,NORMSDIST((-K64*(1-1/(4*J64))-(O64)*SQRT(I64))/SQRT(1+K64^2/(2*J64))),0))-potencia)/((((1-NORMSDIST((K64*(1-1/(4*J64))-(O64+(0.001*O64))*SQRT(I64))/SQRT(1+K64^2/(2*J64))))+IF(colas=2,NORMSDIST((-K64*(1-1/(4*J64))-(O64+(0.001*O64))*SQRT(I64))/SQRT(1+K64^2/(2*J64))),0))-((1-NORMSDIST((K64*(1-1/(4*J64))-(O64-(0.001*O64))*SQRT(I64))/SQRT(1+K64^2/(2*J64))))+IF(colas=2,NORMSDIST((-K64*(1-1/(4*J64))-(O64-(0.001*O64))*SQRT(I64))/SQRT(1+K64^2/(2*J64))),0)))/(2*(0.001*O64))),O64)</f>
        <v>0</v>
      </c>
      <c r="Q64" s="19">
        <f>IFERROR(P64-(((1-NORMSDIST((K64*(1-1/(4*J64))-(P64)*SQRT(I64))/SQRT(1+K64^2/(2*J64))))+IF(colas=2,NORMSDIST((-K64*(1-1/(4*J64))-(P64)*SQRT(I64))/SQRT(1+K64^2/(2*J64))),0))-potencia)/((((1-NORMSDIST((K64*(1-1/(4*J64))-(P64+(0.001*P64))*SQRT(I64))/SQRT(1+K64^2/(2*J64))))+IF(colas=2,NORMSDIST((-K64*(1-1/(4*J64))-(P64+(0.001*P64))*SQRT(I64))/SQRT(1+K64^2/(2*J64))),0))-((1-NORMSDIST((K64*(1-1/(4*J64))-(P64-(0.001*P64))*SQRT(I64))/SQRT(1+K64^2/(2*J64))))+IF(colas=2,NORMSDIST((-K64*(1-1/(4*J64))-(P64-(0.001*P64))*SQRT(I64))/SQRT(1+K64^2/(2*J64))),0)))/(2*(0.001*P64))),P64)</f>
        <v>0</v>
      </c>
      <c r="R64" s="19">
        <f>IFERROR(Q64-(((1-NORMSDIST((K64*(1-1/(4*J64))-(Q64)*SQRT(I64))/SQRT(1+K64^2/(2*J64))))+IF(colas=2,NORMSDIST((-K64*(1-1/(4*J64))-(Q64)*SQRT(I64))/SQRT(1+K64^2/(2*J64))),0))-potencia)/((((1-NORMSDIST((K64*(1-1/(4*J64))-(Q64+(0.001*Q64))*SQRT(I64))/SQRT(1+K64^2/(2*J64))))+IF(colas=2,NORMSDIST((-K64*(1-1/(4*J64))-(Q64+(0.001*Q64))*SQRT(I64))/SQRT(1+K64^2/(2*J64))),0))-((1-NORMSDIST((K64*(1-1/(4*J64))-(Q64-(0.001*Q64))*SQRT(I64))/SQRT(1+K64^2/(2*J64))))+IF(colas=2,NORMSDIST((-K64*(1-1/(4*J64))-(Q64-(0.001*Q64))*SQRT(I64))/SQRT(1+K64^2/(2*J64))),0)))/(2*(0.001*Q64))),Q64)</f>
        <v>0</v>
      </c>
      <c r="S64" s="19">
        <f>R64</f>
        <v>0</v>
      </c>
    </row>
    <row r="65" spans="9:19">
      <c r="I65" s="12">
        <v>62</v>
      </c>
      <c r="J65" s="12">
        <f>I65-1</f>
        <v>0</v>
      </c>
      <c r="K65" s="19">
        <f>IF(colas=2,TINV(alfa,J65),TINV(2*alfa,J65))</f>
        <v>0</v>
      </c>
      <c r="L65" s="19">
        <f>IF(ISNUMBER($E$19),$E$19*SQRT(I65),"")</f>
        <v>0</v>
      </c>
      <c r="M65" s="19">
        <f>IF(ISNUMBER($E$19),((1-NORMSDIST((K65*(1-1/(4*J65))-($E$19)*SQRT(I65))/SQRT(1+K65^2/(2*J65))))+IF(colas=2,NORMSDIST((-K65*(1-1/(4*J65))-($E$19)*SQRT(I65))/SQRT(1+K65^2/(2*J65))),0)),"")</f>
        <v>0</v>
      </c>
      <c r="N65" s="12">
        <f>IF(ISNUMBER(M65),IF(M65&gt;=potencia,I65,""),"")</f>
        <v>0</v>
      </c>
      <c r="O65" s="19">
        <f>(K65+TINV(2*(1-potencia),J65))/SQRT(I65)</f>
        <v>0</v>
      </c>
      <c r="P65" s="19">
        <f>IFERROR(O65-(((1-NORMSDIST((K65*(1-1/(4*J65))-(O65)*SQRT(I65))/SQRT(1+K65^2/(2*J65))))+IF(colas=2,NORMSDIST((-K65*(1-1/(4*J65))-(O65)*SQRT(I65))/SQRT(1+K65^2/(2*J65))),0))-potencia)/((((1-NORMSDIST((K65*(1-1/(4*J65))-(O65+(0.001*O65))*SQRT(I65))/SQRT(1+K65^2/(2*J65))))+IF(colas=2,NORMSDIST((-K65*(1-1/(4*J65))-(O65+(0.001*O65))*SQRT(I65))/SQRT(1+K65^2/(2*J65))),0))-((1-NORMSDIST((K65*(1-1/(4*J65))-(O65-(0.001*O65))*SQRT(I65))/SQRT(1+K65^2/(2*J65))))+IF(colas=2,NORMSDIST((-K65*(1-1/(4*J65))-(O65-(0.001*O65))*SQRT(I65))/SQRT(1+K65^2/(2*J65))),0)))/(2*(0.001*O65))),O65)</f>
        <v>0</v>
      </c>
      <c r="Q65" s="19">
        <f>IFERROR(P65-(((1-NORMSDIST((K65*(1-1/(4*J65))-(P65)*SQRT(I65))/SQRT(1+K65^2/(2*J65))))+IF(colas=2,NORMSDIST((-K65*(1-1/(4*J65))-(P65)*SQRT(I65))/SQRT(1+K65^2/(2*J65))),0))-potencia)/((((1-NORMSDIST((K65*(1-1/(4*J65))-(P65+(0.001*P65))*SQRT(I65))/SQRT(1+K65^2/(2*J65))))+IF(colas=2,NORMSDIST((-K65*(1-1/(4*J65))-(P65+(0.001*P65))*SQRT(I65))/SQRT(1+K65^2/(2*J65))),0))-((1-NORMSDIST((K65*(1-1/(4*J65))-(P65-(0.001*P65))*SQRT(I65))/SQRT(1+K65^2/(2*J65))))+IF(colas=2,NORMSDIST((-K65*(1-1/(4*J65))-(P65-(0.001*P65))*SQRT(I65))/SQRT(1+K65^2/(2*J65))),0)))/(2*(0.001*P65))),P65)</f>
        <v>0</v>
      </c>
      <c r="R65" s="19">
        <f>IFERROR(Q65-(((1-NORMSDIST((K65*(1-1/(4*J65))-(Q65)*SQRT(I65))/SQRT(1+K65^2/(2*J65))))+IF(colas=2,NORMSDIST((-K65*(1-1/(4*J65))-(Q65)*SQRT(I65))/SQRT(1+K65^2/(2*J65))),0))-potencia)/((((1-NORMSDIST((K65*(1-1/(4*J65))-(Q65+(0.001*Q65))*SQRT(I65))/SQRT(1+K65^2/(2*J65))))+IF(colas=2,NORMSDIST((-K65*(1-1/(4*J65))-(Q65+(0.001*Q65))*SQRT(I65))/SQRT(1+K65^2/(2*J65))),0))-((1-NORMSDIST((K65*(1-1/(4*J65))-(Q65-(0.001*Q65))*SQRT(I65))/SQRT(1+K65^2/(2*J65))))+IF(colas=2,NORMSDIST((-K65*(1-1/(4*J65))-(Q65-(0.001*Q65))*SQRT(I65))/SQRT(1+K65^2/(2*J65))),0)))/(2*(0.001*Q65))),Q65)</f>
        <v>0</v>
      </c>
      <c r="S65" s="19">
        <f>R65</f>
        <v>0</v>
      </c>
    </row>
    <row r="66" spans="9:19">
      <c r="I66" s="12">
        <v>63</v>
      </c>
      <c r="J66" s="12">
        <f>I66-1</f>
        <v>0</v>
      </c>
      <c r="K66" s="19">
        <f>IF(colas=2,TINV(alfa,J66),TINV(2*alfa,J66))</f>
        <v>0</v>
      </c>
      <c r="L66" s="19">
        <f>IF(ISNUMBER($E$19),$E$19*SQRT(I66),"")</f>
        <v>0</v>
      </c>
      <c r="M66" s="19">
        <f>IF(ISNUMBER($E$19),((1-NORMSDIST((K66*(1-1/(4*J66))-($E$19)*SQRT(I66))/SQRT(1+K66^2/(2*J66))))+IF(colas=2,NORMSDIST((-K66*(1-1/(4*J66))-($E$19)*SQRT(I66))/SQRT(1+K66^2/(2*J66))),0)),"")</f>
        <v>0</v>
      </c>
      <c r="N66" s="12">
        <f>IF(ISNUMBER(M66),IF(M66&gt;=potencia,I66,""),"")</f>
        <v>0</v>
      </c>
      <c r="O66" s="19">
        <f>(K66+TINV(2*(1-potencia),J66))/SQRT(I66)</f>
        <v>0</v>
      </c>
      <c r="P66" s="19">
        <f>IFERROR(O66-(((1-NORMSDIST((K66*(1-1/(4*J66))-(O66)*SQRT(I66))/SQRT(1+K66^2/(2*J66))))+IF(colas=2,NORMSDIST((-K66*(1-1/(4*J66))-(O66)*SQRT(I66))/SQRT(1+K66^2/(2*J66))),0))-potencia)/((((1-NORMSDIST((K66*(1-1/(4*J66))-(O66+(0.001*O66))*SQRT(I66))/SQRT(1+K66^2/(2*J66))))+IF(colas=2,NORMSDIST((-K66*(1-1/(4*J66))-(O66+(0.001*O66))*SQRT(I66))/SQRT(1+K66^2/(2*J66))),0))-((1-NORMSDIST((K66*(1-1/(4*J66))-(O66-(0.001*O66))*SQRT(I66))/SQRT(1+K66^2/(2*J66))))+IF(colas=2,NORMSDIST((-K66*(1-1/(4*J66))-(O66-(0.001*O66))*SQRT(I66))/SQRT(1+K66^2/(2*J66))),0)))/(2*(0.001*O66))),O66)</f>
        <v>0</v>
      </c>
      <c r="Q66" s="19">
        <f>IFERROR(P66-(((1-NORMSDIST((K66*(1-1/(4*J66))-(P66)*SQRT(I66))/SQRT(1+K66^2/(2*J66))))+IF(colas=2,NORMSDIST((-K66*(1-1/(4*J66))-(P66)*SQRT(I66))/SQRT(1+K66^2/(2*J66))),0))-potencia)/((((1-NORMSDIST((K66*(1-1/(4*J66))-(P66+(0.001*P66))*SQRT(I66))/SQRT(1+K66^2/(2*J66))))+IF(colas=2,NORMSDIST((-K66*(1-1/(4*J66))-(P66+(0.001*P66))*SQRT(I66))/SQRT(1+K66^2/(2*J66))),0))-((1-NORMSDIST((K66*(1-1/(4*J66))-(P66-(0.001*P66))*SQRT(I66))/SQRT(1+K66^2/(2*J66))))+IF(colas=2,NORMSDIST((-K66*(1-1/(4*J66))-(P66-(0.001*P66))*SQRT(I66))/SQRT(1+K66^2/(2*J66))),0)))/(2*(0.001*P66))),P66)</f>
        <v>0</v>
      </c>
      <c r="R66" s="19">
        <f>IFERROR(Q66-(((1-NORMSDIST((K66*(1-1/(4*J66))-(Q66)*SQRT(I66))/SQRT(1+K66^2/(2*J66))))+IF(colas=2,NORMSDIST((-K66*(1-1/(4*J66))-(Q66)*SQRT(I66))/SQRT(1+K66^2/(2*J66))),0))-potencia)/((((1-NORMSDIST((K66*(1-1/(4*J66))-(Q66+(0.001*Q66))*SQRT(I66))/SQRT(1+K66^2/(2*J66))))+IF(colas=2,NORMSDIST((-K66*(1-1/(4*J66))-(Q66+(0.001*Q66))*SQRT(I66))/SQRT(1+K66^2/(2*J66))),0))-((1-NORMSDIST((K66*(1-1/(4*J66))-(Q66-(0.001*Q66))*SQRT(I66))/SQRT(1+K66^2/(2*J66))))+IF(colas=2,NORMSDIST((-K66*(1-1/(4*J66))-(Q66-(0.001*Q66))*SQRT(I66))/SQRT(1+K66^2/(2*J66))),0)))/(2*(0.001*Q66))),Q66)</f>
        <v>0</v>
      </c>
      <c r="S66" s="19">
        <f>R66</f>
        <v>0</v>
      </c>
    </row>
    <row r="67" spans="9:19">
      <c r="I67" s="12">
        <v>64</v>
      </c>
      <c r="J67" s="12">
        <f>I67-1</f>
        <v>0</v>
      </c>
      <c r="K67" s="19">
        <f>IF(colas=2,TINV(alfa,J67),TINV(2*alfa,J67))</f>
        <v>0</v>
      </c>
      <c r="L67" s="19">
        <f>IF(ISNUMBER($E$19),$E$19*SQRT(I67),"")</f>
        <v>0</v>
      </c>
      <c r="M67" s="19">
        <f>IF(ISNUMBER($E$19),((1-NORMSDIST((K67*(1-1/(4*J67))-($E$19)*SQRT(I67))/SQRT(1+K67^2/(2*J67))))+IF(colas=2,NORMSDIST((-K67*(1-1/(4*J67))-($E$19)*SQRT(I67))/SQRT(1+K67^2/(2*J67))),0)),"")</f>
        <v>0</v>
      </c>
      <c r="N67" s="12">
        <f>IF(ISNUMBER(M67),IF(M67&gt;=potencia,I67,""),"")</f>
        <v>0</v>
      </c>
      <c r="O67" s="19">
        <f>(K67+TINV(2*(1-potencia),J67))/SQRT(I67)</f>
        <v>0</v>
      </c>
      <c r="P67" s="19">
        <f>IFERROR(O67-(((1-NORMSDIST((K67*(1-1/(4*J67))-(O67)*SQRT(I67))/SQRT(1+K67^2/(2*J67))))+IF(colas=2,NORMSDIST((-K67*(1-1/(4*J67))-(O67)*SQRT(I67))/SQRT(1+K67^2/(2*J67))),0))-potencia)/((((1-NORMSDIST((K67*(1-1/(4*J67))-(O67+(0.001*O67))*SQRT(I67))/SQRT(1+K67^2/(2*J67))))+IF(colas=2,NORMSDIST((-K67*(1-1/(4*J67))-(O67+(0.001*O67))*SQRT(I67))/SQRT(1+K67^2/(2*J67))),0))-((1-NORMSDIST((K67*(1-1/(4*J67))-(O67-(0.001*O67))*SQRT(I67))/SQRT(1+K67^2/(2*J67))))+IF(colas=2,NORMSDIST((-K67*(1-1/(4*J67))-(O67-(0.001*O67))*SQRT(I67))/SQRT(1+K67^2/(2*J67))),0)))/(2*(0.001*O67))),O67)</f>
        <v>0</v>
      </c>
      <c r="Q67" s="19">
        <f>IFERROR(P67-(((1-NORMSDIST((K67*(1-1/(4*J67))-(P67)*SQRT(I67))/SQRT(1+K67^2/(2*J67))))+IF(colas=2,NORMSDIST((-K67*(1-1/(4*J67))-(P67)*SQRT(I67))/SQRT(1+K67^2/(2*J67))),0))-potencia)/((((1-NORMSDIST((K67*(1-1/(4*J67))-(P67+(0.001*P67))*SQRT(I67))/SQRT(1+K67^2/(2*J67))))+IF(colas=2,NORMSDIST((-K67*(1-1/(4*J67))-(P67+(0.001*P67))*SQRT(I67))/SQRT(1+K67^2/(2*J67))),0))-((1-NORMSDIST((K67*(1-1/(4*J67))-(P67-(0.001*P67))*SQRT(I67))/SQRT(1+K67^2/(2*J67))))+IF(colas=2,NORMSDIST((-K67*(1-1/(4*J67))-(P67-(0.001*P67))*SQRT(I67))/SQRT(1+K67^2/(2*J67))),0)))/(2*(0.001*P67))),P67)</f>
        <v>0</v>
      </c>
      <c r="R67" s="19">
        <f>IFERROR(Q67-(((1-NORMSDIST((K67*(1-1/(4*J67))-(Q67)*SQRT(I67))/SQRT(1+K67^2/(2*J67))))+IF(colas=2,NORMSDIST((-K67*(1-1/(4*J67))-(Q67)*SQRT(I67))/SQRT(1+K67^2/(2*J67))),0))-potencia)/((((1-NORMSDIST((K67*(1-1/(4*J67))-(Q67+(0.001*Q67))*SQRT(I67))/SQRT(1+K67^2/(2*J67))))+IF(colas=2,NORMSDIST((-K67*(1-1/(4*J67))-(Q67+(0.001*Q67))*SQRT(I67))/SQRT(1+K67^2/(2*J67))),0))-((1-NORMSDIST((K67*(1-1/(4*J67))-(Q67-(0.001*Q67))*SQRT(I67))/SQRT(1+K67^2/(2*J67))))+IF(colas=2,NORMSDIST((-K67*(1-1/(4*J67))-(Q67-(0.001*Q67))*SQRT(I67))/SQRT(1+K67^2/(2*J67))),0)))/(2*(0.001*Q67))),Q67)</f>
        <v>0</v>
      </c>
      <c r="S67" s="19">
        <f>R67</f>
        <v>0</v>
      </c>
    </row>
    <row r="68" spans="9:19">
      <c r="I68" s="12">
        <v>65</v>
      </c>
      <c r="J68" s="12">
        <f>I68-1</f>
        <v>0</v>
      </c>
      <c r="K68" s="19">
        <f>IF(colas=2,TINV(alfa,J68),TINV(2*alfa,J68))</f>
        <v>0</v>
      </c>
      <c r="L68" s="19">
        <f>IF(ISNUMBER($E$19),$E$19*SQRT(I68),"")</f>
        <v>0</v>
      </c>
      <c r="M68" s="19">
        <f>IF(ISNUMBER($E$19),((1-NORMSDIST((K68*(1-1/(4*J68))-($E$19)*SQRT(I68))/SQRT(1+K68^2/(2*J68))))+IF(colas=2,NORMSDIST((-K68*(1-1/(4*J68))-($E$19)*SQRT(I68))/SQRT(1+K68^2/(2*J68))),0)),"")</f>
        <v>0</v>
      </c>
      <c r="N68" s="12">
        <f>IF(ISNUMBER(M68),IF(M68&gt;=potencia,I68,""),"")</f>
        <v>0</v>
      </c>
      <c r="O68" s="19">
        <f>(K68+TINV(2*(1-potencia),J68))/SQRT(I68)</f>
        <v>0</v>
      </c>
      <c r="P68" s="19">
        <f>IFERROR(O68-(((1-NORMSDIST((K68*(1-1/(4*J68))-(O68)*SQRT(I68))/SQRT(1+K68^2/(2*J68))))+IF(colas=2,NORMSDIST((-K68*(1-1/(4*J68))-(O68)*SQRT(I68))/SQRT(1+K68^2/(2*J68))),0))-potencia)/((((1-NORMSDIST((K68*(1-1/(4*J68))-(O68+(0.001*O68))*SQRT(I68))/SQRT(1+K68^2/(2*J68))))+IF(colas=2,NORMSDIST((-K68*(1-1/(4*J68))-(O68+(0.001*O68))*SQRT(I68))/SQRT(1+K68^2/(2*J68))),0))-((1-NORMSDIST((K68*(1-1/(4*J68))-(O68-(0.001*O68))*SQRT(I68))/SQRT(1+K68^2/(2*J68))))+IF(colas=2,NORMSDIST((-K68*(1-1/(4*J68))-(O68-(0.001*O68))*SQRT(I68))/SQRT(1+K68^2/(2*J68))),0)))/(2*(0.001*O68))),O68)</f>
        <v>0</v>
      </c>
      <c r="Q68" s="19">
        <f>IFERROR(P68-(((1-NORMSDIST((K68*(1-1/(4*J68))-(P68)*SQRT(I68))/SQRT(1+K68^2/(2*J68))))+IF(colas=2,NORMSDIST((-K68*(1-1/(4*J68))-(P68)*SQRT(I68))/SQRT(1+K68^2/(2*J68))),0))-potencia)/((((1-NORMSDIST((K68*(1-1/(4*J68))-(P68+(0.001*P68))*SQRT(I68))/SQRT(1+K68^2/(2*J68))))+IF(colas=2,NORMSDIST((-K68*(1-1/(4*J68))-(P68+(0.001*P68))*SQRT(I68))/SQRT(1+K68^2/(2*J68))),0))-((1-NORMSDIST((K68*(1-1/(4*J68))-(P68-(0.001*P68))*SQRT(I68))/SQRT(1+K68^2/(2*J68))))+IF(colas=2,NORMSDIST((-K68*(1-1/(4*J68))-(P68-(0.001*P68))*SQRT(I68))/SQRT(1+K68^2/(2*J68))),0)))/(2*(0.001*P68))),P68)</f>
        <v>0</v>
      </c>
      <c r="R68" s="19">
        <f>IFERROR(Q68-(((1-NORMSDIST((K68*(1-1/(4*J68))-(Q68)*SQRT(I68))/SQRT(1+K68^2/(2*J68))))+IF(colas=2,NORMSDIST((-K68*(1-1/(4*J68))-(Q68)*SQRT(I68))/SQRT(1+K68^2/(2*J68))),0))-potencia)/((((1-NORMSDIST((K68*(1-1/(4*J68))-(Q68+(0.001*Q68))*SQRT(I68))/SQRT(1+K68^2/(2*J68))))+IF(colas=2,NORMSDIST((-K68*(1-1/(4*J68))-(Q68+(0.001*Q68))*SQRT(I68))/SQRT(1+K68^2/(2*J68))),0))-((1-NORMSDIST((K68*(1-1/(4*J68))-(Q68-(0.001*Q68))*SQRT(I68))/SQRT(1+K68^2/(2*J68))))+IF(colas=2,NORMSDIST((-K68*(1-1/(4*J68))-(Q68-(0.001*Q68))*SQRT(I68))/SQRT(1+K68^2/(2*J68))),0)))/(2*(0.001*Q68))),Q68)</f>
        <v>0</v>
      </c>
      <c r="S68" s="19">
        <f>R68</f>
        <v>0</v>
      </c>
    </row>
    <row r="69" spans="9:19">
      <c r="I69" s="12">
        <v>66</v>
      </c>
      <c r="J69" s="12">
        <f>I69-1</f>
        <v>0</v>
      </c>
      <c r="K69" s="19">
        <f>IF(colas=2,TINV(alfa,J69),TINV(2*alfa,J69))</f>
        <v>0</v>
      </c>
      <c r="L69" s="19">
        <f>IF(ISNUMBER($E$19),$E$19*SQRT(I69),"")</f>
        <v>0</v>
      </c>
      <c r="M69" s="19">
        <f>IF(ISNUMBER($E$19),((1-NORMSDIST((K69*(1-1/(4*J69))-($E$19)*SQRT(I69))/SQRT(1+K69^2/(2*J69))))+IF(colas=2,NORMSDIST((-K69*(1-1/(4*J69))-($E$19)*SQRT(I69))/SQRT(1+K69^2/(2*J69))),0)),"")</f>
        <v>0</v>
      </c>
      <c r="N69" s="12">
        <f>IF(ISNUMBER(M69),IF(M69&gt;=potencia,I69,""),"")</f>
        <v>0</v>
      </c>
      <c r="O69" s="19">
        <f>(K69+TINV(2*(1-potencia),J69))/SQRT(I69)</f>
        <v>0</v>
      </c>
      <c r="P69" s="19">
        <f>IFERROR(O69-(((1-NORMSDIST((K69*(1-1/(4*J69))-(O69)*SQRT(I69))/SQRT(1+K69^2/(2*J69))))+IF(colas=2,NORMSDIST((-K69*(1-1/(4*J69))-(O69)*SQRT(I69))/SQRT(1+K69^2/(2*J69))),0))-potencia)/((((1-NORMSDIST((K69*(1-1/(4*J69))-(O69+(0.001*O69))*SQRT(I69))/SQRT(1+K69^2/(2*J69))))+IF(colas=2,NORMSDIST((-K69*(1-1/(4*J69))-(O69+(0.001*O69))*SQRT(I69))/SQRT(1+K69^2/(2*J69))),0))-((1-NORMSDIST((K69*(1-1/(4*J69))-(O69-(0.001*O69))*SQRT(I69))/SQRT(1+K69^2/(2*J69))))+IF(colas=2,NORMSDIST((-K69*(1-1/(4*J69))-(O69-(0.001*O69))*SQRT(I69))/SQRT(1+K69^2/(2*J69))),0)))/(2*(0.001*O69))),O69)</f>
        <v>0</v>
      </c>
      <c r="Q69" s="19">
        <f>IFERROR(P69-(((1-NORMSDIST((K69*(1-1/(4*J69))-(P69)*SQRT(I69))/SQRT(1+K69^2/(2*J69))))+IF(colas=2,NORMSDIST((-K69*(1-1/(4*J69))-(P69)*SQRT(I69))/SQRT(1+K69^2/(2*J69))),0))-potencia)/((((1-NORMSDIST((K69*(1-1/(4*J69))-(P69+(0.001*P69))*SQRT(I69))/SQRT(1+K69^2/(2*J69))))+IF(colas=2,NORMSDIST((-K69*(1-1/(4*J69))-(P69+(0.001*P69))*SQRT(I69))/SQRT(1+K69^2/(2*J69))),0))-((1-NORMSDIST((K69*(1-1/(4*J69))-(P69-(0.001*P69))*SQRT(I69))/SQRT(1+K69^2/(2*J69))))+IF(colas=2,NORMSDIST((-K69*(1-1/(4*J69))-(P69-(0.001*P69))*SQRT(I69))/SQRT(1+K69^2/(2*J69))),0)))/(2*(0.001*P69))),P69)</f>
        <v>0</v>
      </c>
      <c r="R69" s="19">
        <f>IFERROR(Q69-(((1-NORMSDIST((K69*(1-1/(4*J69))-(Q69)*SQRT(I69))/SQRT(1+K69^2/(2*J69))))+IF(colas=2,NORMSDIST((-K69*(1-1/(4*J69))-(Q69)*SQRT(I69))/SQRT(1+K69^2/(2*J69))),0))-potencia)/((((1-NORMSDIST((K69*(1-1/(4*J69))-(Q69+(0.001*Q69))*SQRT(I69))/SQRT(1+K69^2/(2*J69))))+IF(colas=2,NORMSDIST((-K69*(1-1/(4*J69))-(Q69+(0.001*Q69))*SQRT(I69))/SQRT(1+K69^2/(2*J69))),0))-((1-NORMSDIST((K69*(1-1/(4*J69))-(Q69-(0.001*Q69))*SQRT(I69))/SQRT(1+K69^2/(2*J69))))+IF(colas=2,NORMSDIST((-K69*(1-1/(4*J69))-(Q69-(0.001*Q69))*SQRT(I69))/SQRT(1+K69^2/(2*J69))),0)))/(2*(0.001*Q69))),Q69)</f>
        <v>0</v>
      </c>
      <c r="S69" s="19">
        <f>R69</f>
        <v>0</v>
      </c>
    </row>
    <row r="70" spans="9:19">
      <c r="I70" s="12">
        <v>67</v>
      </c>
      <c r="J70" s="12">
        <f>I70-1</f>
        <v>0</v>
      </c>
      <c r="K70" s="19">
        <f>IF(colas=2,TINV(alfa,J70),TINV(2*alfa,J70))</f>
        <v>0</v>
      </c>
      <c r="L70" s="19">
        <f>IF(ISNUMBER($E$19),$E$19*SQRT(I70),"")</f>
        <v>0</v>
      </c>
      <c r="M70" s="19">
        <f>IF(ISNUMBER($E$19),((1-NORMSDIST((K70*(1-1/(4*J70))-($E$19)*SQRT(I70))/SQRT(1+K70^2/(2*J70))))+IF(colas=2,NORMSDIST((-K70*(1-1/(4*J70))-($E$19)*SQRT(I70))/SQRT(1+K70^2/(2*J70))),0)),"")</f>
        <v>0</v>
      </c>
      <c r="N70" s="12">
        <f>IF(ISNUMBER(M70),IF(M70&gt;=potencia,I70,""),"")</f>
        <v>0</v>
      </c>
      <c r="O70" s="19">
        <f>(K70+TINV(2*(1-potencia),J70))/SQRT(I70)</f>
        <v>0</v>
      </c>
      <c r="P70" s="19">
        <f>IFERROR(O70-(((1-NORMSDIST((K70*(1-1/(4*J70))-(O70)*SQRT(I70))/SQRT(1+K70^2/(2*J70))))+IF(colas=2,NORMSDIST((-K70*(1-1/(4*J70))-(O70)*SQRT(I70))/SQRT(1+K70^2/(2*J70))),0))-potencia)/((((1-NORMSDIST((K70*(1-1/(4*J70))-(O70+(0.001*O70))*SQRT(I70))/SQRT(1+K70^2/(2*J70))))+IF(colas=2,NORMSDIST((-K70*(1-1/(4*J70))-(O70+(0.001*O70))*SQRT(I70))/SQRT(1+K70^2/(2*J70))),0))-((1-NORMSDIST((K70*(1-1/(4*J70))-(O70-(0.001*O70))*SQRT(I70))/SQRT(1+K70^2/(2*J70))))+IF(colas=2,NORMSDIST((-K70*(1-1/(4*J70))-(O70-(0.001*O70))*SQRT(I70))/SQRT(1+K70^2/(2*J70))),0)))/(2*(0.001*O70))),O70)</f>
        <v>0</v>
      </c>
      <c r="Q70" s="19">
        <f>IFERROR(P70-(((1-NORMSDIST((K70*(1-1/(4*J70))-(P70)*SQRT(I70))/SQRT(1+K70^2/(2*J70))))+IF(colas=2,NORMSDIST((-K70*(1-1/(4*J70))-(P70)*SQRT(I70))/SQRT(1+K70^2/(2*J70))),0))-potencia)/((((1-NORMSDIST((K70*(1-1/(4*J70))-(P70+(0.001*P70))*SQRT(I70))/SQRT(1+K70^2/(2*J70))))+IF(colas=2,NORMSDIST((-K70*(1-1/(4*J70))-(P70+(0.001*P70))*SQRT(I70))/SQRT(1+K70^2/(2*J70))),0))-((1-NORMSDIST((K70*(1-1/(4*J70))-(P70-(0.001*P70))*SQRT(I70))/SQRT(1+K70^2/(2*J70))))+IF(colas=2,NORMSDIST((-K70*(1-1/(4*J70))-(P70-(0.001*P70))*SQRT(I70))/SQRT(1+K70^2/(2*J70))),0)))/(2*(0.001*P70))),P70)</f>
        <v>0</v>
      </c>
      <c r="R70" s="19">
        <f>IFERROR(Q70-(((1-NORMSDIST((K70*(1-1/(4*J70))-(Q70)*SQRT(I70))/SQRT(1+K70^2/(2*J70))))+IF(colas=2,NORMSDIST((-K70*(1-1/(4*J70))-(Q70)*SQRT(I70))/SQRT(1+K70^2/(2*J70))),0))-potencia)/((((1-NORMSDIST((K70*(1-1/(4*J70))-(Q70+(0.001*Q70))*SQRT(I70))/SQRT(1+K70^2/(2*J70))))+IF(colas=2,NORMSDIST((-K70*(1-1/(4*J70))-(Q70+(0.001*Q70))*SQRT(I70))/SQRT(1+K70^2/(2*J70))),0))-((1-NORMSDIST((K70*(1-1/(4*J70))-(Q70-(0.001*Q70))*SQRT(I70))/SQRT(1+K70^2/(2*J70))))+IF(colas=2,NORMSDIST((-K70*(1-1/(4*J70))-(Q70-(0.001*Q70))*SQRT(I70))/SQRT(1+K70^2/(2*J70))),0)))/(2*(0.001*Q70))),Q70)</f>
        <v>0</v>
      </c>
      <c r="S70" s="19">
        <f>R70</f>
        <v>0</v>
      </c>
    </row>
    <row r="71" spans="9:19">
      <c r="I71" s="12">
        <v>68</v>
      </c>
      <c r="J71" s="12">
        <f>I71-1</f>
        <v>0</v>
      </c>
      <c r="K71" s="19">
        <f>IF(colas=2,TINV(alfa,J71),TINV(2*alfa,J71))</f>
        <v>0</v>
      </c>
      <c r="L71" s="19">
        <f>IF(ISNUMBER($E$19),$E$19*SQRT(I71),"")</f>
        <v>0</v>
      </c>
      <c r="M71" s="19">
        <f>IF(ISNUMBER($E$19),((1-NORMSDIST((K71*(1-1/(4*J71))-($E$19)*SQRT(I71))/SQRT(1+K71^2/(2*J71))))+IF(colas=2,NORMSDIST((-K71*(1-1/(4*J71))-($E$19)*SQRT(I71))/SQRT(1+K71^2/(2*J71))),0)),"")</f>
        <v>0</v>
      </c>
      <c r="N71" s="12">
        <f>IF(ISNUMBER(M71),IF(M71&gt;=potencia,I71,""),"")</f>
        <v>0</v>
      </c>
      <c r="O71" s="19">
        <f>(K71+TINV(2*(1-potencia),J71))/SQRT(I71)</f>
        <v>0</v>
      </c>
      <c r="P71" s="19">
        <f>IFERROR(O71-(((1-NORMSDIST((K71*(1-1/(4*J71))-(O71)*SQRT(I71))/SQRT(1+K71^2/(2*J71))))+IF(colas=2,NORMSDIST((-K71*(1-1/(4*J71))-(O71)*SQRT(I71))/SQRT(1+K71^2/(2*J71))),0))-potencia)/((((1-NORMSDIST((K71*(1-1/(4*J71))-(O71+(0.001*O71))*SQRT(I71))/SQRT(1+K71^2/(2*J71))))+IF(colas=2,NORMSDIST((-K71*(1-1/(4*J71))-(O71+(0.001*O71))*SQRT(I71))/SQRT(1+K71^2/(2*J71))),0))-((1-NORMSDIST((K71*(1-1/(4*J71))-(O71-(0.001*O71))*SQRT(I71))/SQRT(1+K71^2/(2*J71))))+IF(colas=2,NORMSDIST((-K71*(1-1/(4*J71))-(O71-(0.001*O71))*SQRT(I71))/SQRT(1+K71^2/(2*J71))),0)))/(2*(0.001*O71))),O71)</f>
        <v>0</v>
      </c>
      <c r="Q71" s="19">
        <f>IFERROR(P71-(((1-NORMSDIST((K71*(1-1/(4*J71))-(P71)*SQRT(I71))/SQRT(1+K71^2/(2*J71))))+IF(colas=2,NORMSDIST((-K71*(1-1/(4*J71))-(P71)*SQRT(I71))/SQRT(1+K71^2/(2*J71))),0))-potencia)/((((1-NORMSDIST((K71*(1-1/(4*J71))-(P71+(0.001*P71))*SQRT(I71))/SQRT(1+K71^2/(2*J71))))+IF(colas=2,NORMSDIST((-K71*(1-1/(4*J71))-(P71+(0.001*P71))*SQRT(I71))/SQRT(1+K71^2/(2*J71))),0))-((1-NORMSDIST((K71*(1-1/(4*J71))-(P71-(0.001*P71))*SQRT(I71))/SQRT(1+K71^2/(2*J71))))+IF(colas=2,NORMSDIST((-K71*(1-1/(4*J71))-(P71-(0.001*P71))*SQRT(I71))/SQRT(1+K71^2/(2*J71))),0)))/(2*(0.001*P71))),P71)</f>
        <v>0</v>
      </c>
      <c r="R71" s="19">
        <f>IFERROR(Q71-(((1-NORMSDIST((K71*(1-1/(4*J71))-(Q71)*SQRT(I71))/SQRT(1+K71^2/(2*J71))))+IF(colas=2,NORMSDIST((-K71*(1-1/(4*J71))-(Q71)*SQRT(I71))/SQRT(1+K71^2/(2*J71))),0))-potencia)/((((1-NORMSDIST((K71*(1-1/(4*J71))-(Q71+(0.001*Q71))*SQRT(I71))/SQRT(1+K71^2/(2*J71))))+IF(colas=2,NORMSDIST((-K71*(1-1/(4*J71))-(Q71+(0.001*Q71))*SQRT(I71))/SQRT(1+K71^2/(2*J71))),0))-((1-NORMSDIST((K71*(1-1/(4*J71))-(Q71-(0.001*Q71))*SQRT(I71))/SQRT(1+K71^2/(2*J71))))+IF(colas=2,NORMSDIST((-K71*(1-1/(4*J71))-(Q71-(0.001*Q71))*SQRT(I71))/SQRT(1+K71^2/(2*J71))),0)))/(2*(0.001*Q71))),Q71)</f>
        <v>0</v>
      </c>
      <c r="S71" s="19">
        <f>R71</f>
        <v>0</v>
      </c>
    </row>
    <row r="72" spans="9:19">
      <c r="I72" s="12">
        <v>69</v>
      </c>
      <c r="J72" s="12">
        <f>I72-1</f>
        <v>0</v>
      </c>
      <c r="K72" s="19">
        <f>IF(colas=2,TINV(alfa,J72),TINV(2*alfa,J72))</f>
        <v>0</v>
      </c>
      <c r="L72" s="19">
        <f>IF(ISNUMBER($E$19),$E$19*SQRT(I72),"")</f>
        <v>0</v>
      </c>
      <c r="M72" s="19">
        <f>IF(ISNUMBER($E$19),((1-NORMSDIST((K72*(1-1/(4*J72))-($E$19)*SQRT(I72))/SQRT(1+K72^2/(2*J72))))+IF(colas=2,NORMSDIST((-K72*(1-1/(4*J72))-($E$19)*SQRT(I72))/SQRT(1+K72^2/(2*J72))),0)),"")</f>
        <v>0</v>
      </c>
      <c r="N72" s="12">
        <f>IF(ISNUMBER(M72),IF(M72&gt;=potencia,I72,""),"")</f>
        <v>0</v>
      </c>
      <c r="O72" s="19">
        <f>(K72+TINV(2*(1-potencia),J72))/SQRT(I72)</f>
        <v>0</v>
      </c>
      <c r="P72" s="19">
        <f>IFERROR(O72-(((1-NORMSDIST((K72*(1-1/(4*J72))-(O72)*SQRT(I72))/SQRT(1+K72^2/(2*J72))))+IF(colas=2,NORMSDIST((-K72*(1-1/(4*J72))-(O72)*SQRT(I72))/SQRT(1+K72^2/(2*J72))),0))-potencia)/((((1-NORMSDIST((K72*(1-1/(4*J72))-(O72+(0.001*O72))*SQRT(I72))/SQRT(1+K72^2/(2*J72))))+IF(colas=2,NORMSDIST((-K72*(1-1/(4*J72))-(O72+(0.001*O72))*SQRT(I72))/SQRT(1+K72^2/(2*J72))),0))-((1-NORMSDIST((K72*(1-1/(4*J72))-(O72-(0.001*O72))*SQRT(I72))/SQRT(1+K72^2/(2*J72))))+IF(colas=2,NORMSDIST((-K72*(1-1/(4*J72))-(O72-(0.001*O72))*SQRT(I72))/SQRT(1+K72^2/(2*J72))),0)))/(2*(0.001*O72))),O72)</f>
        <v>0</v>
      </c>
      <c r="Q72" s="19">
        <f>IFERROR(P72-(((1-NORMSDIST((K72*(1-1/(4*J72))-(P72)*SQRT(I72))/SQRT(1+K72^2/(2*J72))))+IF(colas=2,NORMSDIST((-K72*(1-1/(4*J72))-(P72)*SQRT(I72))/SQRT(1+K72^2/(2*J72))),0))-potencia)/((((1-NORMSDIST((K72*(1-1/(4*J72))-(P72+(0.001*P72))*SQRT(I72))/SQRT(1+K72^2/(2*J72))))+IF(colas=2,NORMSDIST((-K72*(1-1/(4*J72))-(P72+(0.001*P72))*SQRT(I72))/SQRT(1+K72^2/(2*J72))),0))-((1-NORMSDIST((K72*(1-1/(4*J72))-(P72-(0.001*P72))*SQRT(I72))/SQRT(1+K72^2/(2*J72))))+IF(colas=2,NORMSDIST((-K72*(1-1/(4*J72))-(P72-(0.001*P72))*SQRT(I72))/SQRT(1+K72^2/(2*J72))),0)))/(2*(0.001*P72))),P72)</f>
        <v>0</v>
      </c>
      <c r="R72" s="19">
        <f>IFERROR(Q72-(((1-NORMSDIST((K72*(1-1/(4*J72))-(Q72)*SQRT(I72))/SQRT(1+K72^2/(2*J72))))+IF(colas=2,NORMSDIST((-K72*(1-1/(4*J72))-(Q72)*SQRT(I72))/SQRT(1+K72^2/(2*J72))),0))-potencia)/((((1-NORMSDIST((K72*(1-1/(4*J72))-(Q72+(0.001*Q72))*SQRT(I72))/SQRT(1+K72^2/(2*J72))))+IF(colas=2,NORMSDIST((-K72*(1-1/(4*J72))-(Q72+(0.001*Q72))*SQRT(I72))/SQRT(1+K72^2/(2*J72))),0))-((1-NORMSDIST((K72*(1-1/(4*J72))-(Q72-(0.001*Q72))*SQRT(I72))/SQRT(1+K72^2/(2*J72))))+IF(colas=2,NORMSDIST((-K72*(1-1/(4*J72))-(Q72-(0.001*Q72))*SQRT(I72))/SQRT(1+K72^2/(2*J72))),0)))/(2*(0.001*Q72))),Q72)</f>
        <v>0</v>
      </c>
      <c r="S72" s="19">
        <f>R72</f>
        <v>0</v>
      </c>
    </row>
    <row r="73" spans="9:19">
      <c r="I73" s="12">
        <v>70</v>
      </c>
      <c r="J73" s="12">
        <f>I73-1</f>
        <v>0</v>
      </c>
      <c r="K73" s="19">
        <f>IF(colas=2,TINV(alfa,J73),TINV(2*alfa,J73))</f>
        <v>0</v>
      </c>
      <c r="L73" s="19">
        <f>IF(ISNUMBER($E$19),$E$19*SQRT(I73),"")</f>
        <v>0</v>
      </c>
      <c r="M73" s="19">
        <f>IF(ISNUMBER($E$19),((1-NORMSDIST((K73*(1-1/(4*J73))-($E$19)*SQRT(I73))/SQRT(1+K73^2/(2*J73))))+IF(colas=2,NORMSDIST((-K73*(1-1/(4*J73))-($E$19)*SQRT(I73))/SQRT(1+K73^2/(2*J73))),0)),"")</f>
        <v>0</v>
      </c>
      <c r="N73" s="12">
        <f>IF(ISNUMBER(M73),IF(M73&gt;=potencia,I73,""),"")</f>
        <v>0</v>
      </c>
      <c r="O73" s="19">
        <f>(K73+TINV(2*(1-potencia),J73))/SQRT(I73)</f>
        <v>0</v>
      </c>
      <c r="P73" s="19">
        <f>IFERROR(O73-(((1-NORMSDIST((K73*(1-1/(4*J73))-(O73)*SQRT(I73))/SQRT(1+K73^2/(2*J73))))+IF(colas=2,NORMSDIST((-K73*(1-1/(4*J73))-(O73)*SQRT(I73))/SQRT(1+K73^2/(2*J73))),0))-potencia)/((((1-NORMSDIST((K73*(1-1/(4*J73))-(O73+(0.001*O73))*SQRT(I73))/SQRT(1+K73^2/(2*J73))))+IF(colas=2,NORMSDIST((-K73*(1-1/(4*J73))-(O73+(0.001*O73))*SQRT(I73))/SQRT(1+K73^2/(2*J73))),0))-((1-NORMSDIST((K73*(1-1/(4*J73))-(O73-(0.001*O73))*SQRT(I73))/SQRT(1+K73^2/(2*J73))))+IF(colas=2,NORMSDIST((-K73*(1-1/(4*J73))-(O73-(0.001*O73))*SQRT(I73))/SQRT(1+K73^2/(2*J73))),0)))/(2*(0.001*O73))),O73)</f>
        <v>0</v>
      </c>
      <c r="Q73" s="19">
        <f>IFERROR(P73-(((1-NORMSDIST((K73*(1-1/(4*J73))-(P73)*SQRT(I73))/SQRT(1+K73^2/(2*J73))))+IF(colas=2,NORMSDIST((-K73*(1-1/(4*J73))-(P73)*SQRT(I73))/SQRT(1+K73^2/(2*J73))),0))-potencia)/((((1-NORMSDIST((K73*(1-1/(4*J73))-(P73+(0.001*P73))*SQRT(I73))/SQRT(1+K73^2/(2*J73))))+IF(colas=2,NORMSDIST((-K73*(1-1/(4*J73))-(P73+(0.001*P73))*SQRT(I73))/SQRT(1+K73^2/(2*J73))),0))-((1-NORMSDIST((K73*(1-1/(4*J73))-(P73-(0.001*P73))*SQRT(I73))/SQRT(1+K73^2/(2*J73))))+IF(colas=2,NORMSDIST((-K73*(1-1/(4*J73))-(P73-(0.001*P73))*SQRT(I73))/SQRT(1+K73^2/(2*J73))),0)))/(2*(0.001*P73))),P73)</f>
        <v>0</v>
      </c>
      <c r="R73" s="19">
        <f>IFERROR(Q73-(((1-NORMSDIST((K73*(1-1/(4*J73))-(Q73)*SQRT(I73))/SQRT(1+K73^2/(2*J73))))+IF(colas=2,NORMSDIST((-K73*(1-1/(4*J73))-(Q73)*SQRT(I73))/SQRT(1+K73^2/(2*J73))),0))-potencia)/((((1-NORMSDIST((K73*(1-1/(4*J73))-(Q73+(0.001*Q73))*SQRT(I73))/SQRT(1+K73^2/(2*J73))))+IF(colas=2,NORMSDIST((-K73*(1-1/(4*J73))-(Q73+(0.001*Q73))*SQRT(I73))/SQRT(1+K73^2/(2*J73))),0))-((1-NORMSDIST((K73*(1-1/(4*J73))-(Q73-(0.001*Q73))*SQRT(I73))/SQRT(1+K73^2/(2*J73))))+IF(colas=2,NORMSDIST((-K73*(1-1/(4*J73))-(Q73-(0.001*Q73))*SQRT(I73))/SQRT(1+K73^2/(2*J73))),0)))/(2*(0.001*Q73))),Q73)</f>
        <v>0</v>
      </c>
      <c r="S73" s="19">
        <f>R73</f>
        <v>0</v>
      </c>
    </row>
    <row r="74" spans="9:19">
      <c r="I74" s="12">
        <v>71</v>
      </c>
      <c r="J74" s="12">
        <f>I74-1</f>
        <v>0</v>
      </c>
      <c r="K74" s="19">
        <f>IF(colas=2,TINV(alfa,J74),TINV(2*alfa,J74))</f>
        <v>0</v>
      </c>
      <c r="L74" s="19">
        <f>IF(ISNUMBER($E$19),$E$19*SQRT(I74),"")</f>
        <v>0</v>
      </c>
      <c r="M74" s="19">
        <f>IF(ISNUMBER($E$19),((1-NORMSDIST((K74*(1-1/(4*J74))-($E$19)*SQRT(I74))/SQRT(1+K74^2/(2*J74))))+IF(colas=2,NORMSDIST((-K74*(1-1/(4*J74))-($E$19)*SQRT(I74))/SQRT(1+K74^2/(2*J74))),0)),"")</f>
        <v>0</v>
      </c>
      <c r="N74" s="12">
        <f>IF(ISNUMBER(M74),IF(M74&gt;=potencia,I74,""),"")</f>
        <v>0</v>
      </c>
      <c r="O74" s="19">
        <f>(K74+TINV(2*(1-potencia),J74))/SQRT(I74)</f>
        <v>0</v>
      </c>
      <c r="P74" s="19">
        <f>IFERROR(O74-(((1-NORMSDIST((K74*(1-1/(4*J74))-(O74)*SQRT(I74))/SQRT(1+K74^2/(2*J74))))+IF(colas=2,NORMSDIST((-K74*(1-1/(4*J74))-(O74)*SQRT(I74))/SQRT(1+K74^2/(2*J74))),0))-potencia)/((((1-NORMSDIST((K74*(1-1/(4*J74))-(O74+(0.001*O74))*SQRT(I74))/SQRT(1+K74^2/(2*J74))))+IF(colas=2,NORMSDIST((-K74*(1-1/(4*J74))-(O74+(0.001*O74))*SQRT(I74))/SQRT(1+K74^2/(2*J74))),0))-((1-NORMSDIST((K74*(1-1/(4*J74))-(O74-(0.001*O74))*SQRT(I74))/SQRT(1+K74^2/(2*J74))))+IF(colas=2,NORMSDIST((-K74*(1-1/(4*J74))-(O74-(0.001*O74))*SQRT(I74))/SQRT(1+K74^2/(2*J74))),0)))/(2*(0.001*O74))),O74)</f>
        <v>0</v>
      </c>
      <c r="Q74" s="19">
        <f>IFERROR(P74-(((1-NORMSDIST((K74*(1-1/(4*J74))-(P74)*SQRT(I74))/SQRT(1+K74^2/(2*J74))))+IF(colas=2,NORMSDIST((-K74*(1-1/(4*J74))-(P74)*SQRT(I74))/SQRT(1+K74^2/(2*J74))),0))-potencia)/((((1-NORMSDIST((K74*(1-1/(4*J74))-(P74+(0.001*P74))*SQRT(I74))/SQRT(1+K74^2/(2*J74))))+IF(colas=2,NORMSDIST((-K74*(1-1/(4*J74))-(P74+(0.001*P74))*SQRT(I74))/SQRT(1+K74^2/(2*J74))),0))-((1-NORMSDIST((K74*(1-1/(4*J74))-(P74-(0.001*P74))*SQRT(I74))/SQRT(1+K74^2/(2*J74))))+IF(colas=2,NORMSDIST((-K74*(1-1/(4*J74))-(P74-(0.001*P74))*SQRT(I74))/SQRT(1+K74^2/(2*J74))),0)))/(2*(0.001*P74))),P74)</f>
        <v>0</v>
      </c>
      <c r="R74" s="19">
        <f>IFERROR(Q74-(((1-NORMSDIST((K74*(1-1/(4*J74))-(Q74)*SQRT(I74))/SQRT(1+K74^2/(2*J74))))+IF(colas=2,NORMSDIST((-K74*(1-1/(4*J74))-(Q74)*SQRT(I74))/SQRT(1+K74^2/(2*J74))),0))-potencia)/((((1-NORMSDIST((K74*(1-1/(4*J74))-(Q74+(0.001*Q74))*SQRT(I74))/SQRT(1+K74^2/(2*J74))))+IF(colas=2,NORMSDIST((-K74*(1-1/(4*J74))-(Q74+(0.001*Q74))*SQRT(I74))/SQRT(1+K74^2/(2*J74))),0))-((1-NORMSDIST((K74*(1-1/(4*J74))-(Q74-(0.001*Q74))*SQRT(I74))/SQRT(1+K74^2/(2*J74))))+IF(colas=2,NORMSDIST((-K74*(1-1/(4*J74))-(Q74-(0.001*Q74))*SQRT(I74))/SQRT(1+K74^2/(2*J74))),0)))/(2*(0.001*Q74))),Q74)</f>
        <v>0</v>
      </c>
      <c r="S74" s="19">
        <f>R74</f>
        <v>0</v>
      </c>
    </row>
    <row r="75" spans="9:19">
      <c r="I75" s="12">
        <v>72</v>
      </c>
      <c r="J75" s="12">
        <f>I75-1</f>
        <v>0</v>
      </c>
      <c r="K75" s="19">
        <f>IF(colas=2,TINV(alfa,J75),TINV(2*alfa,J75))</f>
        <v>0</v>
      </c>
      <c r="L75" s="19">
        <f>IF(ISNUMBER($E$19),$E$19*SQRT(I75),"")</f>
        <v>0</v>
      </c>
      <c r="M75" s="19">
        <f>IF(ISNUMBER($E$19),((1-NORMSDIST((K75*(1-1/(4*J75))-($E$19)*SQRT(I75))/SQRT(1+K75^2/(2*J75))))+IF(colas=2,NORMSDIST((-K75*(1-1/(4*J75))-($E$19)*SQRT(I75))/SQRT(1+K75^2/(2*J75))),0)),"")</f>
        <v>0</v>
      </c>
      <c r="N75" s="12">
        <f>IF(ISNUMBER(M75),IF(M75&gt;=potencia,I75,""),"")</f>
        <v>0</v>
      </c>
      <c r="O75" s="19">
        <f>(K75+TINV(2*(1-potencia),J75))/SQRT(I75)</f>
        <v>0</v>
      </c>
      <c r="P75" s="19">
        <f>IFERROR(O75-(((1-NORMSDIST((K75*(1-1/(4*J75))-(O75)*SQRT(I75))/SQRT(1+K75^2/(2*J75))))+IF(colas=2,NORMSDIST((-K75*(1-1/(4*J75))-(O75)*SQRT(I75))/SQRT(1+K75^2/(2*J75))),0))-potencia)/((((1-NORMSDIST((K75*(1-1/(4*J75))-(O75+(0.001*O75))*SQRT(I75))/SQRT(1+K75^2/(2*J75))))+IF(colas=2,NORMSDIST((-K75*(1-1/(4*J75))-(O75+(0.001*O75))*SQRT(I75))/SQRT(1+K75^2/(2*J75))),0))-((1-NORMSDIST((K75*(1-1/(4*J75))-(O75-(0.001*O75))*SQRT(I75))/SQRT(1+K75^2/(2*J75))))+IF(colas=2,NORMSDIST((-K75*(1-1/(4*J75))-(O75-(0.001*O75))*SQRT(I75))/SQRT(1+K75^2/(2*J75))),0)))/(2*(0.001*O75))),O75)</f>
        <v>0</v>
      </c>
      <c r="Q75" s="19">
        <f>IFERROR(P75-(((1-NORMSDIST((K75*(1-1/(4*J75))-(P75)*SQRT(I75))/SQRT(1+K75^2/(2*J75))))+IF(colas=2,NORMSDIST((-K75*(1-1/(4*J75))-(P75)*SQRT(I75))/SQRT(1+K75^2/(2*J75))),0))-potencia)/((((1-NORMSDIST((K75*(1-1/(4*J75))-(P75+(0.001*P75))*SQRT(I75))/SQRT(1+K75^2/(2*J75))))+IF(colas=2,NORMSDIST((-K75*(1-1/(4*J75))-(P75+(0.001*P75))*SQRT(I75))/SQRT(1+K75^2/(2*J75))),0))-((1-NORMSDIST((K75*(1-1/(4*J75))-(P75-(0.001*P75))*SQRT(I75))/SQRT(1+K75^2/(2*J75))))+IF(colas=2,NORMSDIST((-K75*(1-1/(4*J75))-(P75-(0.001*P75))*SQRT(I75))/SQRT(1+K75^2/(2*J75))),0)))/(2*(0.001*P75))),P75)</f>
        <v>0</v>
      </c>
      <c r="R75" s="19">
        <f>IFERROR(Q75-(((1-NORMSDIST((K75*(1-1/(4*J75))-(Q75)*SQRT(I75))/SQRT(1+K75^2/(2*J75))))+IF(colas=2,NORMSDIST((-K75*(1-1/(4*J75))-(Q75)*SQRT(I75))/SQRT(1+K75^2/(2*J75))),0))-potencia)/((((1-NORMSDIST((K75*(1-1/(4*J75))-(Q75+(0.001*Q75))*SQRT(I75))/SQRT(1+K75^2/(2*J75))))+IF(colas=2,NORMSDIST((-K75*(1-1/(4*J75))-(Q75+(0.001*Q75))*SQRT(I75))/SQRT(1+K75^2/(2*J75))),0))-((1-NORMSDIST((K75*(1-1/(4*J75))-(Q75-(0.001*Q75))*SQRT(I75))/SQRT(1+K75^2/(2*J75))))+IF(colas=2,NORMSDIST((-K75*(1-1/(4*J75))-(Q75-(0.001*Q75))*SQRT(I75))/SQRT(1+K75^2/(2*J75))),0)))/(2*(0.001*Q75))),Q75)</f>
        <v>0</v>
      </c>
      <c r="S75" s="19">
        <f>R75</f>
        <v>0</v>
      </c>
    </row>
    <row r="76" spans="9:19">
      <c r="I76" s="12">
        <v>73</v>
      </c>
      <c r="J76" s="12">
        <f>I76-1</f>
        <v>0</v>
      </c>
      <c r="K76" s="19">
        <f>IF(colas=2,TINV(alfa,J76),TINV(2*alfa,J76))</f>
        <v>0</v>
      </c>
      <c r="L76" s="19">
        <f>IF(ISNUMBER($E$19),$E$19*SQRT(I76),"")</f>
        <v>0</v>
      </c>
      <c r="M76" s="19">
        <f>IF(ISNUMBER($E$19),((1-NORMSDIST((K76*(1-1/(4*J76))-($E$19)*SQRT(I76))/SQRT(1+K76^2/(2*J76))))+IF(colas=2,NORMSDIST((-K76*(1-1/(4*J76))-($E$19)*SQRT(I76))/SQRT(1+K76^2/(2*J76))),0)),"")</f>
        <v>0</v>
      </c>
      <c r="N76" s="12">
        <f>IF(ISNUMBER(M76),IF(M76&gt;=potencia,I76,""),"")</f>
        <v>0</v>
      </c>
      <c r="O76" s="19">
        <f>(K76+TINV(2*(1-potencia),J76))/SQRT(I76)</f>
        <v>0</v>
      </c>
      <c r="P76" s="19">
        <f>IFERROR(O76-(((1-NORMSDIST((K76*(1-1/(4*J76))-(O76)*SQRT(I76))/SQRT(1+K76^2/(2*J76))))+IF(colas=2,NORMSDIST((-K76*(1-1/(4*J76))-(O76)*SQRT(I76))/SQRT(1+K76^2/(2*J76))),0))-potencia)/((((1-NORMSDIST((K76*(1-1/(4*J76))-(O76+(0.001*O76))*SQRT(I76))/SQRT(1+K76^2/(2*J76))))+IF(colas=2,NORMSDIST((-K76*(1-1/(4*J76))-(O76+(0.001*O76))*SQRT(I76))/SQRT(1+K76^2/(2*J76))),0))-((1-NORMSDIST((K76*(1-1/(4*J76))-(O76-(0.001*O76))*SQRT(I76))/SQRT(1+K76^2/(2*J76))))+IF(colas=2,NORMSDIST((-K76*(1-1/(4*J76))-(O76-(0.001*O76))*SQRT(I76))/SQRT(1+K76^2/(2*J76))),0)))/(2*(0.001*O76))),O76)</f>
        <v>0</v>
      </c>
      <c r="Q76" s="19">
        <f>IFERROR(P76-(((1-NORMSDIST((K76*(1-1/(4*J76))-(P76)*SQRT(I76))/SQRT(1+K76^2/(2*J76))))+IF(colas=2,NORMSDIST((-K76*(1-1/(4*J76))-(P76)*SQRT(I76))/SQRT(1+K76^2/(2*J76))),0))-potencia)/((((1-NORMSDIST((K76*(1-1/(4*J76))-(P76+(0.001*P76))*SQRT(I76))/SQRT(1+K76^2/(2*J76))))+IF(colas=2,NORMSDIST((-K76*(1-1/(4*J76))-(P76+(0.001*P76))*SQRT(I76))/SQRT(1+K76^2/(2*J76))),0))-((1-NORMSDIST((K76*(1-1/(4*J76))-(P76-(0.001*P76))*SQRT(I76))/SQRT(1+K76^2/(2*J76))))+IF(colas=2,NORMSDIST((-K76*(1-1/(4*J76))-(P76-(0.001*P76))*SQRT(I76))/SQRT(1+K76^2/(2*J76))),0)))/(2*(0.001*P76))),P76)</f>
        <v>0</v>
      </c>
      <c r="R76" s="19">
        <f>IFERROR(Q76-(((1-NORMSDIST((K76*(1-1/(4*J76))-(Q76)*SQRT(I76))/SQRT(1+K76^2/(2*J76))))+IF(colas=2,NORMSDIST((-K76*(1-1/(4*J76))-(Q76)*SQRT(I76))/SQRT(1+K76^2/(2*J76))),0))-potencia)/((((1-NORMSDIST((K76*(1-1/(4*J76))-(Q76+(0.001*Q76))*SQRT(I76))/SQRT(1+K76^2/(2*J76))))+IF(colas=2,NORMSDIST((-K76*(1-1/(4*J76))-(Q76+(0.001*Q76))*SQRT(I76))/SQRT(1+K76^2/(2*J76))),0))-((1-NORMSDIST((K76*(1-1/(4*J76))-(Q76-(0.001*Q76))*SQRT(I76))/SQRT(1+K76^2/(2*J76))))+IF(colas=2,NORMSDIST((-K76*(1-1/(4*J76))-(Q76-(0.001*Q76))*SQRT(I76))/SQRT(1+K76^2/(2*J76))),0)))/(2*(0.001*Q76))),Q76)</f>
        <v>0</v>
      </c>
      <c r="S76" s="19">
        <f>R76</f>
        <v>0</v>
      </c>
    </row>
    <row r="77" spans="9:19">
      <c r="I77" s="12">
        <v>74</v>
      </c>
      <c r="J77" s="12">
        <f>I77-1</f>
        <v>0</v>
      </c>
      <c r="K77" s="19">
        <f>IF(colas=2,TINV(alfa,J77),TINV(2*alfa,J77))</f>
        <v>0</v>
      </c>
      <c r="L77" s="19">
        <f>IF(ISNUMBER($E$19),$E$19*SQRT(I77),"")</f>
        <v>0</v>
      </c>
      <c r="M77" s="19">
        <f>IF(ISNUMBER($E$19),((1-NORMSDIST((K77*(1-1/(4*J77))-($E$19)*SQRT(I77))/SQRT(1+K77^2/(2*J77))))+IF(colas=2,NORMSDIST((-K77*(1-1/(4*J77))-($E$19)*SQRT(I77))/SQRT(1+K77^2/(2*J77))),0)),"")</f>
        <v>0</v>
      </c>
      <c r="N77" s="12">
        <f>IF(ISNUMBER(M77),IF(M77&gt;=potencia,I77,""),"")</f>
        <v>0</v>
      </c>
      <c r="O77" s="19">
        <f>(K77+TINV(2*(1-potencia),J77))/SQRT(I77)</f>
        <v>0</v>
      </c>
      <c r="P77" s="19">
        <f>IFERROR(O77-(((1-NORMSDIST((K77*(1-1/(4*J77))-(O77)*SQRT(I77))/SQRT(1+K77^2/(2*J77))))+IF(colas=2,NORMSDIST((-K77*(1-1/(4*J77))-(O77)*SQRT(I77))/SQRT(1+K77^2/(2*J77))),0))-potencia)/((((1-NORMSDIST((K77*(1-1/(4*J77))-(O77+(0.001*O77))*SQRT(I77))/SQRT(1+K77^2/(2*J77))))+IF(colas=2,NORMSDIST((-K77*(1-1/(4*J77))-(O77+(0.001*O77))*SQRT(I77))/SQRT(1+K77^2/(2*J77))),0))-((1-NORMSDIST((K77*(1-1/(4*J77))-(O77-(0.001*O77))*SQRT(I77))/SQRT(1+K77^2/(2*J77))))+IF(colas=2,NORMSDIST((-K77*(1-1/(4*J77))-(O77-(0.001*O77))*SQRT(I77))/SQRT(1+K77^2/(2*J77))),0)))/(2*(0.001*O77))),O77)</f>
        <v>0</v>
      </c>
      <c r="Q77" s="19">
        <f>IFERROR(P77-(((1-NORMSDIST((K77*(1-1/(4*J77))-(P77)*SQRT(I77))/SQRT(1+K77^2/(2*J77))))+IF(colas=2,NORMSDIST((-K77*(1-1/(4*J77))-(P77)*SQRT(I77))/SQRT(1+K77^2/(2*J77))),0))-potencia)/((((1-NORMSDIST((K77*(1-1/(4*J77))-(P77+(0.001*P77))*SQRT(I77))/SQRT(1+K77^2/(2*J77))))+IF(colas=2,NORMSDIST((-K77*(1-1/(4*J77))-(P77+(0.001*P77))*SQRT(I77))/SQRT(1+K77^2/(2*J77))),0))-((1-NORMSDIST((K77*(1-1/(4*J77))-(P77-(0.001*P77))*SQRT(I77))/SQRT(1+K77^2/(2*J77))))+IF(colas=2,NORMSDIST((-K77*(1-1/(4*J77))-(P77-(0.001*P77))*SQRT(I77))/SQRT(1+K77^2/(2*J77))),0)))/(2*(0.001*P77))),P77)</f>
        <v>0</v>
      </c>
      <c r="R77" s="19">
        <f>IFERROR(Q77-(((1-NORMSDIST((K77*(1-1/(4*J77))-(Q77)*SQRT(I77))/SQRT(1+K77^2/(2*J77))))+IF(colas=2,NORMSDIST((-K77*(1-1/(4*J77))-(Q77)*SQRT(I77))/SQRT(1+K77^2/(2*J77))),0))-potencia)/((((1-NORMSDIST((K77*(1-1/(4*J77))-(Q77+(0.001*Q77))*SQRT(I77))/SQRT(1+K77^2/(2*J77))))+IF(colas=2,NORMSDIST((-K77*(1-1/(4*J77))-(Q77+(0.001*Q77))*SQRT(I77))/SQRT(1+K77^2/(2*J77))),0))-((1-NORMSDIST((K77*(1-1/(4*J77))-(Q77-(0.001*Q77))*SQRT(I77))/SQRT(1+K77^2/(2*J77))))+IF(colas=2,NORMSDIST((-K77*(1-1/(4*J77))-(Q77-(0.001*Q77))*SQRT(I77))/SQRT(1+K77^2/(2*J77))),0)))/(2*(0.001*Q77))),Q77)</f>
        <v>0</v>
      </c>
      <c r="S77" s="19">
        <f>R77</f>
        <v>0</v>
      </c>
    </row>
    <row r="78" spans="9:19">
      <c r="I78" s="12">
        <v>75</v>
      </c>
      <c r="J78" s="12">
        <f>I78-1</f>
        <v>0</v>
      </c>
      <c r="K78" s="19">
        <f>IF(colas=2,TINV(alfa,J78),TINV(2*alfa,J78))</f>
        <v>0</v>
      </c>
      <c r="L78" s="19">
        <f>IF(ISNUMBER($E$19),$E$19*SQRT(I78),"")</f>
        <v>0</v>
      </c>
      <c r="M78" s="19">
        <f>IF(ISNUMBER($E$19),((1-NORMSDIST((K78*(1-1/(4*J78))-($E$19)*SQRT(I78))/SQRT(1+K78^2/(2*J78))))+IF(colas=2,NORMSDIST((-K78*(1-1/(4*J78))-($E$19)*SQRT(I78))/SQRT(1+K78^2/(2*J78))),0)),"")</f>
        <v>0</v>
      </c>
      <c r="N78" s="12">
        <f>IF(ISNUMBER(M78),IF(M78&gt;=potencia,I78,""),"")</f>
        <v>0</v>
      </c>
      <c r="O78" s="19">
        <f>(K78+TINV(2*(1-potencia),J78))/SQRT(I78)</f>
        <v>0</v>
      </c>
      <c r="P78" s="19">
        <f>IFERROR(O78-(((1-NORMSDIST((K78*(1-1/(4*J78))-(O78)*SQRT(I78))/SQRT(1+K78^2/(2*J78))))+IF(colas=2,NORMSDIST((-K78*(1-1/(4*J78))-(O78)*SQRT(I78))/SQRT(1+K78^2/(2*J78))),0))-potencia)/((((1-NORMSDIST((K78*(1-1/(4*J78))-(O78+(0.001*O78))*SQRT(I78))/SQRT(1+K78^2/(2*J78))))+IF(colas=2,NORMSDIST((-K78*(1-1/(4*J78))-(O78+(0.001*O78))*SQRT(I78))/SQRT(1+K78^2/(2*J78))),0))-((1-NORMSDIST((K78*(1-1/(4*J78))-(O78-(0.001*O78))*SQRT(I78))/SQRT(1+K78^2/(2*J78))))+IF(colas=2,NORMSDIST((-K78*(1-1/(4*J78))-(O78-(0.001*O78))*SQRT(I78))/SQRT(1+K78^2/(2*J78))),0)))/(2*(0.001*O78))),O78)</f>
        <v>0</v>
      </c>
      <c r="Q78" s="19">
        <f>IFERROR(P78-(((1-NORMSDIST((K78*(1-1/(4*J78))-(P78)*SQRT(I78))/SQRT(1+K78^2/(2*J78))))+IF(colas=2,NORMSDIST((-K78*(1-1/(4*J78))-(P78)*SQRT(I78))/SQRT(1+K78^2/(2*J78))),0))-potencia)/((((1-NORMSDIST((K78*(1-1/(4*J78))-(P78+(0.001*P78))*SQRT(I78))/SQRT(1+K78^2/(2*J78))))+IF(colas=2,NORMSDIST((-K78*(1-1/(4*J78))-(P78+(0.001*P78))*SQRT(I78))/SQRT(1+K78^2/(2*J78))),0))-((1-NORMSDIST((K78*(1-1/(4*J78))-(P78-(0.001*P78))*SQRT(I78))/SQRT(1+K78^2/(2*J78))))+IF(colas=2,NORMSDIST((-K78*(1-1/(4*J78))-(P78-(0.001*P78))*SQRT(I78))/SQRT(1+K78^2/(2*J78))),0)))/(2*(0.001*P78))),P78)</f>
        <v>0</v>
      </c>
      <c r="R78" s="19">
        <f>IFERROR(Q78-(((1-NORMSDIST((K78*(1-1/(4*J78))-(Q78)*SQRT(I78))/SQRT(1+K78^2/(2*J78))))+IF(colas=2,NORMSDIST((-K78*(1-1/(4*J78))-(Q78)*SQRT(I78))/SQRT(1+K78^2/(2*J78))),0))-potencia)/((((1-NORMSDIST((K78*(1-1/(4*J78))-(Q78+(0.001*Q78))*SQRT(I78))/SQRT(1+K78^2/(2*J78))))+IF(colas=2,NORMSDIST((-K78*(1-1/(4*J78))-(Q78+(0.001*Q78))*SQRT(I78))/SQRT(1+K78^2/(2*J78))),0))-((1-NORMSDIST((K78*(1-1/(4*J78))-(Q78-(0.001*Q78))*SQRT(I78))/SQRT(1+K78^2/(2*J78))))+IF(colas=2,NORMSDIST((-K78*(1-1/(4*J78))-(Q78-(0.001*Q78))*SQRT(I78))/SQRT(1+K78^2/(2*J78))),0)))/(2*(0.001*Q78))),Q78)</f>
        <v>0</v>
      </c>
      <c r="S78" s="19">
        <f>R78</f>
        <v>0</v>
      </c>
    </row>
    <row r="79" spans="9:19">
      <c r="I79" s="12">
        <v>76</v>
      </c>
      <c r="J79" s="12">
        <f>I79-1</f>
        <v>0</v>
      </c>
      <c r="K79" s="19">
        <f>IF(colas=2,TINV(alfa,J79),TINV(2*alfa,J79))</f>
        <v>0</v>
      </c>
      <c r="L79" s="19">
        <f>IF(ISNUMBER($E$19),$E$19*SQRT(I79),"")</f>
        <v>0</v>
      </c>
      <c r="M79" s="19">
        <f>IF(ISNUMBER($E$19),((1-NORMSDIST((K79*(1-1/(4*J79))-($E$19)*SQRT(I79))/SQRT(1+K79^2/(2*J79))))+IF(colas=2,NORMSDIST((-K79*(1-1/(4*J79))-($E$19)*SQRT(I79))/SQRT(1+K79^2/(2*J79))),0)),"")</f>
        <v>0</v>
      </c>
      <c r="N79" s="12">
        <f>IF(ISNUMBER(M79),IF(M79&gt;=potencia,I79,""),"")</f>
        <v>0</v>
      </c>
      <c r="O79" s="19">
        <f>(K79+TINV(2*(1-potencia),J79))/SQRT(I79)</f>
        <v>0</v>
      </c>
      <c r="P79" s="19">
        <f>IFERROR(O79-(((1-NORMSDIST((K79*(1-1/(4*J79))-(O79)*SQRT(I79))/SQRT(1+K79^2/(2*J79))))+IF(colas=2,NORMSDIST((-K79*(1-1/(4*J79))-(O79)*SQRT(I79))/SQRT(1+K79^2/(2*J79))),0))-potencia)/((((1-NORMSDIST((K79*(1-1/(4*J79))-(O79+(0.001*O79))*SQRT(I79))/SQRT(1+K79^2/(2*J79))))+IF(colas=2,NORMSDIST((-K79*(1-1/(4*J79))-(O79+(0.001*O79))*SQRT(I79))/SQRT(1+K79^2/(2*J79))),0))-((1-NORMSDIST((K79*(1-1/(4*J79))-(O79-(0.001*O79))*SQRT(I79))/SQRT(1+K79^2/(2*J79))))+IF(colas=2,NORMSDIST((-K79*(1-1/(4*J79))-(O79-(0.001*O79))*SQRT(I79))/SQRT(1+K79^2/(2*J79))),0)))/(2*(0.001*O79))),O79)</f>
        <v>0</v>
      </c>
      <c r="Q79" s="19">
        <f>IFERROR(P79-(((1-NORMSDIST((K79*(1-1/(4*J79))-(P79)*SQRT(I79))/SQRT(1+K79^2/(2*J79))))+IF(colas=2,NORMSDIST((-K79*(1-1/(4*J79))-(P79)*SQRT(I79))/SQRT(1+K79^2/(2*J79))),0))-potencia)/((((1-NORMSDIST((K79*(1-1/(4*J79))-(P79+(0.001*P79))*SQRT(I79))/SQRT(1+K79^2/(2*J79))))+IF(colas=2,NORMSDIST((-K79*(1-1/(4*J79))-(P79+(0.001*P79))*SQRT(I79))/SQRT(1+K79^2/(2*J79))),0))-((1-NORMSDIST((K79*(1-1/(4*J79))-(P79-(0.001*P79))*SQRT(I79))/SQRT(1+K79^2/(2*J79))))+IF(colas=2,NORMSDIST((-K79*(1-1/(4*J79))-(P79-(0.001*P79))*SQRT(I79))/SQRT(1+K79^2/(2*J79))),0)))/(2*(0.001*P79))),P79)</f>
        <v>0</v>
      </c>
      <c r="R79" s="19">
        <f>IFERROR(Q79-(((1-NORMSDIST((K79*(1-1/(4*J79))-(Q79)*SQRT(I79))/SQRT(1+K79^2/(2*J79))))+IF(colas=2,NORMSDIST((-K79*(1-1/(4*J79))-(Q79)*SQRT(I79))/SQRT(1+K79^2/(2*J79))),0))-potencia)/((((1-NORMSDIST((K79*(1-1/(4*J79))-(Q79+(0.001*Q79))*SQRT(I79))/SQRT(1+K79^2/(2*J79))))+IF(colas=2,NORMSDIST((-K79*(1-1/(4*J79))-(Q79+(0.001*Q79))*SQRT(I79))/SQRT(1+K79^2/(2*J79))),0))-((1-NORMSDIST((K79*(1-1/(4*J79))-(Q79-(0.001*Q79))*SQRT(I79))/SQRT(1+K79^2/(2*J79))))+IF(colas=2,NORMSDIST((-K79*(1-1/(4*J79))-(Q79-(0.001*Q79))*SQRT(I79))/SQRT(1+K79^2/(2*J79))),0)))/(2*(0.001*Q79))),Q79)</f>
        <v>0</v>
      </c>
      <c r="S79" s="19">
        <f>R79</f>
        <v>0</v>
      </c>
    </row>
    <row r="80" spans="9:19">
      <c r="I80" s="12">
        <v>77</v>
      </c>
      <c r="J80" s="12">
        <f>I80-1</f>
        <v>0</v>
      </c>
      <c r="K80" s="19">
        <f>IF(colas=2,TINV(alfa,J80),TINV(2*alfa,J80))</f>
        <v>0</v>
      </c>
      <c r="L80" s="19">
        <f>IF(ISNUMBER($E$19),$E$19*SQRT(I80),"")</f>
        <v>0</v>
      </c>
      <c r="M80" s="19">
        <f>IF(ISNUMBER($E$19),((1-NORMSDIST((K80*(1-1/(4*J80))-($E$19)*SQRT(I80))/SQRT(1+K80^2/(2*J80))))+IF(colas=2,NORMSDIST((-K80*(1-1/(4*J80))-($E$19)*SQRT(I80))/SQRT(1+K80^2/(2*J80))),0)),"")</f>
        <v>0</v>
      </c>
      <c r="N80" s="12">
        <f>IF(ISNUMBER(M80),IF(M80&gt;=potencia,I80,""),"")</f>
        <v>0</v>
      </c>
      <c r="O80" s="19">
        <f>(K80+TINV(2*(1-potencia),J80))/SQRT(I80)</f>
        <v>0</v>
      </c>
      <c r="P80" s="19">
        <f>IFERROR(O80-(((1-NORMSDIST((K80*(1-1/(4*J80))-(O80)*SQRT(I80))/SQRT(1+K80^2/(2*J80))))+IF(colas=2,NORMSDIST((-K80*(1-1/(4*J80))-(O80)*SQRT(I80))/SQRT(1+K80^2/(2*J80))),0))-potencia)/((((1-NORMSDIST((K80*(1-1/(4*J80))-(O80+(0.001*O80))*SQRT(I80))/SQRT(1+K80^2/(2*J80))))+IF(colas=2,NORMSDIST((-K80*(1-1/(4*J80))-(O80+(0.001*O80))*SQRT(I80))/SQRT(1+K80^2/(2*J80))),0))-((1-NORMSDIST((K80*(1-1/(4*J80))-(O80-(0.001*O80))*SQRT(I80))/SQRT(1+K80^2/(2*J80))))+IF(colas=2,NORMSDIST((-K80*(1-1/(4*J80))-(O80-(0.001*O80))*SQRT(I80))/SQRT(1+K80^2/(2*J80))),0)))/(2*(0.001*O80))),O80)</f>
        <v>0</v>
      </c>
      <c r="Q80" s="19">
        <f>IFERROR(P80-(((1-NORMSDIST((K80*(1-1/(4*J80))-(P80)*SQRT(I80))/SQRT(1+K80^2/(2*J80))))+IF(colas=2,NORMSDIST((-K80*(1-1/(4*J80))-(P80)*SQRT(I80))/SQRT(1+K80^2/(2*J80))),0))-potencia)/((((1-NORMSDIST((K80*(1-1/(4*J80))-(P80+(0.001*P80))*SQRT(I80))/SQRT(1+K80^2/(2*J80))))+IF(colas=2,NORMSDIST((-K80*(1-1/(4*J80))-(P80+(0.001*P80))*SQRT(I80))/SQRT(1+K80^2/(2*J80))),0))-((1-NORMSDIST((K80*(1-1/(4*J80))-(P80-(0.001*P80))*SQRT(I80))/SQRT(1+K80^2/(2*J80))))+IF(colas=2,NORMSDIST((-K80*(1-1/(4*J80))-(P80-(0.001*P80))*SQRT(I80))/SQRT(1+K80^2/(2*J80))),0)))/(2*(0.001*P80))),P80)</f>
        <v>0</v>
      </c>
      <c r="R80" s="19">
        <f>IFERROR(Q80-(((1-NORMSDIST((K80*(1-1/(4*J80))-(Q80)*SQRT(I80))/SQRT(1+K80^2/(2*J80))))+IF(colas=2,NORMSDIST((-K80*(1-1/(4*J80))-(Q80)*SQRT(I80))/SQRT(1+K80^2/(2*J80))),0))-potencia)/((((1-NORMSDIST((K80*(1-1/(4*J80))-(Q80+(0.001*Q80))*SQRT(I80))/SQRT(1+K80^2/(2*J80))))+IF(colas=2,NORMSDIST((-K80*(1-1/(4*J80))-(Q80+(0.001*Q80))*SQRT(I80))/SQRT(1+K80^2/(2*J80))),0))-((1-NORMSDIST((K80*(1-1/(4*J80))-(Q80-(0.001*Q80))*SQRT(I80))/SQRT(1+K80^2/(2*J80))))+IF(colas=2,NORMSDIST((-K80*(1-1/(4*J80))-(Q80-(0.001*Q80))*SQRT(I80))/SQRT(1+K80^2/(2*J80))),0)))/(2*(0.001*Q80))),Q80)</f>
        <v>0</v>
      </c>
      <c r="S80" s="19">
        <f>R80</f>
        <v>0</v>
      </c>
    </row>
    <row r="81" spans="9:19">
      <c r="I81" s="12">
        <v>78</v>
      </c>
      <c r="J81" s="12">
        <f>I81-1</f>
        <v>0</v>
      </c>
      <c r="K81" s="19">
        <f>IF(colas=2,TINV(alfa,J81),TINV(2*alfa,J81))</f>
        <v>0</v>
      </c>
      <c r="L81" s="19">
        <f>IF(ISNUMBER($E$19),$E$19*SQRT(I81),"")</f>
        <v>0</v>
      </c>
      <c r="M81" s="19">
        <f>IF(ISNUMBER($E$19),((1-NORMSDIST((K81*(1-1/(4*J81))-($E$19)*SQRT(I81))/SQRT(1+K81^2/(2*J81))))+IF(colas=2,NORMSDIST((-K81*(1-1/(4*J81))-($E$19)*SQRT(I81))/SQRT(1+K81^2/(2*J81))),0)),"")</f>
        <v>0</v>
      </c>
      <c r="N81" s="12">
        <f>IF(ISNUMBER(M81),IF(M81&gt;=potencia,I81,""),"")</f>
        <v>0</v>
      </c>
      <c r="O81" s="19">
        <f>(K81+TINV(2*(1-potencia),J81))/SQRT(I81)</f>
        <v>0</v>
      </c>
      <c r="P81" s="19">
        <f>IFERROR(O81-(((1-NORMSDIST((K81*(1-1/(4*J81))-(O81)*SQRT(I81))/SQRT(1+K81^2/(2*J81))))+IF(colas=2,NORMSDIST((-K81*(1-1/(4*J81))-(O81)*SQRT(I81))/SQRT(1+K81^2/(2*J81))),0))-potencia)/((((1-NORMSDIST((K81*(1-1/(4*J81))-(O81+(0.001*O81))*SQRT(I81))/SQRT(1+K81^2/(2*J81))))+IF(colas=2,NORMSDIST((-K81*(1-1/(4*J81))-(O81+(0.001*O81))*SQRT(I81))/SQRT(1+K81^2/(2*J81))),0))-((1-NORMSDIST((K81*(1-1/(4*J81))-(O81-(0.001*O81))*SQRT(I81))/SQRT(1+K81^2/(2*J81))))+IF(colas=2,NORMSDIST((-K81*(1-1/(4*J81))-(O81-(0.001*O81))*SQRT(I81))/SQRT(1+K81^2/(2*J81))),0)))/(2*(0.001*O81))),O81)</f>
        <v>0</v>
      </c>
      <c r="Q81" s="19">
        <f>IFERROR(P81-(((1-NORMSDIST((K81*(1-1/(4*J81))-(P81)*SQRT(I81))/SQRT(1+K81^2/(2*J81))))+IF(colas=2,NORMSDIST((-K81*(1-1/(4*J81))-(P81)*SQRT(I81))/SQRT(1+K81^2/(2*J81))),0))-potencia)/((((1-NORMSDIST((K81*(1-1/(4*J81))-(P81+(0.001*P81))*SQRT(I81))/SQRT(1+K81^2/(2*J81))))+IF(colas=2,NORMSDIST((-K81*(1-1/(4*J81))-(P81+(0.001*P81))*SQRT(I81))/SQRT(1+K81^2/(2*J81))),0))-((1-NORMSDIST((K81*(1-1/(4*J81))-(P81-(0.001*P81))*SQRT(I81))/SQRT(1+K81^2/(2*J81))))+IF(colas=2,NORMSDIST((-K81*(1-1/(4*J81))-(P81-(0.001*P81))*SQRT(I81))/SQRT(1+K81^2/(2*J81))),0)))/(2*(0.001*P81))),P81)</f>
        <v>0</v>
      </c>
      <c r="R81" s="19">
        <f>IFERROR(Q81-(((1-NORMSDIST((K81*(1-1/(4*J81))-(Q81)*SQRT(I81))/SQRT(1+K81^2/(2*J81))))+IF(colas=2,NORMSDIST((-K81*(1-1/(4*J81))-(Q81)*SQRT(I81))/SQRT(1+K81^2/(2*J81))),0))-potencia)/((((1-NORMSDIST((K81*(1-1/(4*J81))-(Q81+(0.001*Q81))*SQRT(I81))/SQRT(1+K81^2/(2*J81))))+IF(colas=2,NORMSDIST((-K81*(1-1/(4*J81))-(Q81+(0.001*Q81))*SQRT(I81))/SQRT(1+K81^2/(2*J81))),0))-((1-NORMSDIST((K81*(1-1/(4*J81))-(Q81-(0.001*Q81))*SQRT(I81))/SQRT(1+K81^2/(2*J81))))+IF(colas=2,NORMSDIST((-K81*(1-1/(4*J81))-(Q81-(0.001*Q81))*SQRT(I81))/SQRT(1+K81^2/(2*J81))),0)))/(2*(0.001*Q81))),Q81)</f>
        <v>0</v>
      </c>
      <c r="S81" s="19">
        <f>R81</f>
        <v>0</v>
      </c>
    </row>
    <row r="82" spans="9:19">
      <c r="I82" s="12">
        <v>79</v>
      </c>
      <c r="J82" s="12">
        <f>I82-1</f>
        <v>0</v>
      </c>
      <c r="K82" s="19">
        <f>IF(colas=2,TINV(alfa,J82),TINV(2*alfa,J82))</f>
        <v>0</v>
      </c>
      <c r="L82" s="19">
        <f>IF(ISNUMBER($E$19),$E$19*SQRT(I82),"")</f>
        <v>0</v>
      </c>
      <c r="M82" s="19">
        <f>IF(ISNUMBER($E$19),((1-NORMSDIST((K82*(1-1/(4*J82))-($E$19)*SQRT(I82))/SQRT(1+K82^2/(2*J82))))+IF(colas=2,NORMSDIST((-K82*(1-1/(4*J82))-($E$19)*SQRT(I82))/SQRT(1+K82^2/(2*J82))),0)),"")</f>
        <v>0</v>
      </c>
      <c r="N82" s="12">
        <f>IF(ISNUMBER(M82),IF(M82&gt;=potencia,I82,""),"")</f>
        <v>0</v>
      </c>
      <c r="O82" s="19">
        <f>(K82+TINV(2*(1-potencia),J82))/SQRT(I82)</f>
        <v>0</v>
      </c>
      <c r="P82" s="19">
        <f>IFERROR(O82-(((1-NORMSDIST((K82*(1-1/(4*J82))-(O82)*SQRT(I82))/SQRT(1+K82^2/(2*J82))))+IF(colas=2,NORMSDIST((-K82*(1-1/(4*J82))-(O82)*SQRT(I82))/SQRT(1+K82^2/(2*J82))),0))-potencia)/((((1-NORMSDIST((K82*(1-1/(4*J82))-(O82+(0.001*O82))*SQRT(I82))/SQRT(1+K82^2/(2*J82))))+IF(colas=2,NORMSDIST((-K82*(1-1/(4*J82))-(O82+(0.001*O82))*SQRT(I82))/SQRT(1+K82^2/(2*J82))),0))-((1-NORMSDIST((K82*(1-1/(4*J82))-(O82-(0.001*O82))*SQRT(I82))/SQRT(1+K82^2/(2*J82))))+IF(colas=2,NORMSDIST((-K82*(1-1/(4*J82))-(O82-(0.001*O82))*SQRT(I82))/SQRT(1+K82^2/(2*J82))),0)))/(2*(0.001*O82))),O82)</f>
        <v>0</v>
      </c>
      <c r="Q82" s="19">
        <f>IFERROR(P82-(((1-NORMSDIST((K82*(1-1/(4*J82))-(P82)*SQRT(I82))/SQRT(1+K82^2/(2*J82))))+IF(colas=2,NORMSDIST((-K82*(1-1/(4*J82))-(P82)*SQRT(I82))/SQRT(1+K82^2/(2*J82))),0))-potencia)/((((1-NORMSDIST((K82*(1-1/(4*J82))-(P82+(0.001*P82))*SQRT(I82))/SQRT(1+K82^2/(2*J82))))+IF(colas=2,NORMSDIST((-K82*(1-1/(4*J82))-(P82+(0.001*P82))*SQRT(I82))/SQRT(1+K82^2/(2*J82))),0))-((1-NORMSDIST((K82*(1-1/(4*J82))-(P82-(0.001*P82))*SQRT(I82))/SQRT(1+K82^2/(2*J82))))+IF(colas=2,NORMSDIST((-K82*(1-1/(4*J82))-(P82-(0.001*P82))*SQRT(I82))/SQRT(1+K82^2/(2*J82))),0)))/(2*(0.001*P82))),P82)</f>
        <v>0</v>
      </c>
      <c r="R82" s="19">
        <f>IFERROR(Q82-(((1-NORMSDIST((K82*(1-1/(4*J82))-(Q82)*SQRT(I82))/SQRT(1+K82^2/(2*J82))))+IF(colas=2,NORMSDIST((-K82*(1-1/(4*J82))-(Q82)*SQRT(I82))/SQRT(1+K82^2/(2*J82))),0))-potencia)/((((1-NORMSDIST((K82*(1-1/(4*J82))-(Q82+(0.001*Q82))*SQRT(I82))/SQRT(1+K82^2/(2*J82))))+IF(colas=2,NORMSDIST((-K82*(1-1/(4*J82))-(Q82+(0.001*Q82))*SQRT(I82))/SQRT(1+K82^2/(2*J82))),0))-((1-NORMSDIST((K82*(1-1/(4*J82))-(Q82-(0.001*Q82))*SQRT(I82))/SQRT(1+K82^2/(2*J82))))+IF(colas=2,NORMSDIST((-K82*(1-1/(4*J82))-(Q82-(0.001*Q82))*SQRT(I82))/SQRT(1+K82^2/(2*J82))),0)))/(2*(0.001*Q82))),Q82)</f>
        <v>0</v>
      </c>
      <c r="S82" s="19">
        <f>R82</f>
        <v>0</v>
      </c>
    </row>
    <row r="83" spans="9:19">
      <c r="I83" s="12">
        <v>80</v>
      </c>
      <c r="J83" s="12">
        <f>I83-1</f>
        <v>0</v>
      </c>
      <c r="K83" s="19">
        <f>IF(colas=2,TINV(alfa,J83),TINV(2*alfa,J83))</f>
        <v>0</v>
      </c>
      <c r="L83" s="19">
        <f>IF(ISNUMBER($E$19),$E$19*SQRT(I83),"")</f>
        <v>0</v>
      </c>
      <c r="M83" s="19">
        <f>IF(ISNUMBER($E$19),((1-NORMSDIST((K83*(1-1/(4*J83))-($E$19)*SQRT(I83))/SQRT(1+K83^2/(2*J83))))+IF(colas=2,NORMSDIST((-K83*(1-1/(4*J83))-($E$19)*SQRT(I83))/SQRT(1+K83^2/(2*J83))),0)),"")</f>
        <v>0</v>
      </c>
      <c r="N83" s="12">
        <f>IF(ISNUMBER(M83),IF(M83&gt;=potencia,I83,""),"")</f>
        <v>0</v>
      </c>
      <c r="O83" s="19">
        <f>(K83+TINV(2*(1-potencia),J83))/SQRT(I83)</f>
        <v>0</v>
      </c>
      <c r="P83" s="19">
        <f>IFERROR(O83-(((1-NORMSDIST((K83*(1-1/(4*J83))-(O83)*SQRT(I83))/SQRT(1+K83^2/(2*J83))))+IF(colas=2,NORMSDIST((-K83*(1-1/(4*J83))-(O83)*SQRT(I83))/SQRT(1+K83^2/(2*J83))),0))-potencia)/((((1-NORMSDIST((K83*(1-1/(4*J83))-(O83+(0.001*O83))*SQRT(I83))/SQRT(1+K83^2/(2*J83))))+IF(colas=2,NORMSDIST((-K83*(1-1/(4*J83))-(O83+(0.001*O83))*SQRT(I83))/SQRT(1+K83^2/(2*J83))),0))-((1-NORMSDIST((K83*(1-1/(4*J83))-(O83-(0.001*O83))*SQRT(I83))/SQRT(1+K83^2/(2*J83))))+IF(colas=2,NORMSDIST((-K83*(1-1/(4*J83))-(O83-(0.001*O83))*SQRT(I83))/SQRT(1+K83^2/(2*J83))),0)))/(2*(0.001*O83))),O83)</f>
        <v>0</v>
      </c>
      <c r="Q83" s="19">
        <f>IFERROR(P83-(((1-NORMSDIST((K83*(1-1/(4*J83))-(P83)*SQRT(I83))/SQRT(1+K83^2/(2*J83))))+IF(colas=2,NORMSDIST((-K83*(1-1/(4*J83))-(P83)*SQRT(I83))/SQRT(1+K83^2/(2*J83))),0))-potencia)/((((1-NORMSDIST((K83*(1-1/(4*J83))-(P83+(0.001*P83))*SQRT(I83))/SQRT(1+K83^2/(2*J83))))+IF(colas=2,NORMSDIST((-K83*(1-1/(4*J83))-(P83+(0.001*P83))*SQRT(I83))/SQRT(1+K83^2/(2*J83))),0))-((1-NORMSDIST((K83*(1-1/(4*J83))-(P83-(0.001*P83))*SQRT(I83))/SQRT(1+K83^2/(2*J83))))+IF(colas=2,NORMSDIST((-K83*(1-1/(4*J83))-(P83-(0.001*P83))*SQRT(I83))/SQRT(1+K83^2/(2*J83))),0)))/(2*(0.001*P83))),P83)</f>
        <v>0</v>
      </c>
      <c r="R83" s="19">
        <f>IFERROR(Q83-(((1-NORMSDIST((K83*(1-1/(4*J83))-(Q83)*SQRT(I83))/SQRT(1+K83^2/(2*J83))))+IF(colas=2,NORMSDIST((-K83*(1-1/(4*J83))-(Q83)*SQRT(I83))/SQRT(1+K83^2/(2*J83))),0))-potencia)/((((1-NORMSDIST((K83*(1-1/(4*J83))-(Q83+(0.001*Q83))*SQRT(I83))/SQRT(1+K83^2/(2*J83))))+IF(colas=2,NORMSDIST((-K83*(1-1/(4*J83))-(Q83+(0.001*Q83))*SQRT(I83))/SQRT(1+K83^2/(2*J83))),0))-((1-NORMSDIST((K83*(1-1/(4*J83))-(Q83-(0.001*Q83))*SQRT(I83))/SQRT(1+K83^2/(2*J83))))+IF(colas=2,NORMSDIST((-K83*(1-1/(4*J83))-(Q83-(0.001*Q83))*SQRT(I83))/SQRT(1+K83^2/(2*J83))),0)))/(2*(0.001*Q83))),Q83)</f>
        <v>0</v>
      </c>
      <c r="S83" s="19">
        <f>R83</f>
        <v>0</v>
      </c>
    </row>
    <row r="84" spans="9:19">
      <c r="I84" s="12">
        <v>81</v>
      </c>
      <c r="J84" s="12">
        <f>I84-1</f>
        <v>0</v>
      </c>
      <c r="K84" s="19">
        <f>IF(colas=2,TINV(alfa,J84),TINV(2*alfa,J84))</f>
        <v>0</v>
      </c>
      <c r="L84" s="19">
        <f>IF(ISNUMBER($E$19),$E$19*SQRT(I84),"")</f>
        <v>0</v>
      </c>
      <c r="M84" s="19">
        <f>IF(ISNUMBER($E$19),((1-NORMSDIST((K84*(1-1/(4*J84))-($E$19)*SQRT(I84))/SQRT(1+K84^2/(2*J84))))+IF(colas=2,NORMSDIST((-K84*(1-1/(4*J84))-($E$19)*SQRT(I84))/SQRT(1+K84^2/(2*J84))),0)),"")</f>
        <v>0</v>
      </c>
      <c r="N84" s="12">
        <f>IF(ISNUMBER(M84),IF(M84&gt;=potencia,I84,""),"")</f>
        <v>0</v>
      </c>
      <c r="O84" s="19">
        <f>(K84+TINV(2*(1-potencia),J84))/SQRT(I84)</f>
        <v>0</v>
      </c>
      <c r="P84" s="19">
        <f>IFERROR(O84-(((1-NORMSDIST((K84*(1-1/(4*J84))-(O84)*SQRT(I84))/SQRT(1+K84^2/(2*J84))))+IF(colas=2,NORMSDIST((-K84*(1-1/(4*J84))-(O84)*SQRT(I84))/SQRT(1+K84^2/(2*J84))),0))-potencia)/((((1-NORMSDIST((K84*(1-1/(4*J84))-(O84+(0.001*O84))*SQRT(I84))/SQRT(1+K84^2/(2*J84))))+IF(colas=2,NORMSDIST((-K84*(1-1/(4*J84))-(O84+(0.001*O84))*SQRT(I84))/SQRT(1+K84^2/(2*J84))),0))-((1-NORMSDIST((K84*(1-1/(4*J84))-(O84-(0.001*O84))*SQRT(I84))/SQRT(1+K84^2/(2*J84))))+IF(colas=2,NORMSDIST((-K84*(1-1/(4*J84))-(O84-(0.001*O84))*SQRT(I84))/SQRT(1+K84^2/(2*J84))),0)))/(2*(0.001*O84))),O84)</f>
        <v>0</v>
      </c>
      <c r="Q84" s="19">
        <f>IFERROR(P84-(((1-NORMSDIST((K84*(1-1/(4*J84))-(P84)*SQRT(I84))/SQRT(1+K84^2/(2*J84))))+IF(colas=2,NORMSDIST((-K84*(1-1/(4*J84))-(P84)*SQRT(I84))/SQRT(1+K84^2/(2*J84))),0))-potencia)/((((1-NORMSDIST((K84*(1-1/(4*J84))-(P84+(0.001*P84))*SQRT(I84))/SQRT(1+K84^2/(2*J84))))+IF(colas=2,NORMSDIST((-K84*(1-1/(4*J84))-(P84+(0.001*P84))*SQRT(I84))/SQRT(1+K84^2/(2*J84))),0))-((1-NORMSDIST((K84*(1-1/(4*J84))-(P84-(0.001*P84))*SQRT(I84))/SQRT(1+K84^2/(2*J84))))+IF(colas=2,NORMSDIST((-K84*(1-1/(4*J84))-(P84-(0.001*P84))*SQRT(I84))/SQRT(1+K84^2/(2*J84))),0)))/(2*(0.001*P84))),P84)</f>
        <v>0</v>
      </c>
      <c r="R84" s="19">
        <f>IFERROR(Q84-(((1-NORMSDIST((K84*(1-1/(4*J84))-(Q84)*SQRT(I84))/SQRT(1+K84^2/(2*J84))))+IF(colas=2,NORMSDIST((-K84*(1-1/(4*J84))-(Q84)*SQRT(I84))/SQRT(1+K84^2/(2*J84))),0))-potencia)/((((1-NORMSDIST((K84*(1-1/(4*J84))-(Q84+(0.001*Q84))*SQRT(I84))/SQRT(1+K84^2/(2*J84))))+IF(colas=2,NORMSDIST((-K84*(1-1/(4*J84))-(Q84+(0.001*Q84))*SQRT(I84))/SQRT(1+K84^2/(2*J84))),0))-((1-NORMSDIST((K84*(1-1/(4*J84))-(Q84-(0.001*Q84))*SQRT(I84))/SQRT(1+K84^2/(2*J84))))+IF(colas=2,NORMSDIST((-K84*(1-1/(4*J84))-(Q84-(0.001*Q84))*SQRT(I84))/SQRT(1+K84^2/(2*J84))),0)))/(2*(0.001*Q84))),Q84)</f>
        <v>0</v>
      </c>
      <c r="S84" s="19">
        <f>R84</f>
        <v>0</v>
      </c>
    </row>
    <row r="85" spans="9:19">
      <c r="I85" s="12">
        <v>82</v>
      </c>
      <c r="J85" s="12">
        <f>I85-1</f>
        <v>0</v>
      </c>
      <c r="K85" s="19">
        <f>IF(colas=2,TINV(alfa,J85),TINV(2*alfa,J85))</f>
        <v>0</v>
      </c>
      <c r="L85" s="19">
        <f>IF(ISNUMBER($E$19),$E$19*SQRT(I85),"")</f>
        <v>0</v>
      </c>
      <c r="M85" s="19">
        <f>IF(ISNUMBER($E$19),((1-NORMSDIST((K85*(1-1/(4*J85))-($E$19)*SQRT(I85))/SQRT(1+K85^2/(2*J85))))+IF(colas=2,NORMSDIST((-K85*(1-1/(4*J85))-($E$19)*SQRT(I85))/SQRT(1+K85^2/(2*J85))),0)),"")</f>
        <v>0</v>
      </c>
      <c r="N85" s="12">
        <f>IF(ISNUMBER(M85),IF(M85&gt;=potencia,I85,""),"")</f>
        <v>0</v>
      </c>
      <c r="O85" s="19">
        <f>(K85+TINV(2*(1-potencia),J85))/SQRT(I85)</f>
        <v>0</v>
      </c>
      <c r="P85" s="19">
        <f>IFERROR(O85-(((1-NORMSDIST((K85*(1-1/(4*J85))-(O85)*SQRT(I85))/SQRT(1+K85^2/(2*J85))))+IF(colas=2,NORMSDIST((-K85*(1-1/(4*J85))-(O85)*SQRT(I85))/SQRT(1+K85^2/(2*J85))),0))-potencia)/((((1-NORMSDIST((K85*(1-1/(4*J85))-(O85+(0.001*O85))*SQRT(I85))/SQRT(1+K85^2/(2*J85))))+IF(colas=2,NORMSDIST((-K85*(1-1/(4*J85))-(O85+(0.001*O85))*SQRT(I85))/SQRT(1+K85^2/(2*J85))),0))-((1-NORMSDIST((K85*(1-1/(4*J85))-(O85-(0.001*O85))*SQRT(I85))/SQRT(1+K85^2/(2*J85))))+IF(colas=2,NORMSDIST((-K85*(1-1/(4*J85))-(O85-(0.001*O85))*SQRT(I85))/SQRT(1+K85^2/(2*J85))),0)))/(2*(0.001*O85))),O85)</f>
        <v>0</v>
      </c>
      <c r="Q85" s="19">
        <f>IFERROR(P85-(((1-NORMSDIST((K85*(1-1/(4*J85))-(P85)*SQRT(I85))/SQRT(1+K85^2/(2*J85))))+IF(colas=2,NORMSDIST((-K85*(1-1/(4*J85))-(P85)*SQRT(I85))/SQRT(1+K85^2/(2*J85))),0))-potencia)/((((1-NORMSDIST((K85*(1-1/(4*J85))-(P85+(0.001*P85))*SQRT(I85))/SQRT(1+K85^2/(2*J85))))+IF(colas=2,NORMSDIST((-K85*(1-1/(4*J85))-(P85+(0.001*P85))*SQRT(I85))/SQRT(1+K85^2/(2*J85))),0))-((1-NORMSDIST((K85*(1-1/(4*J85))-(P85-(0.001*P85))*SQRT(I85))/SQRT(1+K85^2/(2*J85))))+IF(colas=2,NORMSDIST((-K85*(1-1/(4*J85))-(P85-(0.001*P85))*SQRT(I85))/SQRT(1+K85^2/(2*J85))),0)))/(2*(0.001*P85))),P85)</f>
        <v>0</v>
      </c>
      <c r="R85" s="19">
        <f>IFERROR(Q85-(((1-NORMSDIST((K85*(1-1/(4*J85))-(Q85)*SQRT(I85))/SQRT(1+K85^2/(2*J85))))+IF(colas=2,NORMSDIST((-K85*(1-1/(4*J85))-(Q85)*SQRT(I85))/SQRT(1+K85^2/(2*J85))),0))-potencia)/((((1-NORMSDIST((K85*(1-1/(4*J85))-(Q85+(0.001*Q85))*SQRT(I85))/SQRT(1+K85^2/(2*J85))))+IF(colas=2,NORMSDIST((-K85*(1-1/(4*J85))-(Q85+(0.001*Q85))*SQRT(I85))/SQRT(1+K85^2/(2*J85))),0))-((1-NORMSDIST((K85*(1-1/(4*J85))-(Q85-(0.001*Q85))*SQRT(I85))/SQRT(1+K85^2/(2*J85))))+IF(colas=2,NORMSDIST((-K85*(1-1/(4*J85))-(Q85-(0.001*Q85))*SQRT(I85))/SQRT(1+K85^2/(2*J85))),0)))/(2*(0.001*Q85))),Q85)</f>
        <v>0</v>
      </c>
      <c r="S85" s="19">
        <f>R85</f>
        <v>0</v>
      </c>
    </row>
    <row r="86" spans="9:19">
      <c r="I86" s="12">
        <v>83</v>
      </c>
      <c r="J86" s="12">
        <f>I86-1</f>
        <v>0</v>
      </c>
      <c r="K86" s="19">
        <f>IF(colas=2,TINV(alfa,J86),TINV(2*alfa,J86))</f>
        <v>0</v>
      </c>
      <c r="L86" s="19">
        <f>IF(ISNUMBER($E$19),$E$19*SQRT(I86),"")</f>
        <v>0</v>
      </c>
      <c r="M86" s="19">
        <f>IF(ISNUMBER($E$19),((1-NORMSDIST((K86*(1-1/(4*J86))-($E$19)*SQRT(I86))/SQRT(1+K86^2/(2*J86))))+IF(colas=2,NORMSDIST((-K86*(1-1/(4*J86))-($E$19)*SQRT(I86))/SQRT(1+K86^2/(2*J86))),0)),"")</f>
        <v>0</v>
      </c>
      <c r="N86" s="12">
        <f>IF(ISNUMBER(M86),IF(M86&gt;=potencia,I86,""),"")</f>
        <v>0</v>
      </c>
      <c r="O86" s="19">
        <f>(K86+TINV(2*(1-potencia),J86))/SQRT(I86)</f>
        <v>0</v>
      </c>
      <c r="P86" s="19">
        <f>IFERROR(O86-(((1-NORMSDIST((K86*(1-1/(4*J86))-(O86)*SQRT(I86))/SQRT(1+K86^2/(2*J86))))+IF(colas=2,NORMSDIST((-K86*(1-1/(4*J86))-(O86)*SQRT(I86))/SQRT(1+K86^2/(2*J86))),0))-potencia)/((((1-NORMSDIST((K86*(1-1/(4*J86))-(O86+(0.001*O86))*SQRT(I86))/SQRT(1+K86^2/(2*J86))))+IF(colas=2,NORMSDIST((-K86*(1-1/(4*J86))-(O86+(0.001*O86))*SQRT(I86))/SQRT(1+K86^2/(2*J86))),0))-((1-NORMSDIST((K86*(1-1/(4*J86))-(O86-(0.001*O86))*SQRT(I86))/SQRT(1+K86^2/(2*J86))))+IF(colas=2,NORMSDIST((-K86*(1-1/(4*J86))-(O86-(0.001*O86))*SQRT(I86))/SQRT(1+K86^2/(2*J86))),0)))/(2*(0.001*O86))),O86)</f>
        <v>0</v>
      </c>
      <c r="Q86" s="19">
        <f>IFERROR(P86-(((1-NORMSDIST((K86*(1-1/(4*J86))-(P86)*SQRT(I86))/SQRT(1+K86^2/(2*J86))))+IF(colas=2,NORMSDIST((-K86*(1-1/(4*J86))-(P86)*SQRT(I86))/SQRT(1+K86^2/(2*J86))),0))-potencia)/((((1-NORMSDIST((K86*(1-1/(4*J86))-(P86+(0.001*P86))*SQRT(I86))/SQRT(1+K86^2/(2*J86))))+IF(colas=2,NORMSDIST((-K86*(1-1/(4*J86))-(P86+(0.001*P86))*SQRT(I86))/SQRT(1+K86^2/(2*J86))),0))-((1-NORMSDIST((K86*(1-1/(4*J86))-(P86-(0.001*P86))*SQRT(I86))/SQRT(1+K86^2/(2*J86))))+IF(colas=2,NORMSDIST((-K86*(1-1/(4*J86))-(P86-(0.001*P86))*SQRT(I86))/SQRT(1+K86^2/(2*J86))),0)))/(2*(0.001*P86))),P86)</f>
        <v>0</v>
      </c>
      <c r="R86" s="19">
        <f>IFERROR(Q86-(((1-NORMSDIST((K86*(1-1/(4*J86))-(Q86)*SQRT(I86))/SQRT(1+K86^2/(2*J86))))+IF(colas=2,NORMSDIST((-K86*(1-1/(4*J86))-(Q86)*SQRT(I86))/SQRT(1+K86^2/(2*J86))),0))-potencia)/((((1-NORMSDIST((K86*(1-1/(4*J86))-(Q86+(0.001*Q86))*SQRT(I86))/SQRT(1+K86^2/(2*J86))))+IF(colas=2,NORMSDIST((-K86*(1-1/(4*J86))-(Q86+(0.001*Q86))*SQRT(I86))/SQRT(1+K86^2/(2*J86))),0))-((1-NORMSDIST((K86*(1-1/(4*J86))-(Q86-(0.001*Q86))*SQRT(I86))/SQRT(1+K86^2/(2*J86))))+IF(colas=2,NORMSDIST((-K86*(1-1/(4*J86))-(Q86-(0.001*Q86))*SQRT(I86))/SQRT(1+K86^2/(2*J86))),0)))/(2*(0.001*Q86))),Q86)</f>
        <v>0</v>
      </c>
      <c r="S86" s="19">
        <f>R86</f>
        <v>0</v>
      </c>
    </row>
    <row r="87" spans="9:19">
      <c r="I87" s="12">
        <v>84</v>
      </c>
      <c r="J87" s="12">
        <f>I87-1</f>
        <v>0</v>
      </c>
      <c r="K87" s="19">
        <f>IF(colas=2,TINV(alfa,J87),TINV(2*alfa,J87))</f>
        <v>0</v>
      </c>
      <c r="L87" s="19">
        <f>IF(ISNUMBER($E$19),$E$19*SQRT(I87),"")</f>
        <v>0</v>
      </c>
      <c r="M87" s="19">
        <f>IF(ISNUMBER($E$19),((1-NORMSDIST((K87*(1-1/(4*J87))-($E$19)*SQRT(I87))/SQRT(1+K87^2/(2*J87))))+IF(colas=2,NORMSDIST((-K87*(1-1/(4*J87))-($E$19)*SQRT(I87))/SQRT(1+K87^2/(2*J87))),0)),"")</f>
        <v>0</v>
      </c>
      <c r="N87" s="12">
        <f>IF(ISNUMBER(M87),IF(M87&gt;=potencia,I87,""),"")</f>
        <v>0</v>
      </c>
      <c r="O87" s="19">
        <f>(K87+TINV(2*(1-potencia),J87))/SQRT(I87)</f>
        <v>0</v>
      </c>
      <c r="P87" s="19">
        <f>IFERROR(O87-(((1-NORMSDIST((K87*(1-1/(4*J87))-(O87)*SQRT(I87))/SQRT(1+K87^2/(2*J87))))+IF(colas=2,NORMSDIST((-K87*(1-1/(4*J87))-(O87)*SQRT(I87))/SQRT(1+K87^2/(2*J87))),0))-potencia)/((((1-NORMSDIST((K87*(1-1/(4*J87))-(O87+(0.001*O87))*SQRT(I87))/SQRT(1+K87^2/(2*J87))))+IF(colas=2,NORMSDIST((-K87*(1-1/(4*J87))-(O87+(0.001*O87))*SQRT(I87))/SQRT(1+K87^2/(2*J87))),0))-((1-NORMSDIST((K87*(1-1/(4*J87))-(O87-(0.001*O87))*SQRT(I87))/SQRT(1+K87^2/(2*J87))))+IF(colas=2,NORMSDIST((-K87*(1-1/(4*J87))-(O87-(0.001*O87))*SQRT(I87))/SQRT(1+K87^2/(2*J87))),0)))/(2*(0.001*O87))),O87)</f>
        <v>0</v>
      </c>
      <c r="Q87" s="19">
        <f>IFERROR(P87-(((1-NORMSDIST((K87*(1-1/(4*J87))-(P87)*SQRT(I87))/SQRT(1+K87^2/(2*J87))))+IF(colas=2,NORMSDIST((-K87*(1-1/(4*J87))-(P87)*SQRT(I87))/SQRT(1+K87^2/(2*J87))),0))-potencia)/((((1-NORMSDIST((K87*(1-1/(4*J87))-(P87+(0.001*P87))*SQRT(I87))/SQRT(1+K87^2/(2*J87))))+IF(colas=2,NORMSDIST((-K87*(1-1/(4*J87))-(P87+(0.001*P87))*SQRT(I87))/SQRT(1+K87^2/(2*J87))),0))-((1-NORMSDIST((K87*(1-1/(4*J87))-(P87-(0.001*P87))*SQRT(I87))/SQRT(1+K87^2/(2*J87))))+IF(colas=2,NORMSDIST((-K87*(1-1/(4*J87))-(P87-(0.001*P87))*SQRT(I87))/SQRT(1+K87^2/(2*J87))),0)))/(2*(0.001*P87))),P87)</f>
        <v>0</v>
      </c>
      <c r="R87" s="19">
        <f>IFERROR(Q87-(((1-NORMSDIST((K87*(1-1/(4*J87))-(Q87)*SQRT(I87))/SQRT(1+K87^2/(2*J87))))+IF(colas=2,NORMSDIST((-K87*(1-1/(4*J87))-(Q87)*SQRT(I87))/SQRT(1+K87^2/(2*J87))),0))-potencia)/((((1-NORMSDIST((K87*(1-1/(4*J87))-(Q87+(0.001*Q87))*SQRT(I87))/SQRT(1+K87^2/(2*J87))))+IF(colas=2,NORMSDIST((-K87*(1-1/(4*J87))-(Q87+(0.001*Q87))*SQRT(I87))/SQRT(1+K87^2/(2*J87))),0))-((1-NORMSDIST((K87*(1-1/(4*J87))-(Q87-(0.001*Q87))*SQRT(I87))/SQRT(1+K87^2/(2*J87))))+IF(colas=2,NORMSDIST((-K87*(1-1/(4*J87))-(Q87-(0.001*Q87))*SQRT(I87))/SQRT(1+K87^2/(2*J87))),0)))/(2*(0.001*Q87))),Q87)</f>
        <v>0</v>
      </c>
      <c r="S87" s="19">
        <f>R87</f>
        <v>0</v>
      </c>
    </row>
    <row r="88" spans="9:19">
      <c r="I88" s="12">
        <v>85</v>
      </c>
      <c r="J88" s="12">
        <f>I88-1</f>
        <v>0</v>
      </c>
      <c r="K88" s="19">
        <f>IF(colas=2,TINV(alfa,J88),TINV(2*alfa,J88))</f>
        <v>0</v>
      </c>
      <c r="L88" s="19">
        <f>IF(ISNUMBER($E$19),$E$19*SQRT(I88),"")</f>
        <v>0</v>
      </c>
      <c r="M88" s="19">
        <f>IF(ISNUMBER($E$19),((1-NORMSDIST((K88*(1-1/(4*J88))-($E$19)*SQRT(I88))/SQRT(1+K88^2/(2*J88))))+IF(colas=2,NORMSDIST((-K88*(1-1/(4*J88))-($E$19)*SQRT(I88))/SQRT(1+K88^2/(2*J88))),0)),"")</f>
        <v>0</v>
      </c>
      <c r="N88" s="12">
        <f>IF(ISNUMBER(M88),IF(M88&gt;=potencia,I88,""),"")</f>
        <v>0</v>
      </c>
      <c r="O88" s="19">
        <f>(K88+TINV(2*(1-potencia),J88))/SQRT(I88)</f>
        <v>0</v>
      </c>
      <c r="P88" s="19">
        <f>IFERROR(O88-(((1-NORMSDIST((K88*(1-1/(4*J88))-(O88)*SQRT(I88))/SQRT(1+K88^2/(2*J88))))+IF(colas=2,NORMSDIST((-K88*(1-1/(4*J88))-(O88)*SQRT(I88))/SQRT(1+K88^2/(2*J88))),0))-potencia)/((((1-NORMSDIST((K88*(1-1/(4*J88))-(O88+(0.001*O88))*SQRT(I88))/SQRT(1+K88^2/(2*J88))))+IF(colas=2,NORMSDIST((-K88*(1-1/(4*J88))-(O88+(0.001*O88))*SQRT(I88))/SQRT(1+K88^2/(2*J88))),0))-((1-NORMSDIST((K88*(1-1/(4*J88))-(O88-(0.001*O88))*SQRT(I88))/SQRT(1+K88^2/(2*J88))))+IF(colas=2,NORMSDIST((-K88*(1-1/(4*J88))-(O88-(0.001*O88))*SQRT(I88))/SQRT(1+K88^2/(2*J88))),0)))/(2*(0.001*O88))),O88)</f>
        <v>0</v>
      </c>
      <c r="Q88" s="19">
        <f>IFERROR(P88-(((1-NORMSDIST((K88*(1-1/(4*J88))-(P88)*SQRT(I88))/SQRT(1+K88^2/(2*J88))))+IF(colas=2,NORMSDIST((-K88*(1-1/(4*J88))-(P88)*SQRT(I88))/SQRT(1+K88^2/(2*J88))),0))-potencia)/((((1-NORMSDIST((K88*(1-1/(4*J88))-(P88+(0.001*P88))*SQRT(I88))/SQRT(1+K88^2/(2*J88))))+IF(colas=2,NORMSDIST((-K88*(1-1/(4*J88))-(P88+(0.001*P88))*SQRT(I88))/SQRT(1+K88^2/(2*J88))),0))-((1-NORMSDIST((K88*(1-1/(4*J88))-(P88-(0.001*P88))*SQRT(I88))/SQRT(1+K88^2/(2*J88))))+IF(colas=2,NORMSDIST((-K88*(1-1/(4*J88))-(P88-(0.001*P88))*SQRT(I88))/SQRT(1+K88^2/(2*J88))),0)))/(2*(0.001*P88))),P88)</f>
        <v>0</v>
      </c>
      <c r="R88" s="19">
        <f>IFERROR(Q88-(((1-NORMSDIST((K88*(1-1/(4*J88))-(Q88)*SQRT(I88))/SQRT(1+K88^2/(2*J88))))+IF(colas=2,NORMSDIST((-K88*(1-1/(4*J88))-(Q88)*SQRT(I88))/SQRT(1+K88^2/(2*J88))),0))-potencia)/((((1-NORMSDIST((K88*(1-1/(4*J88))-(Q88+(0.001*Q88))*SQRT(I88))/SQRT(1+K88^2/(2*J88))))+IF(colas=2,NORMSDIST((-K88*(1-1/(4*J88))-(Q88+(0.001*Q88))*SQRT(I88))/SQRT(1+K88^2/(2*J88))),0))-((1-NORMSDIST((K88*(1-1/(4*J88))-(Q88-(0.001*Q88))*SQRT(I88))/SQRT(1+K88^2/(2*J88))))+IF(colas=2,NORMSDIST((-K88*(1-1/(4*J88))-(Q88-(0.001*Q88))*SQRT(I88))/SQRT(1+K88^2/(2*J88))),0)))/(2*(0.001*Q88))),Q88)</f>
        <v>0</v>
      </c>
      <c r="S88" s="19">
        <f>R88</f>
        <v>0</v>
      </c>
    </row>
    <row r="89" spans="9:19">
      <c r="I89" s="12">
        <v>86</v>
      </c>
      <c r="J89" s="12">
        <f>I89-1</f>
        <v>0</v>
      </c>
      <c r="K89" s="19">
        <f>IF(colas=2,TINV(alfa,J89),TINV(2*alfa,J89))</f>
        <v>0</v>
      </c>
      <c r="L89" s="19">
        <f>IF(ISNUMBER($E$19),$E$19*SQRT(I89),"")</f>
        <v>0</v>
      </c>
      <c r="M89" s="19">
        <f>IF(ISNUMBER($E$19),((1-NORMSDIST((K89*(1-1/(4*J89))-($E$19)*SQRT(I89))/SQRT(1+K89^2/(2*J89))))+IF(colas=2,NORMSDIST((-K89*(1-1/(4*J89))-($E$19)*SQRT(I89))/SQRT(1+K89^2/(2*J89))),0)),"")</f>
        <v>0</v>
      </c>
      <c r="N89" s="12">
        <f>IF(ISNUMBER(M89),IF(M89&gt;=potencia,I89,""),"")</f>
        <v>0</v>
      </c>
      <c r="O89" s="19">
        <f>(K89+TINV(2*(1-potencia),J89))/SQRT(I89)</f>
        <v>0</v>
      </c>
      <c r="P89" s="19">
        <f>IFERROR(O89-(((1-NORMSDIST((K89*(1-1/(4*J89))-(O89)*SQRT(I89))/SQRT(1+K89^2/(2*J89))))+IF(colas=2,NORMSDIST((-K89*(1-1/(4*J89))-(O89)*SQRT(I89))/SQRT(1+K89^2/(2*J89))),0))-potencia)/((((1-NORMSDIST((K89*(1-1/(4*J89))-(O89+(0.001*O89))*SQRT(I89))/SQRT(1+K89^2/(2*J89))))+IF(colas=2,NORMSDIST((-K89*(1-1/(4*J89))-(O89+(0.001*O89))*SQRT(I89))/SQRT(1+K89^2/(2*J89))),0))-((1-NORMSDIST((K89*(1-1/(4*J89))-(O89-(0.001*O89))*SQRT(I89))/SQRT(1+K89^2/(2*J89))))+IF(colas=2,NORMSDIST((-K89*(1-1/(4*J89))-(O89-(0.001*O89))*SQRT(I89))/SQRT(1+K89^2/(2*J89))),0)))/(2*(0.001*O89))),O89)</f>
        <v>0</v>
      </c>
      <c r="Q89" s="19">
        <f>IFERROR(P89-(((1-NORMSDIST((K89*(1-1/(4*J89))-(P89)*SQRT(I89))/SQRT(1+K89^2/(2*J89))))+IF(colas=2,NORMSDIST((-K89*(1-1/(4*J89))-(P89)*SQRT(I89))/SQRT(1+K89^2/(2*J89))),0))-potencia)/((((1-NORMSDIST((K89*(1-1/(4*J89))-(P89+(0.001*P89))*SQRT(I89))/SQRT(1+K89^2/(2*J89))))+IF(colas=2,NORMSDIST((-K89*(1-1/(4*J89))-(P89+(0.001*P89))*SQRT(I89))/SQRT(1+K89^2/(2*J89))),0))-((1-NORMSDIST((K89*(1-1/(4*J89))-(P89-(0.001*P89))*SQRT(I89))/SQRT(1+K89^2/(2*J89))))+IF(colas=2,NORMSDIST((-K89*(1-1/(4*J89))-(P89-(0.001*P89))*SQRT(I89))/SQRT(1+K89^2/(2*J89))),0)))/(2*(0.001*P89))),P89)</f>
        <v>0</v>
      </c>
      <c r="R89" s="19">
        <f>IFERROR(Q89-(((1-NORMSDIST((K89*(1-1/(4*J89))-(Q89)*SQRT(I89))/SQRT(1+K89^2/(2*J89))))+IF(colas=2,NORMSDIST((-K89*(1-1/(4*J89))-(Q89)*SQRT(I89))/SQRT(1+K89^2/(2*J89))),0))-potencia)/((((1-NORMSDIST((K89*(1-1/(4*J89))-(Q89+(0.001*Q89))*SQRT(I89))/SQRT(1+K89^2/(2*J89))))+IF(colas=2,NORMSDIST((-K89*(1-1/(4*J89))-(Q89+(0.001*Q89))*SQRT(I89))/SQRT(1+K89^2/(2*J89))),0))-((1-NORMSDIST((K89*(1-1/(4*J89))-(Q89-(0.001*Q89))*SQRT(I89))/SQRT(1+K89^2/(2*J89))))+IF(colas=2,NORMSDIST((-K89*(1-1/(4*J89))-(Q89-(0.001*Q89))*SQRT(I89))/SQRT(1+K89^2/(2*J89))),0)))/(2*(0.001*Q89))),Q89)</f>
        <v>0</v>
      </c>
      <c r="S89" s="19">
        <f>R89</f>
        <v>0</v>
      </c>
    </row>
    <row r="90" spans="9:19">
      <c r="I90" s="12">
        <v>87</v>
      </c>
      <c r="J90" s="12">
        <f>I90-1</f>
        <v>0</v>
      </c>
      <c r="K90" s="19">
        <f>IF(colas=2,TINV(alfa,J90),TINV(2*alfa,J90))</f>
        <v>0</v>
      </c>
      <c r="L90" s="19">
        <f>IF(ISNUMBER($E$19),$E$19*SQRT(I90),"")</f>
        <v>0</v>
      </c>
      <c r="M90" s="19">
        <f>IF(ISNUMBER($E$19),((1-NORMSDIST((K90*(1-1/(4*J90))-($E$19)*SQRT(I90))/SQRT(1+K90^2/(2*J90))))+IF(colas=2,NORMSDIST((-K90*(1-1/(4*J90))-($E$19)*SQRT(I90))/SQRT(1+K90^2/(2*J90))),0)),"")</f>
        <v>0</v>
      </c>
      <c r="N90" s="12">
        <f>IF(ISNUMBER(M90),IF(M90&gt;=potencia,I90,""),"")</f>
        <v>0</v>
      </c>
      <c r="O90" s="19">
        <f>(K90+TINV(2*(1-potencia),J90))/SQRT(I90)</f>
        <v>0</v>
      </c>
      <c r="P90" s="19">
        <f>IFERROR(O90-(((1-NORMSDIST((K90*(1-1/(4*J90))-(O90)*SQRT(I90))/SQRT(1+K90^2/(2*J90))))+IF(colas=2,NORMSDIST((-K90*(1-1/(4*J90))-(O90)*SQRT(I90))/SQRT(1+K90^2/(2*J90))),0))-potencia)/((((1-NORMSDIST((K90*(1-1/(4*J90))-(O90+(0.001*O90))*SQRT(I90))/SQRT(1+K90^2/(2*J90))))+IF(colas=2,NORMSDIST((-K90*(1-1/(4*J90))-(O90+(0.001*O90))*SQRT(I90))/SQRT(1+K90^2/(2*J90))),0))-((1-NORMSDIST((K90*(1-1/(4*J90))-(O90-(0.001*O90))*SQRT(I90))/SQRT(1+K90^2/(2*J90))))+IF(colas=2,NORMSDIST((-K90*(1-1/(4*J90))-(O90-(0.001*O90))*SQRT(I90))/SQRT(1+K90^2/(2*J90))),0)))/(2*(0.001*O90))),O90)</f>
        <v>0</v>
      </c>
      <c r="Q90" s="19">
        <f>IFERROR(P90-(((1-NORMSDIST((K90*(1-1/(4*J90))-(P90)*SQRT(I90))/SQRT(1+K90^2/(2*J90))))+IF(colas=2,NORMSDIST((-K90*(1-1/(4*J90))-(P90)*SQRT(I90))/SQRT(1+K90^2/(2*J90))),0))-potencia)/((((1-NORMSDIST((K90*(1-1/(4*J90))-(P90+(0.001*P90))*SQRT(I90))/SQRT(1+K90^2/(2*J90))))+IF(colas=2,NORMSDIST((-K90*(1-1/(4*J90))-(P90+(0.001*P90))*SQRT(I90))/SQRT(1+K90^2/(2*J90))),0))-((1-NORMSDIST((K90*(1-1/(4*J90))-(P90-(0.001*P90))*SQRT(I90))/SQRT(1+K90^2/(2*J90))))+IF(colas=2,NORMSDIST((-K90*(1-1/(4*J90))-(P90-(0.001*P90))*SQRT(I90))/SQRT(1+K90^2/(2*J90))),0)))/(2*(0.001*P90))),P90)</f>
        <v>0</v>
      </c>
      <c r="R90" s="19">
        <f>IFERROR(Q90-(((1-NORMSDIST((K90*(1-1/(4*J90))-(Q90)*SQRT(I90))/SQRT(1+K90^2/(2*J90))))+IF(colas=2,NORMSDIST((-K90*(1-1/(4*J90))-(Q90)*SQRT(I90))/SQRT(1+K90^2/(2*J90))),0))-potencia)/((((1-NORMSDIST((K90*(1-1/(4*J90))-(Q90+(0.001*Q90))*SQRT(I90))/SQRT(1+K90^2/(2*J90))))+IF(colas=2,NORMSDIST((-K90*(1-1/(4*J90))-(Q90+(0.001*Q90))*SQRT(I90))/SQRT(1+K90^2/(2*J90))),0))-((1-NORMSDIST((K90*(1-1/(4*J90))-(Q90-(0.001*Q90))*SQRT(I90))/SQRT(1+K90^2/(2*J90))))+IF(colas=2,NORMSDIST((-K90*(1-1/(4*J90))-(Q90-(0.001*Q90))*SQRT(I90))/SQRT(1+K90^2/(2*J90))),0)))/(2*(0.001*Q90))),Q90)</f>
        <v>0</v>
      </c>
      <c r="S90" s="19">
        <f>R90</f>
        <v>0</v>
      </c>
    </row>
    <row r="91" spans="9:19">
      <c r="I91" s="12">
        <v>88</v>
      </c>
      <c r="J91" s="12">
        <f>I91-1</f>
        <v>0</v>
      </c>
      <c r="K91" s="19">
        <f>IF(colas=2,TINV(alfa,J91),TINV(2*alfa,J91))</f>
        <v>0</v>
      </c>
      <c r="L91" s="19">
        <f>IF(ISNUMBER($E$19),$E$19*SQRT(I91),"")</f>
        <v>0</v>
      </c>
      <c r="M91" s="19">
        <f>IF(ISNUMBER($E$19),((1-NORMSDIST((K91*(1-1/(4*J91))-($E$19)*SQRT(I91))/SQRT(1+K91^2/(2*J91))))+IF(colas=2,NORMSDIST((-K91*(1-1/(4*J91))-($E$19)*SQRT(I91))/SQRT(1+K91^2/(2*J91))),0)),"")</f>
        <v>0</v>
      </c>
      <c r="N91" s="12">
        <f>IF(ISNUMBER(M91),IF(M91&gt;=potencia,I91,""),"")</f>
        <v>0</v>
      </c>
      <c r="O91" s="19">
        <f>(K91+TINV(2*(1-potencia),J91))/SQRT(I91)</f>
        <v>0</v>
      </c>
      <c r="P91" s="19">
        <f>IFERROR(O91-(((1-NORMSDIST((K91*(1-1/(4*J91))-(O91)*SQRT(I91))/SQRT(1+K91^2/(2*J91))))+IF(colas=2,NORMSDIST((-K91*(1-1/(4*J91))-(O91)*SQRT(I91))/SQRT(1+K91^2/(2*J91))),0))-potencia)/((((1-NORMSDIST((K91*(1-1/(4*J91))-(O91+(0.001*O91))*SQRT(I91))/SQRT(1+K91^2/(2*J91))))+IF(colas=2,NORMSDIST((-K91*(1-1/(4*J91))-(O91+(0.001*O91))*SQRT(I91))/SQRT(1+K91^2/(2*J91))),0))-((1-NORMSDIST((K91*(1-1/(4*J91))-(O91-(0.001*O91))*SQRT(I91))/SQRT(1+K91^2/(2*J91))))+IF(colas=2,NORMSDIST((-K91*(1-1/(4*J91))-(O91-(0.001*O91))*SQRT(I91))/SQRT(1+K91^2/(2*J91))),0)))/(2*(0.001*O91))),O91)</f>
        <v>0</v>
      </c>
      <c r="Q91" s="19">
        <f>IFERROR(P91-(((1-NORMSDIST((K91*(1-1/(4*J91))-(P91)*SQRT(I91))/SQRT(1+K91^2/(2*J91))))+IF(colas=2,NORMSDIST((-K91*(1-1/(4*J91))-(P91)*SQRT(I91))/SQRT(1+K91^2/(2*J91))),0))-potencia)/((((1-NORMSDIST((K91*(1-1/(4*J91))-(P91+(0.001*P91))*SQRT(I91))/SQRT(1+K91^2/(2*J91))))+IF(colas=2,NORMSDIST((-K91*(1-1/(4*J91))-(P91+(0.001*P91))*SQRT(I91))/SQRT(1+K91^2/(2*J91))),0))-((1-NORMSDIST((K91*(1-1/(4*J91))-(P91-(0.001*P91))*SQRT(I91))/SQRT(1+K91^2/(2*J91))))+IF(colas=2,NORMSDIST((-K91*(1-1/(4*J91))-(P91-(0.001*P91))*SQRT(I91))/SQRT(1+K91^2/(2*J91))),0)))/(2*(0.001*P91))),P91)</f>
        <v>0</v>
      </c>
      <c r="R91" s="19">
        <f>IFERROR(Q91-(((1-NORMSDIST((K91*(1-1/(4*J91))-(Q91)*SQRT(I91))/SQRT(1+K91^2/(2*J91))))+IF(colas=2,NORMSDIST((-K91*(1-1/(4*J91))-(Q91)*SQRT(I91))/SQRT(1+K91^2/(2*J91))),0))-potencia)/((((1-NORMSDIST((K91*(1-1/(4*J91))-(Q91+(0.001*Q91))*SQRT(I91))/SQRT(1+K91^2/(2*J91))))+IF(colas=2,NORMSDIST((-K91*(1-1/(4*J91))-(Q91+(0.001*Q91))*SQRT(I91))/SQRT(1+K91^2/(2*J91))),0))-((1-NORMSDIST((K91*(1-1/(4*J91))-(Q91-(0.001*Q91))*SQRT(I91))/SQRT(1+K91^2/(2*J91))))+IF(colas=2,NORMSDIST((-K91*(1-1/(4*J91))-(Q91-(0.001*Q91))*SQRT(I91))/SQRT(1+K91^2/(2*J91))),0)))/(2*(0.001*Q91))),Q91)</f>
        <v>0</v>
      </c>
      <c r="S91" s="19">
        <f>R91</f>
        <v>0</v>
      </c>
    </row>
    <row r="92" spans="9:19">
      <c r="I92" s="12">
        <v>89</v>
      </c>
      <c r="J92" s="12">
        <f>I92-1</f>
        <v>0</v>
      </c>
      <c r="K92" s="19">
        <f>IF(colas=2,TINV(alfa,J92),TINV(2*alfa,J92))</f>
        <v>0</v>
      </c>
      <c r="L92" s="19">
        <f>IF(ISNUMBER($E$19),$E$19*SQRT(I92),"")</f>
        <v>0</v>
      </c>
      <c r="M92" s="19">
        <f>IF(ISNUMBER($E$19),((1-NORMSDIST((K92*(1-1/(4*J92))-($E$19)*SQRT(I92))/SQRT(1+K92^2/(2*J92))))+IF(colas=2,NORMSDIST((-K92*(1-1/(4*J92))-($E$19)*SQRT(I92))/SQRT(1+K92^2/(2*J92))),0)),"")</f>
        <v>0</v>
      </c>
      <c r="N92" s="12">
        <f>IF(ISNUMBER(M92),IF(M92&gt;=potencia,I92,""),"")</f>
        <v>0</v>
      </c>
      <c r="O92" s="19">
        <f>(K92+TINV(2*(1-potencia),J92))/SQRT(I92)</f>
        <v>0</v>
      </c>
      <c r="P92" s="19">
        <f>IFERROR(O92-(((1-NORMSDIST((K92*(1-1/(4*J92))-(O92)*SQRT(I92))/SQRT(1+K92^2/(2*J92))))+IF(colas=2,NORMSDIST((-K92*(1-1/(4*J92))-(O92)*SQRT(I92))/SQRT(1+K92^2/(2*J92))),0))-potencia)/((((1-NORMSDIST((K92*(1-1/(4*J92))-(O92+(0.001*O92))*SQRT(I92))/SQRT(1+K92^2/(2*J92))))+IF(colas=2,NORMSDIST((-K92*(1-1/(4*J92))-(O92+(0.001*O92))*SQRT(I92))/SQRT(1+K92^2/(2*J92))),0))-((1-NORMSDIST((K92*(1-1/(4*J92))-(O92-(0.001*O92))*SQRT(I92))/SQRT(1+K92^2/(2*J92))))+IF(colas=2,NORMSDIST((-K92*(1-1/(4*J92))-(O92-(0.001*O92))*SQRT(I92))/SQRT(1+K92^2/(2*J92))),0)))/(2*(0.001*O92))),O92)</f>
        <v>0</v>
      </c>
      <c r="Q92" s="19">
        <f>IFERROR(P92-(((1-NORMSDIST((K92*(1-1/(4*J92))-(P92)*SQRT(I92))/SQRT(1+K92^2/(2*J92))))+IF(colas=2,NORMSDIST((-K92*(1-1/(4*J92))-(P92)*SQRT(I92))/SQRT(1+K92^2/(2*J92))),0))-potencia)/((((1-NORMSDIST((K92*(1-1/(4*J92))-(P92+(0.001*P92))*SQRT(I92))/SQRT(1+K92^2/(2*J92))))+IF(colas=2,NORMSDIST((-K92*(1-1/(4*J92))-(P92+(0.001*P92))*SQRT(I92))/SQRT(1+K92^2/(2*J92))),0))-((1-NORMSDIST((K92*(1-1/(4*J92))-(P92-(0.001*P92))*SQRT(I92))/SQRT(1+K92^2/(2*J92))))+IF(colas=2,NORMSDIST((-K92*(1-1/(4*J92))-(P92-(0.001*P92))*SQRT(I92))/SQRT(1+K92^2/(2*J92))),0)))/(2*(0.001*P92))),P92)</f>
        <v>0</v>
      </c>
      <c r="R92" s="19">
        <f>IFERROR(Q92-(((1-NORMSDIST((K92*(1-1/(4*J92))-(Q92)*SQRT(I92))/SQRT(1+K92^2/(2*J92))))+IF(colas=2,NORMSDIST((-K92*(1-1/(4*J92))-(Q92)*SQRT(I92))/SQRT(1+K92^2/(2*J92))),0))-potencia)/((((1-NORMSDIST((K92*(1-1/(4*J92))-(Q92+(0.001*Q92))*SQRT(I92))/SQRT(1+K92^2/(2*J92))))+IF(colas=2,NORMSDIST((-K92*(1-1/(4*J92))-(Q92+(0.001*Q92))*SQRT(I92))/SQRT(1+K92^2/(2*J92))),0))-((1-NORMSDIST((K92*(1-1/(4*J92))-(Q92-(0.001*Q92))*SQRT(I92))/SQRT(1+K92^2/(2*J92))))+IF(colas=2,NORMSDIST((-K92*(1-1/(4*J92))-(Q92-(0.001*Q92))*SQRT(I92))/SQRT(1+K92^2/(2*J92))),0)))/(2*(0.001*Q92))),Q92)</f>
        <v>0</v>
      </c>
      <c r="S92" s="19">
        <f>R92</f>
        <v>0</v>
      </c>
    </row>
    <row r="93" spans="9:19">
      <c r="I93" s="12">
        <v>90</v>
      </c>
      <c r="J93" s="12">
        <f>I93-1</f>
        <v>0</v>
      </c>
      <c r="K93" s="19">
        <f>IF(colas=2,TINV(alfa,J93),TINV(2*alfa,J93))</f>
        <v>0</v>
      </c>
      <c r="L93" s="19">
        <f>IF(ISNUMBER($E$19),$E$19*SQRT(I93),"")</f>
        <v>0</v>
      </c>
      <c r="M93" s="19">
        <f>IF(ISNUMBER($E$19),((1-NORMSDIST((K93*(1-1/(4*J93))-($E$19)*SQRT(I93))/SQRT(1+K93^2/(2*J93))))+IF(colas=2,NORMSDIST((-K93*(1-1/(4*J93))-($E$19)*SQRT(I93))/SQRT(1+K93^2/(2*J93))),0)),"")</f>
        <v>0</v>
      </c>
      <c r="N93" s="12">
        <f>IF(ISNUMBER(M93),IF(M93&gt;=potencia,I93,""),"")</f>
        <v>0</v>
      </c>
      <c r="O93" s="19">
        <f>(K93+TINV(2*(1-potencia),J93))/SQRT(I93)</f>
        <v>0</v>
      </c>
      <c r="P93" s="19">
        <f>IFERROR(O93-(((1-NORMSDIST((K93*(1-1/(4*J93))-(O93)*SQRT(I93))/SQRT(1+K93^2/(2*J93))))+IF(colas=2,NORMSDIST((-K93*(1-1/(4*J93))-(O93)*SQRT(I93))/SQRT(1+K93^2/(2*J93))),0))-potencia)/((((1-NORMSDIST((K93*(1-1/(4*J93))-(O93+(0.001*O93))*SQRT(I93))/SQRT(1+K93^2/(2*J93))))+IF(colas=2,NORMSDIST((-K93*(1-1/(4*J93))-(O93+(0.001*O93))*SQRT(I93))/SQRT(1+K93^2/(2*J93))),0))-((1-NORMSDIST((K93*(1-1/(4*J93))-(O93-(0.001*O93))*SQRT(I93))/SQRT(1+K93^2/(2*J93))))+IF(colas=2,NORMSDIST((-K93*(1-1/(4*J93))-(O93-(0.001*O93))*SQRT(I93))/SQRT(1+K93^2/(2*J93))),0)))/(2*(0.001*O93))),O93)</f>
        <v>0</v>
      </c>
      <c r="Q93" s="19">
        <f>IFERROR(P93-(((1-NORMSDIST((K93*(1-1/(4*J93))-(P93)*SQRT(I93))/SQRT(1+K93^2/(2*J93))))+IF(colas=2,NORMSDIST((-K93*(1-1/(4*J93))-(P93)*SQRT(I93))/SQRT(1+K93^2/(2*J93))),0))-potencia)/((((1-NORMSDIST((K93*(1-1/(4*J93))-(P93+(0.001*P93))*SQRT(I93))/SQRT(1+K93^2/(2*J93))))+IF(colas=2,NORMSDIST((-K93*(1-1/(4*J93))-(P93+(0.001*P93))*SQRT(I93))/SQRT(1+K93^2/(2*J93))),0))-((1-NORMSDIST((K93*(1-1/(4*J93))-(P93-(0.001*P93))*SQRT(I93))/SQRT(1+K93^2/(2*J93))))+IF(colas=2,NORMSDIST((-K93*(1-1/(4*J93))-(P93-(0.001*P93))*SQRT(I93))/SQRT(1+K93^2/(2*J93))),0)))/(2*(0.001*P93))),P93)</f>
        <v>0</v>
      </c>
      <c r="R93" s="19">
        <f>IFERROR(Q93-(((1-NORMSDIST((K93*(1-1/(4*J93))-(Q93)*SQRT(I93))/SQRT(1+K93^2/(2*J93))))+IF(colas=2,NORMSDIST((-K93*(1-1/(4*J93))-(Q93)*SQRT(I93))/SQRT(1+K93^2/(2*J93))),0))-potencia)/((((1-NORMSDIST((K93*(1-1/(4*J93))-(Q93+(0.001*Q93))*SQRT(I93))/SQRT(1+K93^2/(2*J93))))+IF(colas=2,NORMSDIST((-K93*(1-1/(4*J93))-(Q93+(0.001*Q93))*SQRT(I93))/SQRT(1+K93^2/(2*J93))),0))-((1-NORMSDIST((K93*(1-1/(4*J93))-(Q93-(0.001*Q93))*SQRT(I93))/SQRT(1+K93^2/(2*J93))))+IF(colas=2,NORMSDIST((-K93*(1-1/(4*J93))-(Q93-(0.001*Q93))*SQRT(I93))/SQRT(1+K93^2/(2*J93))),0)))/(2*(0.001*Q93))),Q93)</f>
        <v>0</v>
      </c>
      <c r="S93" s="19">
        <f>R93</f>
        <v>0</v>
      </c>
    </row>
    <row r="94" spans="9:19">
      <c r="I94" s="12">
        <v>91</v>
      </c>
      <c r="J94" s="12">
        <f>I94-1</f>
        <v>0</v>
      </c>
      <c r="K94" s="19">
        <f>IF(colas=2,TINV(alfa,J94),TINV(2*alfa,J94))</f>
        <v>0</v>
      </c>
      <c r="L94" s="19">
        <f>IF(ISNUMBER($E$19),$E$19*SQRT(I94),"")</f>
        <v>0</v>
      </c>
      <c r="M94" s="19">
        <f>IF(ISNUMBER($E$19),((1-NORMSDIST((K94*(1-1/(4*J94))-($E$19)*SQRT(I94))/SQRT(1+K94^2/(2*J94))))+IF(colas=2,NORMSDIST((-K94*(1-1/(4*J94))-($E$19)*SQRT(I94))/SQRT(1+K94^2/(2*J94))),0)),"")</f>
        <v>0</v>
      </c>
      <c r="N94" s="12">
        <f>IF(ISNUMBER(M94),IF(M94&gt;=potencia,I94,""),"")</f>
        <v>0</v>
      </c>
      <c r="O94" s="19">
        <f>(K94+TINV(2*(1-potencia),J94))/SQRT(I94)</f>
        <v>0</v>
      </c>
      <c r="P94" s="19">
        <f>IFERROR(O94-(((1-NORMSDIST((K94*(1-1/(4*J94))-(O94)*SQRT(I94))/SQRT(1+K94^2/(2*J94))))+IF(colas=2,NORMSDIST((-K94*(1-1/(4*J94))-(O94)*SQRT(I94))/SQRT(1+K94^2/(2*J94))),0))-potencia)/((((1-NORMSDIST((K94*(1-1/(4*J94))-(O94+(0.001*O94))*SQRT(I94))/SQRT(1+K94^2/(2*J94))))+IF(colas=2,NORMSDIST((-K94*(1-1/(4*J94))-(O94+(0.001*O94))*SQRT(I94))/SQRT(1+K94^2/(2*J94))),0))-((1-NORMSDIST((K94*(1-1/(4*J94))-(O94-(0.001*O94))*SQRT(I94))/SQRT(1+K94^2/(2*J94))))+IF(colas=2,NORMSDIST((-K94*(1-1/(4*J94))-(O94-(0.001*O94))*SQRT(I94))/SQRT(1+K94^2/(2*J94))),0)))/(2*(0.001*O94))),O94)</f>
        <v>0</v>
      </c>
      <c r="Q94" s="19">
        <f>IFERROR(P94-(((1-NORMSDIST((K94*(1-1/(4*J94))-(P94)*SQRT(I94))/SQRT(1+K94^2/(2*J94))))+IF(colas=2,NORMSDIST((-K94*(1-1/(4*J94))-(P94)*SQRT(I94))/SQRT(1+K94^2/(2*J94))),0))-potencia)/((((1-NORMSDIST((K94*(1-1/(4*J94))-(P94+(0.001*P94))*SQRT(I94))/SQRT(1+K94^2/(2*J94))))+IF(colas=2,NORMSDIST((-K94*(1-1/(4*J94))-(P94+(0.001*P94))*SQRT(I94))/SQRT(1+K94^2/(2*J94))),0))-((1-NORMSDIST((K94*(1-1/(4*J94))-(P94-(0.001*P94))*SQRT(I94))/SQRT(1+K94^2/(2*J94))))+IF(colas=2,NORMSDIST((-K94*(1-1/(4*J94))-(P94-(0.001*P94))*SQRT(I94))/SQRT(1+K94^2/(2*J94))),0)))/(2*(0.001*P94))),P94)</f>
        <v>0</v>
      </c>
      <c r="R94" s="19">
        <f>IFERROR(Q94-(((1-NORMSDIST((K94*(1-1/(4*J94))-(Q94)*SQRT(I94))/SQRT(1+K94^2/(2*J94))))+IF(colas=2,NORMSDIST((-K94*(1-1/(4*J94))-(Q94)*SQRT(I94))/SQRT(1+K94^2/(2*J94))),0))-potencia)/((((1-NORMSDIST((K94*(1-1/(4*J94))-(Q94+(0.001*Q94))*SQRT(I94))/SQRT(1+K94^2/(2*J94))))+IF(colas=2,NORMSDIST((-K94*(1-1/(4*J94))-(Q94+(0.001*Q94))*SQRT(I94))/SQRT(1+K94^2/(2*J94))),0))-((1-NORMSDIST((K94*(1-1/(4*J94))-(Q94-(0.001*Q94))*SQRT(I94))/SQRT(1+K94^2/(2*J94))))+IF(colas=2,NORMSDIST((-K94*(1-1/(4*J94))-(Q94-(0.001*Q94))*SQRT(I94))/SQRT(1+K94^2/(2*J94))),0)))/(2*(0.001*Q94))),Q94)</f>
        <v>0</v>
      </c>
      <c r="S94" s="19">
        <f>R94</f>
        <v>0</v>
      </c>
    </row>
    <row r="95" spans="9:19">
      <c r="I95" s="12">
        <v>92</v>
      </c>
      <c r="J95" s="12">
        <f>I95-1</f>
        <v>0</v>
      </c>
      <c r="K95" s="19">
        <f>IF(colas=2,TINV(alfa,J95),TINV(2*alfa,J95))</f>
        <v>0</v>
      </c>
      <c r="L95" s="19">
        <f>IF(ISNUMBER($E$19),$E$19*SQRT(I95),"")</f>
        <v>0</v>
      </c>
      <c r="M95" s="19">
        <f>IF(ISNUMBER($E$19),((1-NORMSDIST((K95*(1-1/(4*J95))-($E$19)*SQRT(I95))/SQRT(1+K95^2/(2*J95))))+IF(colas=2,NORMSDIST((-K95*(1-1/(4*J95))-($E$19)*SQRT(I95))/SQRT(1+K95^2/(2*J95))),0)),"")</f>
        <v>0</v>
      </c>
      <c r="N95" s="12">
        <f>IF(ISNUMBER(M95),IF(M95&gt;=potencia,I95,""),"")</f>
        <v>0</v>
      </c>
      <c r="O95" s="19">
        <f>(K95+TINV(2*(1-potencia),J95))/SQRT(I95)</f>
        <v>0</v>
      </c>
      <c r="P95" s="19">
        <f>IFERROR(O95-(((1-NORMSDIST((K95*(1-1/(4*J95))-(O95)*SQRT(I95))/SQRT(1+K95^2/(2*J95))))+IF(colas=2,NORMSDIST((-K95*(1-1/(4*J95))-(O95)*SQRT(I95))/SQRT(1+K95^2/(2*J95))),0))-potencia)/((((1-NORMSDIST((K95*(1-1/(4*J95))-(O95+(0.001*O95))*SQRT(I95))/SQRT(1+K95^2/(2*J95))))+IF(colas=2,NORMSDIST((-K95*(1-1/(4*J95))-(O95+(0.001*O95))*SQRT(I95))/SQRT(1+K95^2/(2*J95))),0))-((1-NORMSDIST((K95*(1-1/(4*J95))-(O95-(0.001*O95))*SQRT(I95))/SQRT(1+K95^2/(2*J95))))+IF(colas=2,NORMSDIST((-K95*(1-1/(4*J95))-(O95-(0.001*O95))*SQRT(I95))/SQRT(1+K95^2/(2*J95))),0)))/(2*(0.001*O95))),O95)</f>
        <v>0</v>
      </c>
      <c r="Q95" s="19">
        <f>IFERROR(P95-(((1-NORMSDIST((K95*(1-1/(4*J95))-(P95)*SQRT(I95))/SQRT(1+K95^2/(2*J95))))+IF(colas=2,NORMSDIST((-K95*(1-1/(4*J95))-(P95)*SQRT(I95))/SQRT(1+K95^2/(2*J95))),0))-potencia)/((((1-NORMSDIST((K95*(1-1/(4*J95))-(P95+(0.001*P95))*SQRT(I95))/SQRT(1+K95^2/(2*J95))))+IF(colas=2,NORMSDIST((-K95*(1-1/(4*J95))-(P95+(0.001*P95))*SQRT(I95))/SQRT(1+K95^2/(2*J95))),0))-((1-NORMSDIST((K95*(1-1/(4*J95))-(P95-(0.001*P95))*SQRT(I95))/SQRT(1+K95^2/(2*J95))))+IF(colas=2,NORMSDIST((-K95*(1-1/(4*J95))-(P95-(0.001*P95))*SQRT(I95))/SQRT(1+K95^2/(2*J95))),0)))/(2*(0.001*P95))),P95)</f>
        <v>0</v>
      </c>
      <c r="R95" s="19">
        <f>IFERROR(Q95-(((1-NORMSDIST((K95*(1-1/(4*J95))-(Q95)*SQRT(I95))/SQRT(1+K95^2/(2*J95))))+IF(colas=2,NORMSDIST((-K95*(1-1/(4*J95))-(Q95)*SQRT(I95))/SQRT(1+K95^2/(2*J95))),0))-potencia)/((((1-NORMSDIST((K95*(1-1/(4*J95))-(Q95+(0.001*Q95))*SQRT(I95))/SQRT(1+K95^2/(2*J95))))+IF(colas=2,NORMSDIST((-K95*(1-1/(4*J95))-(Q95+(0.001*Q95))*SQRT(I95))/SQRT(1+K95^2/(2*J95))),0))-((1-NORMSDIST((K95*(1-1/(4*J95))-(Q95-(0.001*Q95))*SQRT(I95))/SQRT(1+K95^2/(2*J95))))+IF(colas=2,NORMSDIST((-K95*(1-1/(4*J95))-(Q95-(0.001*Q95))*SQRT(I95))/SQRT(1+K95^2/(2*J95))),0)))/(2*(0.001*Q95))),Q95)</f>
        <v>0</v>
      </c>
      <c r="S95" s="19">
        <f>R95</f>
        <v>0</v>
      </c>
    </row>
    <row r="96" spans="9:19">
      <c r="I96" s="12">
        <v>93</v>
      </c>
      <c r="J96" s="12">
        <f>I96-1</f>
        <v>0</v>
      </c>
      <c r="K96" s="19">
        <f>IF(colas=2,TINV(alfa,J96),TINV(2*alfa,J96))</f>
        <v>0</v>
      </c>
      <c r="L96" s="19">
        <f>IF(ISNUMBER($E$19),$E$19*SQRT(I96),"")</f>
        <v>0</v>
      </c>
      <c r="M96" s="19">
        <f>IF(ISNUMBER($E$19),((1-NORMSDIST((K96*(1-1/(4*J96))-($E$19)*SQRT(I96))/SQRT(1+K96^2/(2*J96))))+IF(colas=2,NORMSDIST((-K96*(1-1/(4*J96))-($E$19)*SQRT(I96))/SQRT(1+K96^2/(2*J96))),0)),"")</f>
        <v>0</v>
      </c>
      <c r="N96" s="12">
        <f>IF(ISNUMBER(M96),IF(M96&gt;=potencia,I96,""),"")</f>
        <v>0</v>
      </c>
      <c r="O96" s="19">
        <f>(K96+TINV(2*(1-potencia),J96))/SQRT(I96)</f>
        <v>0</v>
      </c>
      <c r="P96" s="19">
        <f>IFERROR(O96-(((1-NORMSDIST((K96*(1-1/(4*J96))-(O96)*SQRT(I96))/SQRT(1+K96^2/(2*J96))))+IF(colas=2,NORMSDIST((-K96*(1-1/(4*J96))-(O96)*SQRT(I96))/SQRT(1+K96^2/(2*J96))),0))-potencia)/((((1-NORMSDIST((K96*(1-1/(4*J96))-(O96+(0.001*O96))*SQRT(I96))/SQRT(1+K96^2/(2*J96))))+IF(colas=2,NORMSDIST((-K96*(1-1/(4*J96))-(O96+(0.001*O96))*SQRT(I96))/SQRT(1+K96^2/(2*J96))),0))-((1-NORMSDIST((K96*(1-1/(4*J96))-(O96-(0.001*O96))*SQRT(I96))/SQRT(1+K96^2/(2*J96))))+IF(colas=2,NORMSDIST((-K96*(1-1/(4*J96))-(O96-(0.001*O96))*SQRT(I96))/SQRT(1+K96^2/(2*J96))),0)))/(2*(0.001*O96))),O96)</f>
        <v>0</v>
      </c>
      <c r="Q96" s="19">
        <f>IFERROR(P96-(((1-NORMSDIST((K96*(1-1/(4*J96))-(P96)*SQRT(I96))/SQRT(1+K96^2/(2*J96))))+IF(colas=2,NORMSDIST((-K96*(1-1/(4*J96))-(P96)*SQRT(I96))/SQRT(1+K96^2/(2*J96))),0))-potencia)/((((1-NORMSDIST((K96*(1-1/(4*J96))-(P96+(0.001*P96))*SQRT(I96))/SQRT(1+K96^2/(2*J96))))+IF(colas=2,NORMSDIST((-K96*(1-1/(4*J96))-(P96+(0.001*P96))*SQRT(I96))/SQRT(1+K96^2/(2*J96))),0))-((1-NORMSDIST((K96*(1-1/(4*J96))-(P96-(0.001*P96))*SQRT(I96))/SQRT(1+K96^2/(2*J96))))+IF(colas=2,NORMSDIST((-K96*(1-1/(4*J96))-(P96-(0.001*P96))*SQRT(I96))/SQRT(1+K96^2/(2*J96))),0)))/(2*(0.001*P96))),P96)</f>
        <v>0</v>
      </c>
      <c r="R96" s="19">
        <f>IFERROR(Q96-(((1-NORMSDIST((K96*(1-1/(4*J96))-(Q96)*SQRT(I96))/SQRT(1+K96^2/(2*J96))))+IF(colas=2,NORMSDIST((-K96*(1-1/(4*J96))-(Q96)*SQRT(I96))/SQRT(1+K96^2/(2*J96))),0))-potencia)/((((1-NORMSDIST((K96*(1-1/(4*J96))-(Q96+(0.001*Q96))*SQRT(I96))/SQRT(1+K96^2/(2*J96))))+IF(colas=2,NORMSDIST((-K96*(1-1/(4*J96))-(Q96+(0.001*Q96))*SQRT(I96))/SQRT(1+K96^2/(2*J96))),0))-((1-NORMSDIST((K96*(1-1/(4*J96))-(Q96-(0.001*Q96))*SQRT(I96))/SQRT(1+K96^2/(2*J96))))+IF(colas=2,NORMSDIST((-K96*(1-1/(4*J96))-(Q96-(0.001*Q96))*SQRT(I96))/SQRT(1+K96^2/(2*J96))),0)))/(2*(0.001*Q96))),Q96)</f>
        <v>0</v>
      </c>
      <c r="S96" s="19">
        <f>R96</f>
        <v>0</v>
      </c>
    </row>
    <row r="97" spans="9:19">
      <c r="I97" s="12">
        <v>94</v>
      </c>
      <c r="J97" s="12">
        <f>I97-1</f>
        <v>0</v>
      </c>
      <c r="K97" s="19">
        <f>IF(colas=2,TINV(alfa,J97),TINV(2*alfa,J97))</f>
        <v>0</v>
      </c>
      <c r="L97" s="19">
        <f>IF(ISNUMBER($E$19),$E$19*SQRT(I97),"")</f>
        <v>0</v>
      </c>
      <c r="M97" s="19">
        <f>IF(ISNUMBER($E$19),((1-NORMSDIST((K97*(1-1/(4*J97))-($E$19)*SQRT(I97))/SQRT(1+K97^2/(2*J97))))+IF(colas=2,NORMSDIST((-K97*(1-1/(4*J97))-($E$19)*SQRT(I97))/SQRT(1+K97^2/(2*J97))),0)),"")</f>
        <v>0</v>
      </c>
      <c r="N97" s="12">
        <f>IF(ISNUMBER(M97),IF(M97&gt;=potencia,I97,""),"")</f>
        <v>0</v>
      </c>
      <c r="O97" s="19">
        <f>(K97+TINV(2*(1-potencia),J97))/SQRT(I97)</f>
        <v>0</v>
      </c>
      <c r="P97" s="19">
        <f>IFERROR(O97-(((1-NORMSDIST((K97*(1-1/(4*J97))-(O97)*SQRT(I97))/SQRT(1+K97^2/(2*J97))))+IF(colas=2,NORMSDIST((-K97*(1-1/(4*J97))-(O97)*SQRT(I97))/SQRT(1+K97^2/(2*J97))),0))-potencia)/((((1-NORMSDIST((K97*(1-1/(4*J97))-(O97+(0.001*O97))*SQRT(I97))/SQRT(1+K97^2/(2*J97))))+IF(colas=2,NORMSDIST((-K97*(1-1/(4*J97))-(O97+(0.001*O97))*SQRT(I97))/SQRT(1+K97^2/(2*J97))),0))-((1-NORMSDIST((K97*(1-1/(4*J97))-(O97-(0.001*O97))*SQRT(I97))/SQRT(1+K97^2/(2*J97))))+IF(colas=2,NORMSDIST((-K97*(1-1/(4*J97))-(O97-(0.001*O97))*SQRT(I97))/SQRT(1+K97^2/(2*J97))),0)))/(2*(0.001*O97))),O97)</f>
        <v>0</v>
      </c>
      <c r="Q97" s="19">
        <f>IFERROR(P97-(((1-NORMSDIST((K97*(1-1/(4*J97))-(P97)*SQRT(I97))/SQRT(1+K97^2/(2*J97))))+IF(colas=2,NORMSDIST((-K97*(1-1/(4*J97))-(P97)*SQRT(I97))/SQRT(1+K97^2/(2*J97))),0))-potencia)/((((1-NORMSDIST((K97*(1-1/(4*J97))-(P97+(0.001*P97))*SQRT(I97))/SQRT(1+K97^2/(2*J97))))+IF(colas=2,NORMSDIST((-K97*(1-1/(4*J97))-(P97+(0.001*P97))*SQRT(I97))/SQRT(1+K97^2/(2*J97))),0))-((1-NORMSDIST((K97*(1-1/(4*J97))-(P97-(0.001*P97))*SQRT(I97))/SQRT(1+K97^2/(2*J97))))+IF(colas=2,NORMSDIST((-K97*(1-1/(4*J97))-(P97-(0.001*P97))*SQRT(I97))/SQRT(1+K97^2/(2*J97))),0)))/(2*(0.001*P97))),P97)</f>
        <v>0</v>
      </c>
      <c r="R97" s="19">
        <f>IFERROR(Q97-(((1-NORMSDIST((K97*(1-1/(4*J97))-(Q97)*SQRT(I97))/SQRT(1+K97^2/(2*J97))))+IF(colas=2,NORMSDIST((-K97*(1-1/(4*J97))-(Q97)*SQRT(I97))/SQRT(1+K97^2/(2*J97))),0))-potencia)/((((1-NORMSDIST((K97*(1-1/(4*J97))-(Q97+(0.001*Q97))*SQRT(I97))/SQRT(1+K97^2/(2*J97))))+IF(colas=2,NORMSDIST((-K97*(1-1/(4*J97))-(Q97+(0.001*Q97))*SQRT(I97))/SQRT(1+K97^2/(2*J97))),0))-((1-NORMSDIST((K97*(1-1/(4*J97))-(Q97-(0.001*Q97))*SQRT(I97))/SQRT(1+K97^2/(2*J97))))+IF(colas=2,NORMSDIST((-K97*(1-1/(4*J97))-(Q97-(0.001*Q97))*SQRT(I97))/SQRT(1+K97^2/(2*J97))),0)))/(2*(0.001*Q97))),Q97)</f>
        <v>0</v>
      </c>
      <c r="S97" s="19">
        <f>R97</f>
        <v>0</v>
      </c>
    </row>
    <row r="98" spans="9:19">
      <c r="I98" s="12">
        <v>95</v>
      </c>
      <c r="J98" s="12">
        <f>I98-1</f>
        <v>0</v>
      </c>
      <c r="K98" s="19">
        <f>IF(colas=2,TINV(alfa,J98),TINV(2*alfa,J98))</f>
        <v>0</v>
      </c>
      <c r="L98" s="19">
        <f>IF(ISNUMBER($E$19),$E$19*SQRT(I98),"")</f>
        <v>0</v>
      </c>
      <c r="M98" s="19">
        <f>IF(ISNUMBER($E$19),((1-NORMSDIST((K98*(1-1/(4*J98))-($E$19)*SQRT(I98))/SQRT(1+K98^2/(2*J98))))+IF(colas=2,NORMSDIST((-K98*(1-1/(4*J98))-($E$19)*SQRT(I98))/SQRT(1+K98^2/(2*J98))),0)),"")</f>
        <v>0</v>
      </c>
      <c r="N98" s="12">
        <f>IF(ISNUMBER(M98),IF(M98&gt;=potencia,I98,""),"")</f>
        <v>0</v>
      </c>
      <c r="O98" s="19">
        <f>(K98+TINV(2*(1-potencia),J98))/SQRT(I98)</f>
        <v>0</v>
      </c>
      <c r="P98" s="19">
        <f>IFERROR(O98-(((1-NORMSDIST((K98*(1-1/(4*J98))-(O98)*SQRT(I98))/SQRT(1+K98^2/(2*J98))))+IF(colas=2,NORMSDIST((-K98*(1-1/(4*J98))-(O98)*SQRT(I98))/SQRT(1+K98^2/(2*J98))),0))-potencia)/((((1-NORMSDIST((K98*(1-1/(4*J98))-(O98+(0.001*O98))*SQRT(I98))/SQRT(1+K98^2/(2*J98))))+IF(colas=2,NORMSDIST((-K98*(1-1/(4*J98))-(O98+(0.001*O98))*SQRT(I98))/SQRT(1+K98^2/(2*J98))),0))-((1-NORMSDIST((K98*(1-1/(4*J98))-(O98-(0.001*O98))*SQRT(I98))/SQRT(1+K98^2/(2*J98))))+IF(colas=2,NORMSDIST((-K98*(1-1/(4*J98))-(O98-(0.001*O98))*SQRT(I98))/SQRT(1+K98^2/(2*J98))),0)))/(2*(0.001*O98))),O98)</f>
        <v>0</v>
      </c>
      <c r="Q98" s="19">
        <f>IFERROR(P98-(((1-NORMSDIST((K98*(1-1/(4*J98))-(P98)*SQRT(I98))/SQRT(1+K98^2/(2*J98))))+IF(colas=2,NORMSDIST((-K98*(1-1/(4*J98))-(P98)*SQRT(I98))/SQRT(1+K98^2/(2*J98))),0))-potencia)/((((1-NORMSDIST((K98*(1-1/(4*J98))-(P98+(0.001*P98))*SQRT(I98))/SQRT(1+K98^2/(2*J98))))+IF(colas=2,NORMSDIST((-K98*(1-1/(4*J98))-(P98+(0.001*P98))*SQRT(I98))/SQRT(1+K98^2/(2*J98))),0))-((1-NORMSDIST((K98*(1-1/(4*J98))-(P98-(0.001*P98))*SQRT(I98))/SQRT(1+K98^2/(2*J98))))+IF(colas=2,NORMSDIST((-K98*(1-1/(4*J98))-(P98-(0.001*P98))*SQRT(I98))/SQRT(1+K98^2/(2*J98))),0)))/(2*(0.001*P98))),P98)</f>
        <v>0</v>
      </c>
      <c r="R98" s="19">
        <f>IFERROR(Q98-(((1-NORMSDIST((K98*(1-1/(4*J98))-(Q98)*SQRT(I98))/SQRT(1+K98^2/(2*J98))))+IF(colas=2,NORMSDIST((-K98*(1-1/(4*J98))-(Q98)*SQRT(I98))/SQRT(1+K98^2/(2*J98))),0))-potencia)/((((1-NORMSDIST((K98*(1-1/(4*J98))-(Q98+(0.001*Q98))*SQRT(I98))/SQRT(1+K98^2/(2*J98))))+IF(colas=2,NORMSDIST((-K98*(1-1/(4*J98))-(Q98+(0.001*Q98))*SQRT(I98))/SQRT(1+K98^2/(2*J98))),0))-((1-NORMSDIST((K98*(1-1/(4*J98))-(Q98-(0.001*Q98))*SQRT(I98))/SQRT(1+K98^2/(2*J98))))+IF(colas=2,NORMSDIST((-K98*(1-1/(4*J98))-(Q98-(0.001*Q98))*SQRT(I98))/SQRT(1+K98^2/(2*J98))),0)))/(2*(0.001*Q98))),Q98)</f>
        <v>0</v>
      </c>
      <c r="S98" s="19">
        <f>R98</f>
        <v>0</v>
      </c>
    </row>
    <row r="99" spans="9:19">
      <c r="I99" s="12">
        <v>96</v>
      </c>
      <c r="J99" s="12">
        <f>I99-1</f>
        <v>0</v>
      </c>
      <c r="K99" s="19">
        <f>IF(colas=2,TINV(alfa,J99),TINV(2*alfa,J99))</f>
        <v>0</v>
      </c>
      <c r="L99" s="19">
        <f>IF(ISNUMBER($E$19),$E$19*SQRT(I99),"")</f>
        <v>0</v>
      </c>
      <c r="M99" s="19">
        <f>IF(ISNUMBER($E$19),((1-NORMSDIST((K99*(1-1/(4*J99))-($E$19)*SQRT(I99))/SQRT(1+K99^2/(2*J99))))+IF(colas=2,NORMSDIST((-K99*(1-1/(4*J99))-($E$19)*SQRT(I99))/SQRT(1+K99^2/(2*J99))),0)),"")</f>
        <v>0</v>
      </c>
      <c r="N99" s="12">
        <f>IF(ISNUMBER(M99),IF(M99&gt;=potencia,I99,""),"")</f>
        <v>0</v>
      </c>
      <c r="O99" s="19">
        <f>(K99+TINV(2*(1-potencia),J99))/SQRT(I99)</f>
        <v>0</v>
      </c>
      <c r="P99" s="19">
        <f>IFERROR(O99-(((1-NORMSDIST((K99*(1-1/(4*J99))-(O99)*SQRT(I99))/SQRT(1+K99^2/(2*J99))))+IF(colas=2,NORMSDIST((-K99*(1-1/(4*J99))-(O99)*SQRT(I99))/SQRT(1+K99^2/(2*J99))),0))-potencia)/((((1-NORMSDIST((K99*(1-1/(4*J99))-(O99+(0.001*O99))*SQRT(I99))/SQRT(1+K99^2/(2*J99))))+IF(colas=2,NORMSDIST((-K99*(1-1/(4*J99))-(O99+(0.001*O99))*SQRT(I99))/SQRT(1+K99^2/(2*J99))),0))-((1-NORMSDIST((K99*(1-1/(4*J99))-(O99-(0.001*O99))*SQRT(I99))/SQRT(1+K99^2/(2*J99))))+IF(colas=2,NORMSDIST((-K99*(1-1/(4*J99))-(O99-(0.001*O99))*SQRT(I99))/SQRT(1+K99^2/(2*J99))),0)))/(2*(0.001*O99))),O99)</f>
        <v>0</v>
      </c>
      <c r="Q99" s="19">
        <f>IFERROR(P99-(((1-NORMSDIST((K99*(1-1/(4*J99))-(P99)*SQRT(I99))/SQRT(1+K99^2/(2*J99))))+IF(colas=2,NORMSDIST((-K99*(1-1/(4*J99))-(P99)*SQRT(I99))/SQRT(1+K99^2/(2*J99))),0))-potencia)/((((1-NORMSDIST((K99*(1-1/(4*J99))-(P99+(0.001*P99))*SQRT(I99))/SQRT(1+K99^2/(2*J99))))+IF(colas=2,NORMSDIST((-K99*(1-1/(4*J99))-(P99+(0.001*P99))*SQRT(I99))/SQRT(1+K99^2/(2*J99))),0))-((1-NORMSDIST((K99*(1-1/(4*J99))-(P99-(0.001*P99))*SQRT(I99))/SQRT(1+K99^2/(2*J99))))+IF(colas=2,NORMSDIST((-K99*(1-1/(4*J99))-(P99-(0.001*P99))*SQRT(I99))/SQRT(1+K99^2/(2*J99))),0)))/(2*(0.001*P99))),P99)</f>
        <v>0</v>
      </c>
      <c r="R99" s="19">
        <f>IFERROR(Q99-(((1-NORMSDIST((K99*(1-1/(4*J99))-(Q99)*SQRT(I99))/SQRT(1+K99^2/(2*J99))))+IF(colas=2,NORMSDIST((-K99*(1-1/(4*J99))-(Q99)*SQRT(I99))/SQRT(1+K99^2/(2*J99))),0))-potencia)/((((1-NORMSDIST((K99*(1-1/(4*J99))-(Q99+(0.001*Q99))*SQRT(I99))/SQRT(1+K99^2/(2*J99))))+IF(colas=2,NORMSDIST((-K99*(1-1/(4*J99))-(Q99+(0.001*Q99))*SQRT(I99))/SQRT(1+K99^2/(2*J99))),0))-((1-NORMSDIST((K99*(1-1/(4*J99))-(Q99-(0.001*Q99))*SQRT(I99))/SQRT(1+K99^2/(2*J99))))+IF(colas=2,NORMSDIST((-K99*(1-1/(4*J99))-(Q99-(0.001*Q99))*SQRT(I99))/SQRT(1+K99^2/(2*J99))),0)))/(2*(0.001*Q99))),Q99)</f>
        <v>0</v>
      </c>
      <c r="S99" s="19">
        <f>R99</f>
        <v>0</v>
      </c>
    </row>
    <row r="100" spans="9:19">
      <c r="I100" s="12">
        <v>97</v>
      </c>
      <c r="J100" s="12">
        <f>I100-1</f>
        <v>0</v>
      </c>
      <c r="K100" s="19">
        <f>IF(colas=2,TINV(alfa,J100),TINV(2*alfa,J100))</f>
        <v>0</v>
      </c>
      <c r="L100" s="19">
        <f>IF(ISNUMBER($E$19),$E$19*SQRT(I100),"")</f>
        <v>0</v>
      </c>
      <c r="M100" s="19">
        <f>IF(ISNUMBER($E$19),((1-NORMSDIST((K100*(1-1/(4*J100))-($E$19)*SQRT(I100))/SQRT(1+K100^2/(2*J100))))+IF(colas=2,NORMSDIST((-K100*(1-1/(4*J100))-($E$19)*SQRT(I100))/SQRT(1+K100^2/(2*J100))),0)),"")</f>
        <v>0</v>
      </c>
      <c r="N100" s="12">
        <f>IF(ISNUMBER(M100),IF(M100&gt;=potencia,I100,""),"")</f>
        <v>0</v>
      </c>
      <c r="O100" s="19">
        <f>(K100+TINV(2*(1-potencia),J100))/SQRT(I100)</f>
        <v>0</v>
      </c>
      <c r="P100" s="19">
        <f>IFERROR(O100-(((1-NORMSDIST((K100*(1-1/(4*J100))-(O100)*SQRT(I100))/SQRT(1+K100^2/(2*J100))))+IF(colas=2,NORMSDIST((-K100*(1-1/(4*J100))-(O100)*SQRT(I100))/SQRT(1+K100^2/(2*J100))),0))-potencia)/((((1-NORMSDIST((K100*(1-1/(4*J100))-(O100+(0.001*O100))*SQRT(I100))/SQRT(1+K100^2/(2*J100))))+IF(colas=2,NORMSDIST((-K100*(1-1/(4*J100))-(O100+(0.001*O100))*SQRT(I100))/SQRT(1+K100^2/(2*J100))),0))-((1-NORMSDIST((K100*(1-1/(4*J100))-(O100-(0.001*O100))*SQRT(I100))/SQRT(1+K100^2/(2*J100))))+IF(colas=2,NORMSDIST((-K100*(1-1/(4*J100))-(O100-(0.001*O100))*SQRT(I100))/SQRT(1+K100^2/(2*J100))),0)))/(2*(0.001*O100))),O100)</f>
        <v>0</v>
      </c>
      <c r="Q100" s="19">
        <f>IFERROR(P100-(((1-NORMSDIST((K100*(1-1/(4*J100))-(P100)*SQRT(I100))/SQRT(1+K100^2/(2*J100))))+IF(colas=2,NORMSDIST((-K100*(1-1/(4*J100))-(P100)*SQRT(I100))/SQRT(1+K100^2/(2*J100))),0))-potencia)/((((1-NORMSDIST((K100*(1-1/(4*J100))-(P100+(0.001*P100))*SQRT(I100))/SQRT(1+K100^2/(2*J100))))+IF(colas=2,NORMSDIST((-K100*(1-1/(4*J100))-(P100+(0.001*P100))*SQRT(I100))/SQRT(1+K100^2/(2*J100))),0))-((1-NORMSDIST((K100*(1-1/(4*J100))-(P100-(0.001*P100))*SQRT(I100))/SQRT(1+K100^2/(2*J100))))+IF(colas=2,NORMSDIST((-K100*(1-1/(4*J100))-(P100-(0.001*P100))*SQRT(I100))/SQRT(1+K100^2/(2*J100))),0)))/(2*(0.001*P100))),P100)</f>
        <v>0</v>
      </c>
      <c r="R100" s="19">
        <f>IFERROR(Q100-(((1-NORMSDIST((K100*(1-1/(4*J100))-(Q100)*SQRT(I100))/SQRT(1+K100^2/(2*J100))))+IF(colas=2,NORMSDIST((-K100*(1-1/(4*J100))-(Q100)*SQRT(I100))/SQRT(1+K100^2/(2*J100))),0))-potencia)/((((1-NORMSDIST((K100*(1-1/(4*J100))-(Q100+(0.001*Q100))*SQRT(I100))/SQRT(1+K100^2/(2*J100))))+IF(colas=2,NORMSDIST((-K100*(1-1/(4*J100))-(Q100+(0.001*Q100))*SQRT(I100))/SQRT(1+K100^2/(2*J100))),0))-((1-NORMSDIST((K100*(1-1/(4*J100))-(Q100-(0.001*Q100))*SQRT(I100))/SQRT(1+K100^2/(2*J100))))+IF(colas=2,NORMSDIST((-K100*(1-1/(4*J100))-(Q100-(0.001*Q100))*SQRT(I100))/SQRT(1+K100^2/(2*J100))),0)))/(2*(0.001*Q100))),Q100)</f>
        <v>0</v>
      </c>
      <c r="S100" s="19">
        <f>R100</f>
        <v>0</v>
      </c>
    </row>
    <row r="101" spans="9:19">
      <c r="I101" s="12">
        <v>98</v>
      </c>
      <c r="J101" s="12">
        <f>I101-1</f>
        <v>0</v>
      </c>
      <c r="K101" s="19">
        <f>IF(colas=2,TINV(alfa,J101),TINV(2*alfa,J101))</f>
        <v>0</v>
      </c>
      <c r="L101" s="19">
        <f>IF(ISNUMBER($E$19),$E$19*SQRT(I101),"")</f>
        <v>0</v>
      </c>
      <c r="M101" s="19">
        <f>IF(ISNUMBER($E$19),((1-NORMSDIST((K101*(1-1/(4*J101))-($E$19)*SQRT(I101))/SQRT(1+K101^2/(2*J101))))+IF(colas=2,NORMSDIST((-K101*(1-1/(4*J101))-($E$19)*SQRT(I101))/SQRT(1+K101^2/(2*J101))),0)),"")</f>
        <v>0</v>
      </c>
      <c r="N101" s="12">
        <f>IF(ISNUMBER(M101),IF(M101&gt;=potencia,I101,""),"")</f>
        <v>0</v>
      </c>
      <c r="O101" s="19">
        <f>(K101+TINV(2*(1-potencia),J101))/SQRT(I101)</f>
        <v>0</v>
      </c>
      <c r="P101" s="19">
        <f>IFERROR(O101-(((1-NORMSDIST((K101*(1-1/(4*J101))-(O101)*SQRT(I101))/SQRT(1+K101^2/(2*J101))))+IF(colas=2,NORMSDIST((-K101*(1-1/(4*J101))-(O101)*SQRT(I101))/SQRT(1+K101^2/(2*J101))),0))-potencia)/((((1-NORMSDIST((K101*(1-1/(4*J101))-(O101+(0.001*O101))*SQRT(I101))/SQRT(1+K101^2/(2*J101))))+IF(colas=2,NORMSDIST((-K101*(1-1/(4*J101))-(O101+(0.001*O101))*SQRT(I101))/SQRT(1+K101^2/(2*J101))),0))-((1-NORMSDIST((K101*(1-1/(4*J101))-(O101-(0.001*O101))*SQRT(I101))/SQRT(1+K101^2/(2*J101))))+IF(colas=2,NORMSDIST((-K101*(1-1/(4*J101))-(O101-(0.001*O101))*SQRT(I101))/SQRT(1+K101^2/(2*J101))),0)))/(2*(0.001*O101))),O101)</f>
        <v>0</v>
      </c>
      <c r="Q101" s="19">
        <f>IFERROR(P101-(((1-NORMSDIST((K101*(1-1/(4*J101))-(P101)*SQRT(I101))/SQRT(1+K101^2/(2*J101))))+IF(colas=2,NORMSDIST((-K101*(1-1/(4*J101))-(P101)*SQRT(I101))/SQRT(1+K101^2/(2*J101))),0))-potencia)/((((1-NORMSDIST((K101*(1-1/(4*J101))-(P101+(0.001*P101))*SQRT(I101))/SQRT(1+K101^2/(2*J101))))+IF(colas=2,NORMSDIST((-K101*(1-1/(4*J101))-(P101+(0.001*P101))*SQRT(I101))/SQRT(1+K101^2/(2*J101))),0))-((1-NORMSDIST((K101*(1-1/(4*J101))-(P101-(0.001*P101))*SQRT(I101))/SQRT(1+K101^2/(2*J101))))+IF(colas=2,NORMSDIST((-K101*(1-1/(4*J101))-(P101-(0.001*P101))*SQRT(I101))/SQRT(1+K101^2/(2*J101))),0)))/(2*(0.001*P101))),P101)</f>
        <v>0</v>
      </c>
      <c r="R101" s="19">
        <f>IFERROR(Q101-(((1-NORMSDIST((K101*(1-1/(4*J101))-(Q101)*SQRT(I101))/SQRT(1+K101^2/(2*J101))))+IF(colas=2,NORMSDIST((-K101*(1-1/(4*J101))-(Q101)*SQRT(I101))/SQRT(1+K101^2/(2*J101))),0))-potencia)/((((1-NORMSDIST((K101*(1-1/(4*J101))-(Q101+(0.001*Q101))*SQRT(I101))/SQRT(1+K101^2/(2*J101))))+IF(colas=2,NORMSDIST((-K101*(1-1/(4*J101))-(Q101+(0.001*Q101))*SQRT(I101))/SQRT(1+K101^2/(2*J101))),0))-((1-NORMSDIST((K101*(1-1/(4*J101))-(Q101-(0.001*Q101))*SQRT(I101))/SQRT(1+K101^2/(2*J101))))+IF(colas=2,NORMSDIST((-K101*(1-1/(4*J101))-(Q101-(0.001*Q101))*SQRT(I101))/SQRT(1+K101^2/(2*J101))),0)))/(2*(0.001*Q101))),Q101)</f>
        <v>0</v>
      </c>
      <c r="S101" s="19">
        <f>R101</f>
        <v>0</v>
      </c>
    </row>
    <row r="102" spans="9:19">
      <c r="I102" s="12">
        <v>99</v>
      </c>
      <c r="J102" s="12">
        <f>I102-1</f>
        <v>0</v>
      </c>
      <c r="K102" s="19">
        <f>IF(colas=2,TINV(alfa,J102),TINV(2*alfa,J102))</f>
        <v>0</v>
      </c>
      <c r="L102" s="19">
        <f>IF(ISNUMBER($E$19),$E$19*SQRT(I102),"")</f>
        <v>0</v>
      </c>
      <c r="M102" s="19">
        <f>IF(ISNUMBER($E$19),((1-NORMSDIST((K102*(1-1/(4*J102))-($E$19)*SQRT(I102))/SQRT(1+K102^2/(2*J102))))+IF(colas=2,NORMSDIST((-K102*(1-1/(4*J102))-($E$19)*SQRT(I102))/SQRT(1+K102^2/(2*J102))),0)),"")</f>
        <v>0</v>
      </c>
      <c r="N102" s="12">
        <f>IF(ISNUMBER(M102),IF(M102&gt;=potencia,I102,""),"")</f>
        <v>0</v>
      </c>
      <c r="O102" s="19">
        <f>(K102+TINV(2*(1-potencia),J102))/SQRT(I102)</f>
        <v>0</v>
      </c>
      <c r="P102" s="19">
        <f>IFERROR(O102-(((1-NORMSDIST((K102*(1-1/(4*J102))-(O102)*SQRT(I102))/SQRT(1+K102^2/(2*J102))))+IF(colas=2,NORMSDIST((-K102*(1-1/(4*J102))-(O102)*SQRT(I102))/SQRT(1+K102^2/(2*J102))),0))-potencia)/((((1-NORMSDIST((K102*(1-1/(4*J102))-(O102+(0.001*O102))*SQRT(I102))/SQRT(1+K102^2/(2*J102))))+IF(colas=2,NORMSDIST((-K102*(1-1/(4*J102))-(O102+(0.001*O102))*SQRT(I102))/SQRT(1+K102^2/(2*J102))),0))-((1-NORMSDIST((K102*(1-1/(4*J102))-(O102-(0.001*O102))*SQRT(I102))/SQRT(1+K102^2/(2*J102))))+IF(colas=2,NORMSDIST((-K102*(1-1/(4*J102))-(O102-(0.001*O102))*SQRT(I102))/SQRT(1+K102^2/(2*J102))),0)))/(2*(0.001*O102))),O102)</f>
        <v>0</v>
      </c>
      <c r="Q102" s="19">
        <f>IFERROR(P102-(((1-NORMSDIST((K102*(1-1/(4*J102))-(P102)*SQRT(I102))/SQRT(1+K102^2/(2*J102))))+IF(colas=2,NORMSDIST((-K102*(1-1/(4*J102))-(P102)*SQRT(I102))/SQRT(1+K102^2/(2*J102))),0))-potencia)/((((1-NORMSDIST((K102*(1-1/(4*J102))-(P102+(0.001*P102))*SQRT(I102))/SQRT(1+K102^2/(2*J102))))+IF(colas=2,NORMSDIST((-K102*(1-1/(4*J102))-(P102+(0.001*P102))*SQRT(I102))/SQRT(1+K102^2/(2*J102))),0))-((1-NORMSDIST((K102*(1-1/(4*J102))-(P102-(0.001*P102))*SQRT(I102))/SQRT(1+K102^2/(2*J102))))+IF(colas=2,NORMSDIST((-K102*(1-1/(4*J102))-(P102-(0.001*P102))*SQRT(I102))/SQRT(1+K102^2/(2*J102))),0)))/(2*(0.001*P102))),P102)</f>
        <v>0</v>
      </c>
      <c r="R102" s="19">
        <f>IFERROR(Q102-(((1-NORMSDIST((K102*(1-1/(4*J102))-(Q102)*SQRT(I102))/SQRT(1+K102^2/(2*J102))))+IF(colas=2,NORMSDIST((-K102*(1-1/(4*J102))-(Q102)*SQRT(I102))/SQRT(1+K102^2/(2*J102))),0))-potencia)/((((1-NORMSDIST((K102*(1-1/(4*J102))-(Q102+(0.001*Q102))*SQRT(I102))/SQRT(1+K102^2/(2*J102))))+IF(colas=2,NORMSDIST((-K102*(1-1/(4*J102))-(Q102+(0.001*Q102))*SQRT(I102))/SQRT(1+K102^2/(2*J102))),0))-((1-NORMSDIST((K102*(1-1/(4*J102))-(Q102-(0.001*Q102))*SQRT(I102))/SQRT(1+K102^2/(2*J102))))+IF(colas=2,NORMSDIST((-K102*(1-1/(4*J102))-(Q102-(0.001*Q102))*SQRT(I102))/SQRT(1+K102^2/(2*J102))),0)))/(2*(0.001*Q102))),Q102)</f>
        <v>0</v>
      </c>
      <c r="S102" s="19">
        <f>R102</f>
        <v>0</v>
      </c>
    </row>
    <row r="103" spans="9:19">
      <c r="I103" s="12">
        <v>100</v>
      </c>
      <c r="J103" s="12">
        <f>I103-1</f>
        <v>0</v>
      </c>
      <c r="K103" s="19">
        <f>IF(colas=2,TINV(alfa,J103),TINV(2*alfa,J103))</f>
        <v>0</v>
      </c>
      <c r="L103" s="19">
        <f>IF(ISNUMBER($E$19),$E$19*SQRT(I103),"")</f>
        <v>0</v>
      </c>
      <c r="M103" s="19">
        <f>IF(ISNUMBER($E$19),((1-NORMSDIST((K103*(1-1/(4*J103))-($E$19)*SQRT(I103))/SQRT(1+K103^2/(2*J103))))+IF(colas=2,NORMSDIST((-K103*(1-1/(4*J103))-($E$19)*SQRT(I103))/SQRT(1+K103^2/(2*J103))),0)),"")</f>
        <v>0</v>
      </c>
      <c r="N103" s="12">
        <f>IF(ISNUMBER(M103),IF(M103&gt;=potencia,I103,""),"")</f>
        <v>0</v>
      </c>
      <c r="O103" s="19">
        <f>(K103+TINV(2*(1-potencia),J103))/SQRT(I103)</f>
        <v>0</v>
      </c>
      <c r="P103" s="19">
        <f>IFERROR(O103-(((1-NORMSDIST((K103*(1-1/(4*J103))-(O103)*SQRT(I103))/SQRT(1+K103^2/(2*J103))))+IF(colas=2,NORMSDIST((-K103*(1-1/(4*J103))-(O103)*SQRT(I103))/SQRT(1+K103^2/(2*J103))),0))-potencia)/((((1-NORMSDIST((K103*(1-1/(4*J103))-(O103+(0.001*O103))*SQRT(I103))/SQRT(1+K103^2/(2*J103))))+IF(colas=2,NORMSDIST((-K103*(1-1/(4*J103))-(O103+(0.001*O103))*SQRT(I103))/SQRT(1+K103^2/(2*J103))),0))-((1-NORMSDIST((K103*(1-1/(4*J103))-(O103-(0.001*O103))*SQRT(I103))/SQRT(1+K103^2/(2*J103))))+IF(colas=2,NORMSDIST((-K103*(1-1/(4*J103))-(O103-(0.001*O103))*SQRT(I103))/SQRT(1+K103^2/(2*J103))),0)))/(2*(0.001*O103))),O103)</f>
        <v>0</v>
      </c>
      <c r="Q103" s="19">
        <f>IFERROR(P103-(((1-NORMSDIST((K103*(1-1/(4*J103))-(P103)*SQRT(I103))/SQRT(1+K103^2/(2*J103))))+IF(colas=2,NORMSDIST((-K103*(1-1/(4*J103))-(P103)*SQRT(I103))/SQRT(1+K103^2/(2*J103))),0))-potencia)/((((1-NORMSDIST((K103*(1-1/(4*J103))-(P103+(0.001*P103))*SQRT(I103))/SQRT(1+K103^2/(2*J103))))+IF(colas=2,NORMSDIST((-K103*(1-1/(4*J103))-(P103+(0.001*P103))*SQRT(I103))/SQRT(1+K103^2/(2*J103))),0))-((1-NORMSDIST((K103*(1-1/(4*J103))-(P103-(0.001*P103))*SQRT(I103))/SQRT(1+K103^2/(2*J103))))+IF(colas=2,NORMSDIST((-K103*(1-1/(4*J103))-(P103-(0.001*P103))*SQRT(I103))/SQRT(1+K103^2/(2*J103))),0)))/(2*(0.001*P103))),P103)</f>
        <v>0</v>
      </c>
      <c r="R103" s="19">
        <f>IFERROR(Q103-(((1-NORMSDIST((K103*(1-1/(4*J103))-(Q103)*SQRT(I103))/SQRT(1+K103^2/(2*J103))))+IF(colas=2,NORMSDIST((-K103*(1-1/(4*J103))-(Q103)*SQRT(I103))/SQRT(1+K103^2/(2*J103))),0))-potencia)/((((1-NORMSDIST((K103*(1-1/(4*J103))-(Q103+(0.001*Q103))*SQRT(I103))/SQRT(1+K103^2/(2*J103))))+IF(colas=2,NORMSDIST((-K103*(1-1/(4*J103))-(Q103+(0.001*Q103))*SQRT(I103))/SQRT(1+K103^2/(2*J103))),0))-((1-NORMSDIST((K103*(1-1/(4*J103))-(Q103-(0.001*Q103))*SQRT(I103))/SQRT(1+K103^2/(2*J103))))+IF(colas=2,NORMSDIST((-K103*(1-1/(4*J103))-(Q103-(0.001*Q103))*SQRT(I103))/SQRT(1+K103^2/(2*J103))),0)))/(2*(0.001*Q103))),Q103)</f>
        <v>0</v>
      </c>
      <c r="S103" s="19">
        <f>R103</f>
        <v>0</v>
      </c>
    </row>
  </sheetData>
  <dataValidations count="1">
    <dataValidation type="list" allowBlank="1" showInputMessage="1" showErrorMessage="1" sqref="B37">
      <formula1>"3,4"</formula1>
    </dataValidation>
  </dataValidations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X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outlineLevelCol="1"/>
  <cols>
    <col min="1" max="1" width="8.7109375" customWidth="1"/>
    <col min="2" max="9" width="12.7109375" customWidth="1"/>
    <col min="13" max="24" width="9.7109375" hidden="1" customWidth="1" outlineLevel="1"/>
  </cols>
  <sheetData>
    <row r="1" spans="1:24">
      <c r="A1" s="1" t="s">
        <v>274</v>
      </c>
    </row>
    <row r="2" spans="1:24">
      <c r="A2" s="2">
        <f>"Réplicas por corriente y por día: "&amp;IF(ISNUMBER(rpd),rpd,"(se calcula en la hoja Réplicas)")&amp;" · días: "&amp;dias&amp;" · semilla: "&amp;semilla</f>
        <v>0</v>
      </c>
    </row>
    <row r="3" spans="1:24" ht="28" customHeight="1">
      <c r="A3" s="10" t="s">
        <v>275</v>
      </c>
      <c r="B3" s="10"/>
      <c r="C3" s="10"/>
      <c r="D3" s="10"/>
      <c r="E3" s="10"/>
      <c r="F3" s="10"/>
      <c r="G3" s="10"/>
      <c r="H3" s="10"/>
      <c r="I3" s="10"/>
    </row>
    <row r="4" spans="1:24">
      <c r="B4" s="6" t="s">
        <v>277</v>
      </c>
      <c r="C4" s="6"/>
      <c r="D4" s="6" t="s">
        <v>282</v>
      </c>
      <c r="E4" s="6"/>
      <c r="F4" s="6" t="s">
        <v>286</v>
      </c>
      <c r="G4" s="6"/>
      <c r="H4" s="6" t="s">
        <v>290</v>
      </c>
      <c r="I4" s="6"/>
    </row>
    <row r="5" spans="1:24">
      <c r="A5" s="6" t="s">
        <v>276</v>
      </c>
      <c r="B5" s="6" t="s">
        <v>141</v>
      </c>
      <c r="C5" s="6" t="s">
        <v>278</v>
      </c>
      <c r="D5" s="6" t="s">
        <v>141</v>
      </c>
      <c r="E5" s="6" t="s">
        <v>278</v>
      </c>
      <c r="F5" s="6" t="s">
        <v>141</v>
      </c>
      <c r="G5" s="6" t="s">
        <v>278</v>
      </c>
      <c r="H5" s="6" t="s">
        <v>141</v>
      </c>
      <c r="I5" s="6" t="s">
        <v>278</v>
      </c>
      <c r="K5" s="2" t="s">
        <v>294</v>
      </c>
      <c r="M5" s="6" t="s">
        <v>279</v>
      </c>
      <c r="N5" s="6" t="s">
        <v>280</v>
      </c>
      <c r="O5" s="6" t="s">
        <v>281</v>
      </c>
      <c r="P5" s="6" t="s">
        <v>283</v>
      </c>
      <c r="Q5" s="6" t="s">
        <v>284</v>
      </c>
      <c r="R5" s="6" t="s">
        <v>285</v>
      </c>
      <c r="S5" s="6" t="s">
        <v>287</v>
      </c>
      <c r="T5" s="6" t="s">
        <v>288</v>
      </c>
      <c r="U5" s="6" t="s">
        <v>289</v>
      </c>
      <c r="V5" s="6" t="s">
        <v>291</v>
      </c>
      <c r="W5" s="6" t="s">
        <v>292</v>
      </c>
      <c r="X5" s="6" t="s">
        <v>293</v>
      </c>
    </row>
    <row r="6" spans="1:24">
      <c r="A6" s="12">
        <f>IF(ISNUMBER(rpd),IF(1&lt;=3*rpd,1,""),"")</f>
        <v>0</v>
      </c>
      <c r="B6" s="18">
        <f>IF(ISNUMBER($A6),IF(1&lt;=dias,IFERROR(INDEX($N$6:$N$65,MATCH($A6,$O$6:$O$65,0)),""),"—"),"")</f>
        <v>0</v>
      </c>
      <c r="C6" s="19">
        <f>IF(OR(B6="",B6="—"),"",IF(INDEX(corrientes,MATCH(B6,{"I1","I2","I3"},0))="","",INDEX(corrientes,MATCH(B6,{"I1","I2","I3"},0))))</f>
        <v>0</v>
      </c>
      <c r="D6" s="18">
        <f>IF(ISNUMBER($A6),IF(2&lt;=dias,IFERROR(INDEX($Q$6:$Q$65,MATCH($A6,$R$6:$R$65,0)),""),"—"),"")</f>
        <v>0</v>
      </c>
      <c r="E6" s="19">
        <f>IF(OR(D6="",D6="—"),"",IF(INDEX(corrientes,MATCH(D6,{"I1","I2","I3"},0))="","",INDEX(corrientes,MATCH(D6,{"I1","I2","I3"},0))))</f>
        <v>0</v>
      </c>
      <c r="F6" s="18">
        <f>IF(ISNUMBER($A6),IF(3&lt;=dias,IFERROR(INDEX($T$6:$T$65,MATCH($A6,$U$6:$U$65,0)),""),"—"),"")</f>
        <v>0</v>
      </c>
      <c r="G6" s="19">
        <f>IF(OR(F6="",F6="—"),"",IF(INDEX(corrientes,MATCH(F6,{"I1","I2","I3"},0))="","",INDEX(corrientes,MATCH(F6,{"I1","I2","I3"},0))))</f>
        <v>0</v>
      </c>
      <c r="H6" s="18">
        <f>IF(ISNUMBER($A6),IF(4&lt;=dias,IFERROR(INDEX($W$6:$W$65,MATCH($A6,$X$6:$X$65,0)),""),"—"),"")</f>
        <v>0</v>
      </c>
      <c r="I6" s="19">
        <f>IF(OR(H6="",H6="—"),"",IF(INDEX(corrientes,MATCH(H6,{"I1","I2","I3"},0))="","",INDEX(corrientes,MATCH(H6,{"I1","I2","I3"},0))))</f>
        <v>0</v>
      </c>
      <c r="M6" s="28">
        <f>MOD(ABS(SIN(semilla*12.9898+1*78.233+1*37.719))*43758.5453,1)</f>
        <v>0</v>
      </c>
      <c r="N6" s="22">
        <f>"I"&amp;(MOD(1-1,3)+1)</f>
        <v>0</v>
      </c>
      <c r="O6" s="22">
        <f>IF(ISNUMBER($A6),IF(1&lt;=dias,COUNTIFS($M$6:$M$65,"&lt;"&amp;M6,$A$6:$A$65,"&gt;0")+1,""),"")</f>
        <v>0</v>
      </c>
      <c r="P6" s="28">
        <f>MOD(ABS(SIN(semilla*12.9898+1*78.233+2*37.719))*43758.5453,1)</f>
        <v>0</v>
      </c>
      <c r="Q6" s="22">
        <f>"I"&amp;(MOD(1-1,3)+1)</f>
        <v>0</v>
      </c>
      <c r="R6" s="22">
        <f>IF(ISNUMBER($A6),IF(2&lt;=dias,COUNTIFS($P$6:$P$65,"&lt;"&amp;P6,$A$6:$A$65,"&gt;0")+1,""),"")</f>
        <v>0</v>
      </c>
      <c r="S6" s="28">
        <f>MOD(ABS(SIN(semilla*12.9898+1*78.233+3*37.719))*43758.5453,1)</f>
        <v>0</v>
      </c>
      <c r="T6" s="22">
        <f>"I"&amp;(MOD(1-1,3)+1)</f>
        <v>0</v>
      </c>
      <c r="U6" s="22">
        <f>IF(ISNUMBER($A6),IF(3&lt;=dias,COUNTIFS($S$6:$S$65,"&lt;"&amp;S6,$A$6:$A$65,"&gt;0")+1,""),"")</f>
        <v>0</v>
      </c>
      <c r="V6" s="28">
        <f>MOD(ABS(SIN(semilla*12.9898+1*78.233+4*37.719))*43758.5453,1)</f>
        <v>0</v>
      </c>
      <c r="W6" s="22">
        <f>"I"&amp;(MOD(1-1,3)+1)</f>
        <v>0</v>
      </c>
      <c r="X6" s="22">
        <f>IF(ISNUMBER($A6),IF(4&lt;=dias,COUNTIFS($V$6:$V$65,"&lt;"&amp;V6,$A$6:$A$65,"&gt;0")+1,""),"")</f>
        <v>0</v>
      </c>
    </row>
    <row r="7" spans="1:24">
      <c r="A7" s="12">
        <f>IF(ISNUMBER(rpd),IF(2&lt;=3*rpd,2,""),"")</f>
        <v>0</v>
      </c>
      <c r="B7" s="18">
        <f>IF(ISNUMBER($A7),IF(1&lt;=dias,IFERROR(INDEX($N$6:$N$65,MATCH($A7,$O$6:$O$65,0)),""),"—"),"")</f>
        <v>0</v>
      </c>
      <c r="C7" s="19">
        <f>IF(OR(B7="",B7="—"),"",IF(INDEX(corrientes,MATCH(B7,{"I1","I2","I3"},0))="","",INDEX(corrientes,MATCH(B7,{"I1","I2","I3"},0))))</f>
        <v>0</v>
      </c>
      <c r="D7" s="18">
        <f>IF(ISNUMBER($A7),IF(2&lt;=dias,IFERROR(INDEX($Q$6:$Q$65,MATCH($A7,$R$6:$R$65,0)),""),"—"),"")</f>
        <v>0</v>
      </c>
      <c r="E7" s="19">
        <f>IF(OR(D7="",D7="—"),"",IF(INDEX(corrientes,MATCH(D7,{"I1","I2","I3"},0))="","",INDEX(corrientes,MATCH(D7,{"I1","I2","I3"},0))))</f>
        <v>0</v>
      </c>
      <c r="F7" s="18">
        <f>IF(ISNUMBER($A7),IF(3&lt;=dias,IFERROR(INDEX($T$6:$T$65,MATCH($A7,$U$6:$U$65,0)),""),"—"),"")</f>
        <v>0</v>
      </c>
      <c r="G7" s="19">
        <f>IF(OR(F7="",F7="—"),"",IF(INDEX(corrientes,MATCH(F7,{"I1","I2","I3"},0))="","",INDEX(corrientes,MATCH(F7,{"I1","I2","I3"},0))))</f>
        <v>0</v>
      </c>
      <c r="H7" s="18">
        <f>IF(ISNUMBER($A7),IF(4&lt;=dias,IFERROR(INDEX($W$6:$W$65,MATCH($A7,$X$6:$X$65,0)),""),"—"),"")</f>
        <v>0</v>
      </c>
      <c r="I7" s="19">
        <f>IF(OR(H7="",H7="—"),"",IF(INDEX(corrientes,MATCH(H7,{"I1","I2","I3"},0))="","",INDEX(corrientes,MATCH(H7,{"I1","I2","I3"},0))))</f>
        <v>0</v>
      </c>
      <c r="M7" s="28">
        <f>MOD(ABS(SIN(semilla*12.9898+2*78.233+1*37.719))*43758.5453,1)</f>
        <v>0</v>
      </c>
      <c r="N7" s="22">
        <f>"I"&amp;(MOD(2-1,3)+1)</f>
        <v>0</v>
      </c>
      <c r="O7" s="22">
        <f>IF(ISNUMBER($A7),IF(1&lt;=dias,COUNTIFS($M$6:$M$65,"&lt;"&amp;M7,$A$6:$A$65,"&gt;0")+1,""),"")</f>
        <v>0</v>
      </c>
      <c r="P7" s="28">
        <f>MOD(ABS(SIN(semilla*12.9898+2*78.233+2*37.719))*43758.5453,1)</f>
        <v>0</v>
      </c>
      <c r="Q7" s="22">
        <f>"I"&amp;(MOD(2-1,3)+1)</f>
        <v>0</v>
      </c>
      <c r="R7" s="22">
        <f>IF(ISNUMBER($A7),IF(2&lt;=dias,COUNTIFS($P$6:$P$65,"&lt;"&amp;P7,$A$6:$A$65,"&gt;0")+1,""),"")</f>
        <v>0</v>
      </c>
      <c r="S7" s="28">
        <f>MOD(ABS(SIN(semilla*12.9898+2*78.233+3*37.719))*43758.5453,1)</f>
        <v>0</v>
      </c>
      <c r="T7" s="22">
        <f>"I"&amp;(MOD(2-1,3)+1)</f>
        <v>0</v>
      </c>
      <c r="U7" s="22">
        <f>IF(ISNUMBER($A7),IF(3&lt;=dias,COUNTIFS($S$6:$S$65,"&lt;"&amp;S7,$A$6:$A$65,"&gt;0")+1,""),"")</f>
        <v>0</v>
      </c>
      <c r="V7" s="28">
        <f>MOD(ABS(SIN(semilla*12.9898+2*78.233+4*37.719))*43758.5453,1)</f>
        <v>0</v>
      </c>
      <c r="W7" s="22">
        <f>"I"&amp;(MOD(2-1,3)+1)</f>
        <v>0</v>
      </c>
      <c r="X7" s="22">
        <f>IF(ISNUMBER($A7),IF(4&lt;=dias,COUNTIFS($V$6:$V$65,"&lt;"&amp;V7,$A$6:$A$65,"&gt;0")+1,""),"")</f>
        <v>0</v>
      </c>
    </row>
    <row r="8" spans="1:24">
      <c r="A8" s="12">
        <f>IF(ISNUMBER(rpd),IF(3&lt;=3*rpd,3,""),"")</f>
        <v>0</v>
      </c>
      <c r="B8" s="18">
        <f>IF(ISNUMBER($A8),IF(1&lt;=dias,IFERROR(INDEX($N$6:$N$65,MATCH($A8,$O$6:$O$65,0)),""),"—"),"")</f>
        <v>0</v>
      </c>
      <c r="C8" s="19">
        <f>IF(OR(B8="",B8="—"),"",IF(INDEX(corrientes,MATCH(B8,{"I1","I2","I3"},0))="","",INDEX(corrientes,MATCH(B8,{"I1","I2","I3"},0))))</f>
        <v>0</v>
      </c>
      <c r="D8" s="18">
        <f>IF(ISNUMBER($A8),IF(2&lt;=dias,IFERROR(INDEX($Q$6:$Q$65,MATCH($A8,$R$6:$R$65,0)),""),"—"),"")</f>
        <v>0</v>
      </c>
      <c r="E8" s="19">
        <f>IF(OR(D8="",D8="—"),"",IF(INDEX(corrientes,MATCH(D8,{"I1","I2","I3"},0))="","",INDEX(corrientes,MATCH(D8,{"I1","I2","I3"},0))))</f>
        <v>0</v>
      </c>
      <c r="F8" s="18">
        <f>IF(ISNUMBER($A8),IF(3&lt;=dias,IFERROR(INDEX($T$6:$T$65,MATCH($A8,$U$6:$U$65,0)),""),"—"),"")</f>
        <v>0</v>
      </c>
      <c r="G8" s="19">
        <f>IF(OR(F8="",F8="—"),"",IF(INDEX(corrientes,MATCH(F8,{"I1","I2","I3"},0))="","",INDEX(corrientes,MATCH(F8,{"I1","I2","I3"},0))))</f>
        <v>0</v>
      </c>
      <c r="H8" s="18">
        <f>IF(ISNUMBER($A8),IF(4&lt;=dias,IFERROR(INDEX($W$6:$W$65,MATCH($A8,$X$6:$X$65,0)),""),"—"),"")</f>
        <v>0</v>
      </c>
      <c r="I8" s="19">
        <f>IF(OR(H8="",H8="—"),"",IF(INDEX(corrientes,MATCH(H8,{"I1","I2","I3"},0))="","",INDEX(corrientes,MATCH(H8,{"I1","I2","I3"},0))))</f>
        <v>0</v>
      </c>
      <c r="M8" s="28">
        <f>MOD(ABS(SIN(semilla*12.9898+3*78.233+1*37.719))*43758.5453,1)</f>
        <v>0</v>
      </c>
      <c r="N8" s="22">
        <f>"I"&amp;(MOD(3-1,3)+1)</f>
        <v>0</v>
      </c>
      <c r="O8" s="22">
        <f>IF(ISNUMBER($A8),IF(1&lt;=dias,COUNTIFS($M$6:$M$65,"&lt;"&amp;M8,$A$6:$A$65,"&gt;0")+1,""),"")</f>
        <v>0</v>
      </c>
      <c r="P8" s="28">
        <f>MOD(ABS(SIN(semilla*12.9898+3*78.233+2*37.719))*43758.5453,1)</f>
        <v>0</v>
      </c>
      <c r="Q8" s="22">
        <f>"I"&amp;(MOD(3-1,3)+1)</f>
        <v>0</v>
      </c>
      <c r="R8" s="22">
        <f>IF(ISNUMBER($A8),IF(2&lt;=dias,COUNTIFS($P$6:$P$65,"&lt;"&amp;P8,$A$6:$A$65,"&gt;0")+1,""),"")</f>
        <v>0</v>
      </c>
      <c r="S8" s="28">
        <f>MOD(ABS(SIN(semilla*12.9898+3*78.233+3*37.719))*43758.5453,1)</f>
        <v>0</v>
      </c>
      <c r="T8" s="22">
        <f>"I"&amp;(MOD(3-1,3)+1)</f>
        <v>0</v>
      </c>
      <c r="U8" s="22">
        <f>IF(ISNUMBER($A8),IF(3&lt;=dias,COUNTIFS($S$6:$S$65,"&lt;"&amp;S8,$A$6:$A$65,"&gt;0")+1,""),"")</f>
        <v>0</v>
      </c>
      <c r="V8" s="28">
        <f>MOD(ABS(SIN(semilla*12.9898+3*78.233+4*37.719))*43758.5453,1)</f>
        <v>0</v>
      </c>
      <c r="W8" s="22">
        <f>"I"&amp;(MOD(3-1,3)+1)</f>
        <v>0</v>
      </c>
      <c r="X8" s="22">
        <f>IF(ISNUMBER($A8),IF(4&lt;=dias,COUNTIFS($V$6:$V$65,"&lt;"&amp;V8,$A$6:$A$65,"&gt;0")+1,""),"")</f>
        <v>0</v>
      </c>
    </row>
    <row r="9" spans="1:24">
      <c r="A9" s="12">
        <f>IF(ISNUMBER(rpd),IF(4&lt;=3*rpd,4,""),"")</f>
        <v>0</v>
      </c>
      <c r="B9" s="18">
        <f>IF(ISNUMBER($A9),IF(1&lt;=dias,IFERROR(INDEX($N$6:$N$65,MATCH($A9,$O$6:$O$65,0)),""),"—"),"")</f>
        <v>0</v>
      </c>
      <c r="C9" s="19">
        <f>IF(OR(B9="",B9="—"),"",IF(INDEX(corrientes,MATCH(B9,{"I1","I2","I3"},0))="","",INDEX(corrientes,MATCH(B9,{"I1","I2","I3"},0))))</f>
        <v>0</v>
      </c>
      <c r="D9" s="18">
        <f>IF(ISNUMBER($A9),IF(2&lt;=dias,IFERROR(INDEX($Q$6:$Q$65,MATCH($A9,$R$6:$R$65,0)),""),"—"),"")</f>
        <v>0</v>
      </c>
      <c r="E9" s="19">
        <f>IF(OR(D9="",D9="—"),"",IF(INDEX(corrientes,MATCH(D9,{"I1","I2","I3"},0))="","",INDEX(corrientes,MATCH(D9,{"I1","I2","I3"},0))))</f>
        <v>0</v>
      </c>
      <c r="F9" s="18">
        <f>IF(ISNUMBER($A9),IF(3&lt;=dias,IFERROR(INDEX($T$6:$T$65,MATCH($A9,$U$6:$U$65,0)),""),"—"),"")</f>
        <v>0</v>
      </c>
      <c r="G9" s="19">
        <f>IF(OR(F9="",F9="—"),"",IF(INDEX(corrientes,MATCH(F9,{"I1","I2","I3"},0))="","",INDEX(corrientes,MATCH(F9,{"I1","I2","I3"},0))))</f>
        <v>0</v>
      </c>
      <c r="H9" s="18">
        <f>IF(ISNUMBER($A9),IF(4&lt;=dias,IFERROR(INDEX($W$6:$W$65,MATCH($A9,$X$6:$X$65,0)),""),"—"),"")</f>
        <v>0</v>
      </c>
      <c r="I9" s="19">
        <f>IF(OR(H9="",H9="—"),"",IF(INDEX(corrientes,MATCH(H9,{"I1","I2","I3"},0))="","",INDEX(corrientes,MATCH(H9,{"I1","I2","I3"},0))))</f>
        <v>0</v>
      </c>
      <c r="M9" s="28">
        <f>MOD(ABS(SIN(semilla*12.9898+4*78.233+1*37.719))*43758.5453,1)</f>
        <v>0</v>
      </c>
      <c r="N9" s="22">
        <f>"I"&amp;(MOD(4-1,3)+1)</f>
        <v>0</v>
      </c>
      <c r="O9" s="22">
        <f>IF(ISNUMBER($A9),IF(1&lt;=dias,COUNTIFS($M$6:$M$65,"&lt;"&amp;M9,$A$6:$A$65,"&gt;0")+1,""),"")</f>
        <v>0</v>
      </c>
      <c r="P9" s="28">
        <f>MOD(ABS(SIN(semilla*12.9898+4*78.233+2*37.719))*43758.5453,1)</f>
        <v>0</v>
      </c>
      <c r="Q9" s="22">
        <f>"I"&amp;(MOD(4-1,3)+1)</f>
        <v>0</v>
      </c>
      <c r="R9" s="22">
        <f>IF(ISNUMBER($A9),IF(2&lt;=dias,COUNTIFS($P$6:$P$65,"&lt;"&amp;P9,$A$6:$A$65,"&gt;0")+1,""),"")</f>
        <v>0</v>
      </c>
      <c r="S9" s="28">
        <f>MOD(ABS(SIN(semilla*12.9898+4*78.233+3*37.719))*43758.5453,1)</f>
        <v>0</v>
      </c>
      <c r="T9" s="22">
        <f>"I"&amp;(MOD(4-1,3)+1)</f>
        <v>0</v>
      </c>
      <c r="U9" s="22">
        <f>IF(ISNUMBER($A9),IF(3&lt;=dias,COUNTIFS($S$6:$S$65,"&lt;"&amp;S9,$A$6:$A$65,"&gt;0")+1,""),"")</f>
        <v>0</v>
      </c>
      <c r="V9" s="28">
        <f>MOD(ABS(SIN(semilla*12.9898+4*78.233+4*37.719))*43758.5453,1)</f>
        <v>0</v>
      </c>
      <c r="W9" s="22">
        <f>"I"&amp;(MOD(4-1,3)+1)</f>
        <v>0</v>
      </c>
      <c r="X9" s="22">
        <f>IF(ISNUMBER($A9),IF(4&lt;=dias,COUNTIFS($V$6:$V$65,"&lt;"&amp;V9,$A$6:$A$65,"&gt;0")+1,""),"")</f>
        <v>0</v>
      </c>
    </row>
    <row r="10" spans="1:24">
      <c r="A10" s="12">
        <f>IF(ISNUMBER(rpd),IF(5&lt;=3*rpd,5,""),"")</f>
        <v>0</v>
      </c>
      <c r="B10" s="18">
        <f>IF(ISNUMBER($A10),IF(1&lt;=dias,IFERROR(INDEX($N$6:$N$65,MATCH($A10,$O$6:$O$65,0)),""),"—"),"")</f>
        <v>0</v>
      </c>
      <c r="C10" s="19">
        <f>IF(OR(B10="",B10="—"),"",IF(INDEX(corrientes,MATCH(B10,{"I1","I2","I3"},0))="","",INDEX(corrientes,MATCH(B10,{"I1","I2","I3"},0))))</f>
        <v>0</v>
      </c>
      <c r="D10" s="18">
        <f>IF(ISNUMBER($A10),IF(2&lt;=dias,IFERROR(INDEX($Q$6:$Q$65,MATCH($A10,$R$6:$R$65,0)),""),"—"),"")</f>
        <v>0</v>
      </c>
      <c r="E10" s="19">
        <f>IF(OR(D10="",D10="—"),"",IF(INDEX(corrientes,MATCH(D10,{"I1","I2","I3"},0))="","",INDEX(corrientes,MATCH(D10,{"I1","I2","I3"},0))))</f>
        <v>0</v>
      </c>
      <c r="F10" s="18">
        <f>IF(ISNUMBER($A10),IF(3&lt;=dias,IFERROR(INDEX($T$6:$T$65,MATCH($A10,$U$6:$U$65,0)),""),"—"),"")</f>
        <v>0</v>
      </c>
      <c r="G10" s="19">
        <f>IF(OR(F10="",F10="—"),"",IF(INDEX(corrientes,MATCH(F10,{"I1","I2","I3"},0))="","",INDEX(corrientes,MATCH(F10,{"I1","I2","I3"},0))))</f>
        <v>0</v>
      </c>
      <c r="H10" s="18">
        <f>IF(ISNUMBER($A10),IF(4&lt;=dias,IFERROR(INDEX($W$6:$W$65,MATCH($A10,$X$6:$X$65,0)),""),"—"),"")</f>
        <v>0</v>
      </c>
      <c r="I10" s="19">
        <f>IF(OR(H10="",H10="—"),"",IF(INDEX(corrientes,MATCH(H10,{"I1","I2","I3"},0))="","",INDEX(corrientes,MATCH(H10,{"I1","I2","I3"},0))))</f>
        <v>0</v>
      </c>
      <c r="M10" s="28">
        <f>MOD(ABS(SIN(semilla*12.9898+5*78.233+1*37.719))*43758.5453,1)</f>
        <v>0</v>
      </c>
      <c r="N10" s="22">
        <f>"I"&amp;(MOD(5-1,3)+1)</f>
        <v>0</v>
      </c>
      <c r="O10" s="22">
        <f>IF(ISNUMBER($A10),IF(1&lt;=dias,COUNTIFS($M$6:$M$65,"&lt;"&amp;M10,$A$6:$A$65,"&gt;0")+1,""),"")</f>
        <v>0</v>
      </c>
      <c r="P10" s="28">
        <f>MOD(ABS(SIN(semilla*12.9898+5*78.233+2*37.719))*43758.5453,1)</f>
        <v>0</v>
      </c>
      <c r="Q10" s="22">
        <f>"I"&amp;(MOD(5-1,3)+1)</f>
        <v>0</v>
      </c>
      <c r="R10" s="22">
        <f>IF(ISNUMBER($A10),IF(2&lt;=dias,COUNTIFS($P$6:$P$65,"&lt;"&amp;P10,$A$6:$A$65,"&gt;0")+1,""),"")</f>
        <v>0</v>
      </c>
      <c r="S10" s="28">
        <f>MOD(ABS(SIN(semilla*12.9898+5*78.233+3*37.719))*43758.5453,1)</f>
        <v>0</v>
      </c>
      <c r="T10" s="22">
        <f>"I"&amp;(MOD(5-1,3)+1)</f>
        <v>0</v>
      </c>
      <c r="U10" s="22">
        <f>IF(ISNUMBER($A10),IF(3&lt;=dias,COUNTIFS($S$6:$S$65,"&lt;"&amp;S10,$A$6:$A$65,"&gt;0")+1,""),"")</f>
        <v>0</v>
      </c>
      <c r="V10" s="28">
        <f>MOD(ABS(SIN(semilla*12.9898+5*78.233+4*37.719))*43758.5453,1)</f>
        <v>0</v>
      </c>
      <c r="W10" s="22">
        <f>"I"&amp;(MOD(5-1,3)+1)</f>
        <v>0</v>
      </c>
      <c r="X10" s="22">
        <f>IF(ISNUMBER($A10),IF(4&lt;=dias,COUNTIFS($V$6:$V$65,"&lt;"&amp;V10,$A$6:$A$65,"&gt;0")+1,""),"")</f>
        <v>0</v>
      </c>
    </row>
    <row r="11" spans="1:24">
      <c r="A11" s="12">
        <f>IF(ISNUMBER(rpd),IF(6&lt;=3*rpd,6,""),"")</f>
        <v>0</v>
      </c>
      <c r="B11" s="18">
        <f>IF(ISNUMBER($A11),IF(1&lt;=dias,IFERROR(INDEX($N$6:$N$65,MATCH($A11,$O$6:$O$65,0)),""),"—"),"")</f>
        <v>0</v>
      </c>
      <c r="C11" s="19">
        <f>IF(OR(B11="",B11="—"),"",IF(INDEX(corrientes,MATCH(B11,{"I1","I2","I3"},0))="","",INDEX(corrientes,MATCH(B11,{"I1","I2","I3"},0))))</f>
        <v>0</v>
      </c>
      <c r="D11" s="18">
        <f>IF(ISNUMBER($A11),IF(2&lt;=dias,IFERROR(INDEX($Q$6:$Q$65,MATCH($A11,$R$6:$R$65,0)),""),"—"),"")</f>
        <v>0</v>
      </c>
      <c r="E11" s="19">
        <f>IF(OR(D11="",D11="—"),"",IF(INDEX(corrientes,MATCH(D11,{"I1","I2","I3"},0))="","",INDEX(corrientes,MATCH(D11,{"I1","I2","I3"},0))))</f>
        <v>0</v>
      </c>
      <c r="F11" s="18">
        <f>IF(ISNUMBER($A11),IF(3&lt;=dias,IFERROR(INDEX($T$6:$T$65,MATCH($A11,$U$6:$U$65,0)),""),"—"),"")</f>
        <v>0</v>
      </c>
      <c r="G11" s="19">
        <f>IF(OR(F11="",F11="—"),"",IF(INDEX(corrientes,MATCH(F11,{"I1","I2","I3"},0))="","",INDEX(corrientes,MATCH(F11,{"I1","I2","I3"},0))))</f>
        <v>0</v>
      </c>
      <c r="H11" s="18">
        <f>IF(ISNUMBER($A11),IF(4&lt;=dias,IFERROR(INDEX($W$6:$W$65,MATCH($A11,$X$6:$X$65,0)),""),"—"),"")</f>
        <v>0</v>
      </c>
      <c r="I11" s="19">
        <f>IF(OR(H11="",H11="—"),"",IF(INDEX(corrientes,MATCH(H11,{"I1","I2","I3"},0))="","",INDEX(corrientes,MATCH(H11,{"I1","I2","I3"},0))))</f>
        <v>0</v>
      </c>
      <c r="M11" s="28">
        <f>MOD(ABS(SIN(semilla*12.9898+6*78.233+1*37.719))*43758.5453,1)</f>
        <v>0</v>
      </c>
      <c r="N11" s="22">
        <f>"I"&amp;(MOD(6-1,3)+1)</f>
        <v>0</v>
      </c>
      <c r="O11" s="22">
        <f>IF(ISNUMBER($A11),IF(1&lt;=dias,COUNTIFS($M$6:$M$65,"&lt;"&amp;M11,$A$6:$A$65,"&gt;0")+1,""),"")</f>
        <v>0</v>
      </c>
      <c r="P11" s="28">
        <f>MOD(ABS(SIN(semilla*12.9898+6*78.233+2*37.719))*43758.5453,1)</f>
        <v>0</v>
      </c>
      <c r="Q11" s="22">
        <f>"I"&amp;(MOD(6-1,3)+1)</f>
        <v>0</v>
      </c>
      <c r="R11" s="22">
        <f>IF(ISNUMBER($A11),IF(2&lt;=dias,COUNTIFS($P$6:$P$65,"&lt;"&amp;P11,$A$6:$A$65,"&gt;0")+1,""),"")</f>
        <v>0</v>
      </c>
      <c r="S11" s="28">
        <f>MOD(ABS(SIN(semilla*12.9898+6*78.233+3*37.719))*43758.5453,1)</f>
        <v>0</v>
      </c>
      <c r="T11" s="22">
        <f>"I"&amp;(MOD(6-1,3)+1)</f>
        <v>0</v>
      </c>
      <c r="U11" s="22">
        <f>IF(ISNUMBER($A11),IF(3&lt;=dias,COUNTIFS($S$6:$S$65,"&lt;"&amp;S11,$A$6:$A$65,"&gt;0")+1,""),"")</f>
        <v>0</v>
      </c>
      <c r="V11" s="28">
        <f>MOD(ABS(SIN(semilla*12.9898+6*78.233+4*37.719))*43758.5453,1)</f>
        <v>0</v>
      </c>
      <c r="W11" s="22">
        <f>"I"&amp;(MOD(6-1,3)+1)</f>
        <v>0</v>
      </c>
      <c r="X11" s="22">
        <f>IF(ISNUMBER($A11),IF(4&lt;=dias,COUNTIFS($V$6:$V$65,"&lt;"&amp;V11,$A$6:$A$65,"&gt;0")+1,""),"")</f>
        <v>0</v>
      </c>
    </row>
    <row r="12" spans="1:24">
      <c r="A12" s="12">
        <f>IF(ISNUMBER(rpd),IF(7&lt;=3*rpd,7,""),"")</f>
        <v>0</v>
      </c>
      <c r="B12" s="18">
        <f>IF(ISNUMBER($A12),IF(1&lt;=dias,IFERROR(INDEX($N$6:$N$65,MATCH($A12,$O$6:$O$65,0)),""),"—"),"")</f>
        <v>0</v>
      </c>
      <c r="C12" s="19">
        <f>IF(OR(B12="",B12="—"),"",IF(INDEX(corrientes,MATCH(B12,{"I1","I2","I3"},0))="","",INDEX(corrientes,MATCH(B12,{"I1","I2","I3"},0))))</f>
        <v>0</v>
      </c>
      <c r="D12" s="18">
        <f>IF(ISNUMBER($A12),IF(2&lt;=dias,IFERROR(INDEX($Q$6:$Q$65,MATCH($A12,$R$6:$R$65,0)),""),"—"),"")</f>
        <v>0</v>
      </c>
      <c r="E12" s="19">
        <f>IF(OR(D12="",D12="—"),"",IF(INDEX(corrientes,MATCH(D12,{"I1","I2","I3"},0))="","",INDEX(corrientes,MATCH(D12,{"I1","I2","I3"},0))))</f>
        <v>0</v>
      </c>
      <c r="F12" s="18">
        <f>IF(ISNUMBER($A12),IF(3&lt;=dias,IFERROR(INDEX($T$6:$T$65,MATCH($A12,$U$6:$U$65,0)),""),"—"),"")</f>
        <v>0</v>
      </c>
      <c r="G12" s="19">
        <f>IF(OR(F12="",F12="—"),"",IF(INDEX(corrientes,MATCH(F12,{"I1","I2","I3"},0))="","",INDEX(corrientes,MATCH(F12,{"I1","I2","I3"},0))))</f>
        <v>0</v>
      </c>
      <c r="H12" s="18">
        <f>IF(ISNUMBER($A12),IF(4&lt;=dias,IFERROR(INDEX($W$6:$W$65,MATCH($A12,$X$6:$X$65,0)),""),"—"),"")</f>
        <v>0</v>
      </c>
      <c r="I12" s="19">
        <f>IF(OR(H12="",H12="—"),"",IF(INDEX(corrientes,MATCH(H12,{"I1","I2","I3"},0))="","",INDEX(corrientes,MATCH(H12,{"I1","I2","I3"},0))))</f>
        <v>0</v>
      </c>
      <c r="M12" s="28">
        <f>MOD(ABS(SIN(semilla*12.9898+7*78.233+1*37.719))*43758.5453,1)</f>
        <v>0</v>
      </c>
      <c r="N12" s="22">
        <f>"I"&amp;(MOD(7-1,3)+1)</f>
        <v>0</v>
      </c>
      <c r="O12" s="22">
        <f>IF(ISNUMBER($A12),IF(1&lt;=dias,COUNTIFS($M$6:$M$65,"&lt;"&amp;M12,$A$6:$A$65,"&gt;0")+1,""),"")</f>
        <v>0</v>
      </c>
      <c r="P12" s="28">
        <f>MOD(ABS(SIN(semilla*12.9898+7*78.233+2*37.719))*43758.5453,1)</f>
        <v>0</v>
      </c>
      <c r="Q12" s="22">
        <f>"I"&amp;(MOD(7-1,3)+1)</f>
        <v>0</v>
      </c>
      <c r="R12" s="22">
        <f>IF(ISNUMBER($A12),IF(2&lt;=dias,COUNTIFS($P$6:$P$65,"&lt;"&amp;P12,$A$6:$A$65,"&gt;0")+1,""),"")</f>
        <v>0</v>
      </c>
      <c r="S12" s="28">
        <f>MOD(ABS(SIN(semilla*12.9898+7*78.233+3*37.719))*43758.5453,1)</f>
        <v>0</v>
      </c>
      <c r="T12" s="22">
        <f>"I"&amp;(MOD(7-1,3)+1)</f>
        <v>0</v>
      </c>
      <c r="U12" s="22">
        <f>IF(ISNUMBER($A12),IF(3&lt;=dias,COUNTIFS($S$6:$S$65,"&lt;"&amp;S12,$A$6:$A$65,"&gt;0")+1,""),"")</f>
        <v>0</v>
      </c>
      <c r="V12" s="28">
        <f>MOD(ABS(SIN(semilla*12.9898+7*78.233+4*37.719))*43758.5453,1)</f>
        <v>0</v>
      </c>
      <c r="W12" s="22">
        <f>"I"&amp;(MOD(7-1,3)+1)</f>
        <v>0</v>
      </c>
      <c r="X12" s="22">
        <f>IF(ISNUMBER($A12),IF(4&lt;=dias,COUNTIFS($V$6:$V$65,"&lt;"&amp;V12,$A$6:$A$65,"&gt;0")+1,""),"")</f>
        <v>0</v>
      </c>
    </row>
    <row r="13" spans="1:24">
      <c r="A13" s="12">
        <f>IF(ISNUMBER(rpd),IF(8&lt;=3*rpd,8,""),"")</f>
        <v>0</v>
      </c>
      <c r="B13" s="18">
        <f>IF(ISNUMBER($A13),IF(1&lt;=dias,IFERROR(INDEX($N$6:$N$65,MATCH($A13,$O$6:$O$65,0)),""),"—"),"")</f>
        <v>0</v>
      </c>
      <c r="C13" s="19">
        <f>IF(OR(B13="",B13="—"),"",IF(INDEX(corrientes,MATCH(B13,{"I1","I2","I3"},0))="","",INDEX(corrientes,MATCH(B13,{"I1","I2","I3"},0))))</f>
        <v>0</v>
      </c>
      <c r="D13" s="18">
        <f>IF(ISNUMBER($A13),IF(2&lt;=dias,IFERROR(INDEX($Q$6:$Q$65,MATCH($A13,$R$6:$R$65,0)),""),"—"),"")</f>
        <v>0</v>
      </c>
      <c r="E13" s="19">
        <f>IF(OR(D13="",D13="—"),"",IF(INDEX(corrientes,MATCH(D13,{"I1","I2","I3"},0))="","",INDEX(corrientes,MATCH(D13,{"I1","I2","I3"},0))))</f>
        <v>0</v>
      </c>
      <c r="F13" s="18">
        <f>IF(ISNUMBER($A13),IF(3&lt;=dias,IFERROR(INDEX($T$6:$T$65,MATCH($A13,$U$6:$U$65,0)),""),"—"),"")</f>
        <v>0</v>
      </c>
      <c r="G13" s="19">
        <f>IF(OR(F13="",F13="—"),"",IF(INDEX(corrientes,MATCH(F13,{"I1","I2","I3"},0))="","",INDEX(corrientes,MATCH(F13,{"I1","I2","I3"},0))))</f>
        <v>0</v>
      </c>
      <c r="H13" s="18">
        <f>IF(ISNUMBER($A13),IF(4&lt;=dias,IFERROR(INDEX($W$6:$W$65,MATCH($A13,$X$6:$X$65,0)),""),"—"),"")</f>
        <v>0</v>
      </c>
      <c r="I13" s="19">
        <f>IF(OR(H13="",H13="—"),"",IF(INDEX(corrientes,MATCH(H13,{"I1","I2","I3"},0))="","",INDEX(corrientes,MATCH(H13,{"I1","I2","I3"},0))))</f>
        <v>0</v>
      </c>
      <c r="M13" s="28">
        <f>MOD(ABS(SIN(semilla*12.9898+8*78.233+1*37.719))*43758.5453,1)</f>
        <v>0</v>
      </c>
      <c r="N13" s="22">
        <f>"I"&amp;(MOD(8-1,3)+1)</f>
        <v>0</v>
      </c>
      <c r="O13" s="22">
        <f>IF(ISNUMBER($A13),IF(1&lt;=dias,COUNTIFS($M$6:$M$65,"&lt;"&amp;M13,$A$6:$A$65,"&gt;0")+1,""),"")</f>
        <v>0</v>
      </c>
      <c r="P13" s="28">
        <f>MOD(ABS(SIN(semilla*12.9898+8*78.233+2*37.719))*43758.5453,1)</f>
        <v>0</v>
      </c>
      <c r="Q13" s="22">
        <f>"I"&amp;(MOD(8-1,3)+1)</f>
        <v>0</v>
      </c>
      <c r="R13" s="22">
        <f>IF(ISNUMBER($A13),IF(2&lt;=dias,COUNTIFS($P$6:$P$65,"&lt;"&amp;P13,$A$6:$A$65,"&gt;0")+1,""),"")</f>
        <v>0</v>
      </c>
      <c r="S13" s="28">
        <f>MOD(ABS(SIN(semilla*12.9898+8*78.233+3*37.719))*43758.5453,1)</f>
        <v>0</v>
      </c>
      <c r="T13" s="22">
        <f>"I"&amp;(MOD(8-1,3)+1)</f>
        <v>0</v>
      </c>
      <c r="U13" s="22">
        <f>IF(ISNUMBER($A13),IF(3&lt;=dias,COUNTIFS($S$6:$S$65,"&lt;"&amp;S13,$A$6:$A$65,"&gt;0")+1,""),"")</f>
        <v>0</v>
      </c>
      <c r="V13" s="28">
        <f>MOD(ABS(SIN(semilla*12.9898+8*78.233+4*37.719))*43758.5453,1)</f>
        <v>0</v>
      </c>
      <c r="W13" s="22">
        <f>"I"&amp;(MOD(8-1,3)+1)</f>
        <v>0</v>
      </c>
      <c r="X13" s="22">
        <f>IF(ISNUMBER($A13),IF(4&lt;=dias,COUNTIFS($V$6:$V$65,"&lt;"&amp;V13,$A$6:$A$65,"&gt;0")+1,""),"")</f>
        <v>0</v>
      </c>
    </row>
    <row r="14" spans="1:24">
      <c r="A14" s="12">
        <f>IF(ISNUMBER(rpd),IF(9&lt;=3*rpd,9,""),"")</f>
        <v>0</v>
      </c>
      <c r="B14" s="18">
        <f>IF(ISNUMBER($A14),IF(1&lt;=dias,IFERROR(INDEX($N$6:$N$65,MATCH($A14,$O$6:$O$65,0)),""),"—"),"")</f>
        <v>0</v>
      </c>
      <c r="C14" s="19">
        <f>IF(OR(B14="",B14="—"),"",IF(INDEX(corrientes,MATCH(B14,{"I1","I2","I3"},0))="","",INDEX(corrientes,MATCH(B14,{"I1","I2","I3"},0))))</f>
        <v>0</v>
      </c>
      <c r="D14" s="18">
        <f>IF(ISNUMBER($A14),IF(2&lt;=dias,IFERROR(INDEX($Q$6:$Q$65,MATCH($A14,$R$6:$R$65,0)),""),"—"),"")</f>
        <v>0</v>
      </c>
      <c r="E14" s="19">
        <f>IF(OR(D14="",D14="—"),"",IF(INDEX(corrientes,MATCH(D14,{"I1","I2","I3"},0))="","",INDEX(corrientes,MATCH(D14,{"I1","I2","I3"},0))))</f>
        <v>0</v>
      </c>
      <c r="F14" s="18">
        <f>IF(ISNUMBER($A14),IF(3&lt;=dias,IFERROR(INDEX($T$6:$T$65,MATCH($A14,$U$6:$U$65,0)),""),"—"),"")</f>
        <v>0</v>
      </c>
      <c r="G14" s="19">
        <f>IF(OR(F14="",F14="—"),"",IF(INDEX(corrientes,MATCH(F14,{"I1","I2","I3"},0))="","",INDEX(corrientes,MATCH(F14,{"I1","I2","I3"},0))))</f>
        <v>0</v>
      </c>
      <c r="H14" s="18">
        <f>IF(ISNUMBER($A14),IF(4&lt;=dias,IFERROR(INDEX($W$6:$W$65,MATCH($A14,$X$6:$X$65,0)),""),"—"),"")</f>
        <v>0</v>
      </c>
      <c r="I14" s="19">
        <f>IF(OR(H14="",H14="—"),"",IF(INDEX(corrientes,MATCH(H14,{"I1","I2","I3"},0))="","",INDEX(corrientes,MATCH(H14,{"I1","I2","I3"},0))))</f>
        <v>0</v>
      </c>
      <c r="M14" s="28">
        <f>MOD(ABS(SIN(semilla*12.9898+9*78.233+1*37.719))*43758.5453,1)</f>
        <v>0</v>
      </c>
      <c r="N14" s="22">
        <f>"I"&amp;(MOD(9-1,3)+1)</f>
        <v>0</v>
      </c>
      <c r="O14" s="22">
        <f>IF(ISNUMBER($A14),IF(1&lt;=dias,COUNTIFS($M$6:$M$65,"&lt;"&amp;M14,$A$6:$A$65,"&gt;0")+1,""),"")</f>
        <v>0</v>
      </c>
      <c r="P14" s="28">
        <f>MOD(ABS(SIN(semilla*12.9898+9*78.233+2*37.719))*43758.5453,1)</f>
        <v>0</v>
      </c>
      <c r="Q14" s="22">
        <f>"I"&amp;(MOD(9-1,3)+1)</f>
        <v>0</v>
      </c>
      <c r="R14" s="22">
        <f>IF(ISNUMBER($A14),IF(2&lt;=dias,COUNTIFS($P$6:$P$65,"&lt;"&amp;P14,$A$6:$A$65,"&gt;0")+1,""),"")</f>
        <v>0</v>
      </c>
      <c r="S14" s="28">
        <f>MOD(ABS(SIN(semilla*12.9898+9*78.233+3*37.719))*43758.5453,1)</f>
        <v>0</v>
      </c>
      <c r="T14" s="22">
        <f>"I"&amp;(MOD(9-1,3)+1)</f>
        <v>0</v>
      </c>
      <c r="U14" s="22">
        <f>IF(ISNUMBER($A14),IF(3&lt;=dias,COUNTIFS($S$6:$S$65,"&lt;"&amp;S14,$A$6:$A$65,"&gt;0")+1,""),"")</f>
        <v>0</v>
      </c>
      <c r="V14" s="28">
        <f>MOD(ABS(SIN(semilla*12.9898+9*78.233+4*37.719))*43758.5453,1)</f>
        <v>0</v>
      </c>
      <c r="W14" s="22">
        <f>"I"&amp;(MOD(9-1,3)+1)</f>
        <v>0</v>
      </c>
      <c r="X14" s="22">
        <f>IF(ISNUMBER($A14),IF(4&lt;=dias,COUNTIFS($V$6:$V$65,"&lt;"&amp;V14,$A$6:$A$65,"&gt;0")+1,""),"")</f>
        <v>0</v>
      </c>
    </row>
    <row r="15" spans="1:24">
      <c r="A15" s="12">
        <f>IF(ISNUMBER(rpd),IF(10&lt;=3*rpd,10,""),"")</f>
        <v>0</v>
      </c>
      <c r="B15" s="18">
        <f>IF(ISNUMBER($A15),IF(1&lt;=dias,IFERROR(INDEX($N$6:$N$65,MATCH($A15,$O$6:$O$65,0)),""),"—"),"")</f>
        <v>0</v>
      </c>
      <c r="C15" s="19">
        <f>IF(OR(B15="",B15="—"),"",IF(INDEX(corrientes,MATCH(B15,{"I1","I2","I3"},0))="","",INDEX(corrientes,MATCH(B15,{"I1","I2","I3"},0))))</f>
        <v>0</v>
      </c>
      <c r="D15" s="18">
        <f>IF(ISNUMBER($A15),IF(2&lt;=dias,IFERROR(INDEX($Q$6:$Q$65,MATCH($A15,$R$6:$R$65,0)),""),"—"),"")</f>
        <v>0</v>
      </c>
      <c r="E15" s="19">
        <f>IF(OR(D15="",D15="—"),"",IF(INDEX(corrientes,MATCH(D15,{"I1","I2","I3"},0))="","",INDEX(corrientes,MATCH(D15,{"I1","I2","I3"},0))))</f>
        <v>0</v>
      </c>
      <c r="F15" s="18">
        <f>IF(ISNUMBER($A15),IF(3&lt;=dias,IFERROR(INDEX($T$6:$T$65,MATCH($A15,$U$6:$U$65,0)),""),"—"),"")</f>
        <v>0</v>
      </c>
      <c r="G15" s="19">
        <f>IF(OR(F15="",F15="—"),"",IF(INDEX(corrientes,MATCH(F15,{"I1","I2","I3"},0))="","",INDEX(corrientes,MATCH(F15,{"I1","I2","I3"},0))))</f>
        <v>0</v>
      </c>
      <c r="H15" s="18">
        <f>IF(ISNUMBER($A15),IF(4&lt;=dias,IFERROR(INDEX($W$6:$W$65,MATCH($A15,$X$6:$X$65,0)),""),"—"),"")</f>
        <v>0</v>
      </c>
      <c r="I15" s="19">
        <f>IF(OR(H15="",H15="—"),"",IF(INDEX(corrientes,MATCH(H15,{"I1","I2","I3"},0))="","",INDEX(corrientes,MATCH(H15,{"I1","I2","I3"},0))))</f>
        <v>0</v>
      </c>
      <c r="M15" s="28">
        <f>MOD(ABS(SIN(semilla*12.9898+10*78.233+1*37.719))*43758.5453,1)</f>
        <v>0</v>
      </c>
      <c r="N15" s="22">
        <f>"I"&amp;(MOD(10-1,3)+1)</f>
        <v>0</v>
      </c>
      <c r="O15" s="22">
        <f>IF(ISNUMBER($A15),IF(1&lt;=dias,COUNTIFS($M$6:$M$65,"&lt;"&amp;M15,$A$6:$A$65,"&gt;0")+1,""),"")</f>
        <v>0</v>
      </c>
      <c r="P15" s="28">
        <f>MOD(ABS(SIN(semilla*12.9898+10*78.233+2*37.719))*43758.5453,1)</f>
        <v>0</v>
      </c>
      <c r="Q15" s="22">
        <f>"I"&amp;(MOD(10-1,3)+1)</f>
        <v>0</v>
      </c>
      <c r="R15" s="22">
        <f>IF(ISNUMBER($A15),IF(2&lt;=dias,COUNTIFS($P$6:$P$65,"&lt;"&amp;P15,$A$6:$A$65,"&gt;0")+1,""),"")</f>
        <v>0</v>
      </c>
      <c r="S15" s="28">
        <f>MOD(ABS(SIN(semilla*12.9898+10*78.233+3*37.719))*43758.5453,1)</f>
        <v>0</v>
      </c>
      <c r="T15" s="22">
        <f>"I"&amp;(MOD(10-1,3)+1)</f>
        <v>0</v>
      </c>
      <c r="U15" s="22">
        <f>IF(ISNUMBER($A15),IF(3&lt;=dias,COUNTIFS($S$6:$S$65,"&lt;"&amp;S15,$A$6:$A$65,"&gt;0")+1,""),"")</f>
        <v>0</v>
      </c>
      <c r="V15" s="28">
        <f>MOD(ABS(SIN(semilla*12.9898+10*78.233+4*37.719))*43758.5453,1)</f>
        <v>0</v>
      </c>
      <c r="W15" s="22">
        <f>"I"&amp;(MOD(10-1,3)+1)</f>
        <v>0</v>
      </c>
      <c r="X15" s="22">
        <f>IF(ISNUMBER($A15),IF(4&lt;=dias,COUNTIFS($V$6:$V$65,"&lt;"&amp;V15,$A$6:$A$65,"&gt;0")+1,""),"")</f>
        <v>0</v>
      </c>
    </row>
    <row r="16" spans="1:24">
      <c r="A16" s="12">
        <f>IF(ISNUMBER(rpd),IF(11&lt;=3*rpd,11,""),"")</f>
        <v>0</v>
      </c>
      <c r="B16" s="18">
        <f>IF(ISNUMBER($A16),IF(1&lt;=dias,IFERROR(INDEX($N$6:$N$65,MATCH($A16,$O$6:$O$65,0)),""),"—"),"")</f>
        <v>0</v>
      </c>
      <c r="C16" s="19">
        <f>IF(OR(B16="",B16="—"),"",IF(INDEX(corrientes,MATCH(B16,{"I1","I2","I3"},0))="","",INDEX(corrientes,MATCH(B16,{"I1","I2","I3"},0))))</f>
        <v>0</v>
      </c>
      <c r="D16" s="18">
        <f>IF(ISNUMBER($A16),IF(2&lt;=dias,IFERROR(INDEX($Q$6:$Q$65,MATCH($A16,$R$6:$R$65,0)),""),"—"),"")</f>
        <v>0</v>
      </c>
      <c r="E16" s="19">
        <f>IF(OR(D16="",D16="—"),"",IF(INDEX(corrientes,MATCH(D16,{"I1","I2","I3"},0))="","",INDEX(corrientes,MATCH(D16,{"I1","I2","I3"},0))))</f>
        <v>0</v>
      </c>
      <c r="F16" s="18">
        <f>IF(ISNUMBER($A16),IF(3&lt;=dias,IFERROR(INDEX($T$6:$T$65,MATCH($A16,$U$6:$U$65,0)),""),"—"),"")</f>
        <v>0</v>
      </c>
      <c r="G16" s="19">
        <f>IF(OR(F16="",F16="—"),"",IF(INDEX(corrientes,MATCH(F16,{"I1","I2","I3"},0))="","",INDEX(corrientes,MATCH(F16,{"I1","I2","I3"},0))))</f>
        <v>0</v>
      </c>
      <c r="H16" s="18">
        <f>IF(ISNUMBER($A16),IF(4&lt;=dias,IFERROR(INDEX($W$6:$W$65,MATCH($A16,$X$6:$X$65,0)),""),"—"),"")</f>
        <v>0</v>
      </c>
      <c r="I16" s="19">
        <f>IF(OR(H16="",H16="—"),"",IF(INDEX(corrientes,MATCH(H16,{"I1","I2","I3"},0))="","",INDEX(corrientes,MATCH(H16,{"I1","I2","I3"},0))))</f>
        <v>0</v>
      </c>
      <c r="M16" s="28">
        <f>MOD(ABS(SIN(semilla*12.9898+11*78.233+1*37.719))*43758.5453,1)</f>
        <v>0</v>
      </c>
      <c r="N16" s="22">
        <f>"I"&amp;(MOD(11-1,3)+1)</f>
        <v>0</v>
      </c>
      <c r="O16" s="22">
        <f>IF(ISNUMBER($A16),IF(1&lt;=dias,COUNTIFS($M$6:$M$65,"&lt;"&amp;M16,$A$6:$A$65,"&gt;0")+1,""),"")</f>
        <v>0</v>
      </c>
      <c r="P16" s="28">
        <f>MOD(ABS(SIN(semilla*12.9898+11*78.233+2*37.719))*43758.5453,1)</f>
        <v>0</v>
      </c>
      <c r="Q16" s="22">
        <f>"I"&amp;(MOD(11-1,3)+1)</f>
        <v>0</v>
      </c>
      <c r="R16" s="22">
        <f>IF(ISNUMBER($A16),IF(2&lt;=dias,COUNTIFS($P$6:$P$65,"&lt;"&amp;P16,$A$6:$A$65,"&gt;0")+1,""),"")</f>
        <v>0</v>
      </c>
      <c r="S16" s="28">
        <f>MOD(ABS(SIN(semilla*12.9898+11*78.233+3*37.719))*43758.5453,1)</f>
        <v>0</v>
      </c>
      <c r="T16" s="22">
        <f>"I"&amp;(MOD(11-1,3)+1)</f>
        <v>0</v>
      </c>
      <c r="U16" s="22">
        <f>IF(ISNUMBER($A16),IF(3&lt;=dias,COUNTIFS($S$6:$S$65,"&lt;"&amp;S16,$A$6:$A$65,"&gt;0")+1,""),"")</f>
        <v>0</v>
      </c>
      <c r="V16" s="28">
        <f>MOD(ABS(SIN(semilla*12.9898+11*78.233+4*37.719))*43758.5453,1)</f>
        <v>0</v>
      </c>
      <c r="W16" s="22">
        <f>"I"&amp;(MOD(11-1,3)+1)</f>
        <v>0</v>
      </c>
      <c r="X16" s="22">
        <f>IF(ISNUMBER($A16),IF(4&lt;=dias,COUNTIFS($V$6:$V$65,"&lt;"&amp;V16,$A$6:$A$65,"&gt;0")+1,""),"")</f>
        <v>0</v>
      </c>
    </row>
    <row r="17" spans="1:24">
      <c r="A17" s="12">
        <f>IF(ISNUMBER(rpd),IF(12&lt;=3*rpd,12,""),"")</f>
        <v>0</v>
      </c>
      <c r="B17" s="18">
        <f>IF(ISNUMBER($A17),IF(1&lt;=dias,IFERROR(INDEX($N$6:$N$65,MATCH($A17,$O$6:$O$65,0)),""),"—"),"")</f>
        <v>0</v>
      </c>
      <c r="C17" s="19">
        <f>IF(OR(B17="",B17="—"),"",IF(INDEX(corrientes,MATCH(B17,{"I1","I2","I3"},0))="","",INDEX(corrientes,MATCH(B17,{"I1","I2","I3"},0))))</f>
        <v>0</v>
      </c>
      <c r="D17" s="18">
        <f>IF(ISNUMBER($A17),IF(2&lt;=dias,IFERROR(INDEX($Q$6:$Q$65,MATCH($A17,$R$6:$R$65,0)),""),"—"),"")</f>
        <v>0</v>
      </c>
      <c r="E17" s="19">
        <f>IF(OR(D17="",D17="—"),"",IF(INDEX(corrientes,MATCH(D17,{"I1","I2","I3"},0))="","",INDEX(corrientes,MATCH(D17,{"I1","I2","I3"},0))))</f>
        <v>0</v>
      </c>
      <c r="F17" s="18">
        <f>IF(ISNUMBER($A17),IF(3&lt;=dias,IFERROR(INDEX($T$6:$T$65,MATCH($A17,$U$6:$U$65,0)),""),"—"),"")</f>
        <v>0</v>
      </c>
      <c r="G17" s="19">
        <f>IF(OR(F17="",F17="—"),"",IF(INDEX(corrientes,MATCH(F17,{"I1","I2","I3"},0))="","",INDEX(corrientes,MATCH(F17,{"I1","I2","I3"},0))))</f>
        <v>0</v>
      </c>
      <c r="H17" s="18">
        <f>IF(ISNUMBER($A17),IF(4&lt;=dias,IFERROR(INDEX($W$6:$W$65,MATCH($A17,$X$6:$X$65,0)),""),"—"),"")</f>
        <v>0</v>
      </c>
      <c r="I17" s="19">
        <f>IF(OR(H17="",H17="—"),"",IF(INDEX(corrientes,MATCH(H17,{"I1","I2","I3"},0))="","",INDEX(corrientes,MATCH(H17,{"I1","I2","I3"},0))))</f>
        <v>0</v>
      </c>
      <c r="M17" s="28">
        <f>MOD(ABS(SIN(semilla*12.9898+12*78.233+1*37.719))*43758.5453,1)</f>
        <v>0</v>
      </c>
      <c r="N17" s="22">
        <f>"I"&amp;(MOD(12-1,3)+1)</f>
        <v>0</v>
      </c>
      <c r="O17" s="22">
        <f>IF(ISNUMBER($A17),IF(1&lt;=dias,COUNTIFS($M$6:$M$65,"&lt;"&amp;M17,$A$6:$A$65,"&gt;0")+1,""),"")</f>
        <v>0</v>
      </c>
      <c r="P17" s="28">
        <f>MOD(ABS(SIN(semilla*12.9898+12*78.233+2*37.719))*43758.5453,1)</f>
        <v>0</v>
      </c>
      <c r="Q17" s="22">
        <f>"I"&amp;(MOD(12-1,3)+1)</f>
        <v>0</v>
      </c>
      <c r="R17" s="22">
        <f>IF(ISNUMBER($A17),IF(2&lt;=dias,COUNTIFS($P$6:$P$65,"&lt;"&amp;P17,$A$6:$A$65,"&gt;0")+1,""),"")</f>
        <v>0</v>
      </c>
      <c r="S17" s="28">
        <f>MOD(ABS(SIN(semilla*12.9898+12*78.233+3*37.719))*43758.5453,1)</f>
        <v>0</v>
      </c>
      <c r="T17" s="22">
        <f>"I"&amp;(MOD(12-1,3)+1)</f>
        <v>0</v>
      </c>
      <c r="U17" s="22">
        <f>IF(ISNUMBER($A17),IF(3&lt;=dias,COUNTIFS($S$6:$S$65,"&lt;"&amp;S17,$A$6:$A$65,"&gt;0")+1,""),"")</f>
        <v>0</v>
      </c>
      <c r="V17" s="28">
        <f>MOD(ABS(SIN(semilla*12.9898+12*78.233+4*37.719))*43758.5453,1)</f>
        <v>0</v>
      </c>
      <c r="W17" s="22">
        <f>"I"&amp;(MOD(12-1,3)+1)</f>
        <v>0</v>
      </c>
      <c r="X17" s="22">
        <f>IF(ISNUMBER($A17),IF(4&lt;=dias,COUNTIFS($V$6:$V$65,"&lt;"&amp;V17,$A$6:$A$65,"&gt;0")+1,""),"")</f>
        <v>0</v>
      </c>
    </row>
    <row r="18" spans="1:24">
      <c r="A18" s="12">
        <f>IF(ISNUMBER(rpd),IF(13&lt;=3*rpd,13,""),"")</f>
        <v>0</v>
      </c>
      <c r="B18" s="18">
        <f>IF(ISNUMBER($A18),IF(1&lt;=dias,IFERROR(INDEX($N$6:$N$65,MATCH($A18,$O$6:$O$65,0)),""),"—"),"")</f>
        <v>0</v>
      </c>
      <c r="C18" s="19">
        <f>IF(OR(B18="",B18="—"),"",IF(INDEX(corrientes,MATCH(B18,{"I1","I2","I3"},0))="","",INDEX(corrientes,MATCH(B18,{"I1","I2","I3"},0))))</f>
        <v>0</v>
      </c>
      <c r="D18" s="18">
        <f>IF(ISNUMBER($A18),IF(2&lt;=dias,IFERROR(INDEX($Q$6:$Q$65,MATCH($A18,$R$6:$R$65,0)),""),"—"),"")</f>
        <v>0</v>
      </c>
      <c r="E18" s="19">
        <f>IF(OR(D18="",D18="—"),"",IF(INDEX(corrientes,MATCH(D18,{"I1","I2","I3"},0))="","",INDEX(corrientes,MATCH(D18,{"I1","I2","I3"},0))))</f>
        <v>0</v>
      </c>
      <c r="F18" s="18">
        <f>IF(ISNUMBER($A18),IF(3&lt;=dias,IFERROR(INDEX($T$6:$T$65,MATCH($A18,$U$6:$U$65,0)),""),"—"),"")</f>
        <v>0</v>
      </c>
      <c r="G18" s="19">
        <f>IF(OR(F18="",F18="—"),"",IF(INDEX(corrientes,MATCH(F18,{"I1","I2","I3"},0))="","",INDEX(corrientes,MATCH(F18,{"I1","I2","I3"},0))))</f>
        <v>0</v>
      </c>
      <c r="H18" s="18">
        <f>IF(ISNUMBER($A18),IF(4&lt;=dias,IFERROR(INDEX($W$6:$W$65,MATCH($A18,$X$6:$X$65,0)),""),"—"),"")</f>
        <v>0</v>
      </c>
      <c r="I18" s="19">
        <f>IF(OR(H18="",H18="—"),"",IF(INDEX(corrientes,MATCH(H18,{"I1","I2","I3"},0))="","",INDEX(corrientes,MATCH(H18,{"I1","I2","I3"},0))))</f>
        <v>0</v>
      </c>
      <c r="M18" s="28">
        <f>MOD(ABS(SIN(semilla*12.9898+13*78.233+1*37.719))*43758.5453,1)</f>
        <v>0</v>
      </c>
      <c r="N18" s="22">
        <f>"I"&amp;(MOD(13-1,3)+1)</f>
        <v>0</v>
      </c>
      <c r="O18" s="22">
        <f>IF(ISNUMBER($A18),IF(1&lt;=dias,COUNTIFS($M$6:$M$65,"&lt;"&amp;M18,$A$6:$A$65,"&gt;0")+1,""),"")</f>
        <v>0</v>
      </c>
      <c r="P18" s="28">
        <f>MOD(ABS(SIN(semilla*12.9898+13*78.233+2*37.719))*43758.5453,1)</f>
        <v>0</v>
      </c>
      <c r="Q18" s="22">
        <f>"I"&amp;(MOD(13-1,3)+1)</f>
        <v>0</v>
      </c>
      <c r="R18" s="22">
        <f>IF(ISNUMBER($A18),IF(2&lt;=dias,COUNTIFS($P$6:$P$65,"&lt;"&amp;P18,$A$6:$A$65,"&gt;0")+1,""),"")</f>
        <v>0</v>
      </c>
      <c r="S18" s="28">
        <f>MOD(ABS(SIN(semilla*12.9898+13*78.233+3*37.719))*43758.5453,1)</f>
        <v>0</v>
      </c>
      <c r="T18" s="22">
        <f>"I"&amp;(MOD(13-1,3)+1)</f>
        <v>0</v>
      </c>
      <c r="U18" s="22">
        <f>IF(ISNUMBER($A18),IF(3&lt;=dias,COUNTIFS($S$6:$S$65,"&lt;"&amp;S18,$A$6:$A$65,"&gt;0")+1,""),"")</f>
        <v>0</v>
      </c>
      <c r="V18" s="28">
        <f>MOD(ABS(SIN(semilla*12.9898+13*78.233+4*37.719))*43758.5453,1)</f>
        <v>0</v>
      </c>
      <c r="W18" s="22">
        <f>"I"&amp;(MOD(13-1,3)+1)</f>
        <v>0</v>
      </c>
      <c r="X18" s="22">
        <f>IF(ISNUMBER($A18),IF(4&lt;=dias,COUNTIFS($V$6:$V$65,"&lt;"&amp;V18,$A$6:$A$65,"&gt;0")+1,""),"")</f>
        <v>0</v>
      </c>
    </row>
    <row r="19" spans="1:24">
      <c r="A19" s="12">
        <f>IF(ISNUMBER(rpd),IF(14&lt;=3*rpd,14,""),"")</f>
        <v>0</v>
      </c>
      <c r="B19" s="18">
        <f>IF(ISNUMBER($A19),IF(1&lt;=dias,IFERROR(INDEX($N$6:$N$65,MATCH($A19,$O$6:$O$65,0)),""),"—"),"")</f>
        <v>0</v>
      </c>
      <c r="C19" s="19">
        <f>IF(OR(B19="",B19="—"),"",IF(INDEX(corrientes,MATCH(B19,{"I1","I2","I3"},0))="","",INDEX(corrientes,MATCH(B19,{"I1","I2","I3"},0))))</f>
        <v>0</v>
      </c>
      <c r="D19" s="18">
        <f>IF(ISNUMBER($A19),IF(2&lt;=dias,IFERROR(INDEX($Q$6:$Q$65,MATCH($A19,$R$6:$R$65,0)),""),"—"),"")</f>
        <v>0</v>
      </c>
      <c r="E19" s="19">
        <f>IF(OR(D19="",D19="—"),"",IF(INDEX(corrientes,MATCH(D19,{"I1","I2","I3"},0))="","",INDEX(corrientes,MATCH(D19,{"I1","I2","I3"},0))))</f>
        <v>0</v>
      </c>
      <c r="F19" s="18">
        <f>IF(ISNUMBER($A19),IF(3&lt;=dias,IFERROR(INDEX($T$6:$T$65,MATCH($A19,$U$6:$U$65,0)),""),"—"),"")</f>
        <v>0</v>
      </c>
      <c r="G19" s="19">
        <f>IF(OR(F19="",F19="—"),"",IF(INDEX(corrientes,MATCH(F19,{"I1","I2","I3"},0))="","",INDEX(corrientes,MATCH(F19,{"I1","I2","I3"},0))))</f>
        <v>0</v>
      </c>
      <c r="H19" s="18">
        <f>IF(ISNUMBER($A19),IF(4&lt;=dias,IFERROR(INDEX($W$6:$W$65,MATCH($A19,$X$6:$X$65,0)),""),"—"),"")</f>
        <v>0</v>
      </c>
      <c r="I19" s="19">
        <f>IF(OR(H19="",H19="—"),"",IF(INDEX(corrientes,MATCH(H19,{"I1","I2","I3"},0))="","",INDEX(corrientes,MATCH(H19,{"I1","I2","I3"},0))))</f>
        <v>0</v>
      </c>
      <c r="M19" s="28">
        <f>MOD(ABS(SIN(semilla*12.9898+14*78.233+1*37.719))*43758.5453,1)</f>
        <v>0</v>
      </c>
      <c r="N19" s="22">
        <f>"I"&amp;(MOD(14-1,3)+1)</f>
        <v>0</v>
      </c>
      <c r="O19" s="22">
        <f>IF(ISNUMBER($A19),IF(1&lt;=dias,COUNTIFS($M$6:$M$65,"&lt;"&amp;M19,$A$6:$A$65,"&gt;0")+1,""),"")</f>
        <v>0</v>
      </c>
      <c r="P19" s="28">
        <f>MOD(ABS(SIN(semilla*12.9898+14*78.233+2*37.719))*43758.5453,1)</f>
        <v>0</v>
      </c>
      <c r="Q19" s="22">
        <f>"I"&amp;(MOD(14-1,3)+1)</f>
        <v>0</v>
      </c>
      <c r="R19" s="22">
        <f>IF(ISNUMBER($A19),IF(2&lt;=dias,COUNTIFS($P$6:$P$65,"&lt;"&amp;P19,$A$6:$A$65,"&gt;0")+1,""),"")</f>
        <v>0</v>
      </c>
      <c r="S19" s="28">
        <f>MOD(ABS(SIN(semilla*12.9898+14*78.233+3*37.719))*43758.5453,1)</f>
        <v>0</v>
      </c>
      <c r="T19" s="22">
        <f>"I"&amp;(MOD(14-1,3)+1)</f>
        <v>0</v>
      </c>
      <c r="U19" s="22">
        <f>IF(ISNUMBER($A19),IF(3&lt;=dias,COUNTIFS($S$6:$S$65,"&lt;"&amp;S19,$A$6:$A$65,"&gt;0")+1,""),"")</f>
        <v>0</v>
      </c>
      <c r="V19" s="28">
        <f>MOD(ABS(SIN(semilla*12.9898+14*78.233+4*37.719))*43758.5453,1)</f>
        <v>0</v>
      </c>
      <c r="W19" s="22">
        <f>"I"&amp;(MOD(14-1,3)+1)</f>
        <v>0</v>
      </c>
      <c r="X19" s="22">
        <f>IF(ISNUMBER($A19),IF(4&lt;=dias,COUNTIFS($V$6:$V$65,"&lt;"&amp;V19,$A$6:$A$65,"&gt;0")+1,""),"")</f>
        <v>0</v>
      </c>
    </row>
    <row r="20" spans="1:24">
      <c r="A20" s="12">
        <f>IF(ISNUMBER(rpd),IF(15&lt;=3*rpd,15,""),"")</f>
        <v>0</v>
      </c>
      <c r="B20" s="18">
        <f>IF(ISNUMBER($A20),IF(1&lt;=dias,IFERROR(INDEX($N$6:$N$65,MATCH($A20,$O$6:$O$65,0)),""),"—"),"")</f>
        <v>0</v>
      </c>
      <c r="C20" s="19">
        <f>IF(OR(B20="",B20="—"),"",IF(INDEX(corrientes,MATCH(B20,{"I1","I2","I3"},0))="","",INDEX(corrientes,MATCH(B20,{"I1","I2","I3"},0))))</f>
        <v>0</v>
      </c>
      <c r="D20" s="18">
        <f>IF(ISNUMBER($A20),IF(2&lt;=dias,IFERROR(INDEX($Q$6:$Q$65,MATCH($A20,$R$6:$R$65,0)),""),"—"),"")</f>
        <v>0</v>
      </c>
      <c r="E20" s="19">
        <f>IF(OR(D20="",D20="—"),"",IF(INDEX(corrientes,MATCH(D20,{"I1","I2","I3"},0))="","",INDEX(corrientes,MATCH(D20,{"I1","I2","I3"},0))))</f>
        <v>0</v>
      </c>
      <c r="F20" s="18">
        <f>IF(ISNUMBER($A20),IF(3&lt;=dias,IFERROR(INDEX($T$6:$T$65,MATCH($A20,$U$6:$U$65,0)),""),"—"),"")</f>
        <v>0</v>
      </c>
      <c r="G20" s="19">
        <f>IF(OR(F20="",F20="—"),"",IF(INDEX(corrientes,MATCH(F20,{"I1","I2","I3"},0))="","",INDEX(corrientes,MATCH(F20,{"I1","I2","I3"},0))))</f>
        <v>0</v>
      </c>
      <c r="H20" s="18">
        <f>IF(ISNUMBER($A20),IF(4&lt;=dias,IFERROR(INDEX($W$6:$W$65,MATCH($A20,$X$6:$X$65,0)),""),"—"),"")</f>
        <v>0</v>
      </c>
      <c r="I20" s="19">
        <f>IF(OR(H20="",H20="—"),"",IF(INDEX(corrientes,MATCH(H20,{"I1","I2","I3"},0))="","",INDEX(corrientes,MATCH(H20,{"I1","I2","I3"},0))))</f>
        <v>0</v>
      </c>
      <c r="M20" s="28">
        <f>MOD(ABS(SIN(semilla*12.9898+15*78.233+1*37.719))*43758.5453,1)</f>
        <v>0</v>
      </c>
      <c r="N20" s="22">
        <f>"I"&amp;(MOD(15-1,3)+1)</f>
        <v>0</v>
      </c>
      <c r="O20" s="22">
        <f>IF(ISNUMBER($A20),IF(1&lt;=dias,COUNTIFS($M$6:$M$65,"&lt;"&amp;M20,$A$6:$A$65,"&gt;0")+1,""),"")</f>
        <v>0</v>
      </c>
      <c r="P20" s="28">
        <f>MOD(ABS(SIN(semilla*12.9898+15*78.233+2*37.719))*43758.5453,1)</f>
        <v>0</v>
      </c>
      <c r="Q20" s="22">
        <f>"I"&amp;(MOD(15-1,3)+1)</f>
        <v>0</v>
      </c>
      <c r="R20" s="22">
        <f>IF(ISNUMBER($A20),IF(2&lt;=dias,COUNTIFS($P$6:$P$65,"&lt;"&amp;P20,$A$6:$A$65,"&gt;0")+1,""),"")</f>
        <v>0</v>
      </c>
      <c r="S20" s="28">
        <f>MOD(ABS(SIN(semilla*12.9898+15*78.233+3*37.719))*43758.5453,1)</f>
        <v>0</v>
      </c>
      <c r="T20" s="22">
        <f>"I"&amp;(MOD(15-1,3)+1)</f>
        <v>0</v>
      </c>
      <c r="U20" s="22">
        <f>IF(ISNUMBER($A20),IF(3&lt;=dias,COUNTIFS($S$6:$S$65,"&lt;"&amp;S20,$A$6:$A$65,"&gt;0")+1,""),"")</f>
        <v>0</v>
      </c>
      <c r="V20" s="28">
        <f>MOD(ABS(SIN(semilla*12.9898+15*78.233+4*37.719))*43758.5453,1)</f>
        <v>0</v>
      </c>
      <c r="W20" s="22">
        <f>"I"&amp;(MOD(15-1,3)+1)</f>
        <v>0</v>
      </c>
      <c r="X20" s="22">
        <f>IF(ISNUMBER($A20),IF(4&lt;=dias,COUNTIFS($V$6:$V$65,"&lt;"&amp;V20,$A$6:$A$65,"&gt;0")+1,""),"")</f>
        <v>0</v>
      </c>
    </row>
    <row r="21" spans="1:24">
      <c r="A21" s="12">
        <f>IF(ISNUMBER(rpd),IF(16&lt;=3*rpd,16,""),"")</f>
        <v>0</v>
      </c>
      <c r="B21" s="18">
        <f>IF(ISNUMBER($A21),IF(1&lt;=dias,IFERROR(INDEX($N$6:$N$65,MATCH($A21,$O$6:$O$65,0)),""),"—"),"")</f>
        <v>0</v>
      </c>
      <c r="C21" s="19">
        <f>IF(OR(B21="",B21="—"),"",IF(INDEX(corrientes,MATCH(B21,{"I1","I2","I3"},0))="","",INDEX(corrientes,MATCH(B21,{"I1","I2","I3"},0))))</f>
        <v>0</v>
      </c>
      <c r="D21" s="18">
        <f>IF(ISNUMBER($A21),IF(2&lt;=dias,IFERROR(INDEX($Q$6:$Q$65,MATCH($A21,$R$6:$R$65,0)),""),"—"),"")</f>
        <v>0</v>
      </c>
      <c r="E21" s="19">
        <f>IF(OR(D21="",D21="—"),"",IF(INDEX(corrientes,MATCH(D21,{"I1","I2","I3"},0))="","",INDEX(corrientes,MATCH(D21,{"I1","I2","I3"},0))))</f>
        <v>0</v>
      </c>
      <c r="F21" s="18">
        <f>IF(ISNUMBER($A21),IF(3&lt;=dias,IFERROR(INDEX($T$6:$T$65,MATCH($A21,$U$6:$U$65,0)),""),"—"),"")</f>
        <v>0</v>
      </c>
      <c r="G21" s="19">
        <f>IF(OR(F21="",F21="—"),"",IF(INDEX(corrientes,MATCH(F21,{"I1","I2","I3"},0))="","",INDEX(corrientes,MATCH(F21,{"I1","I2","I3"},0))))</f>
        <v>0</v>
      </c>
      <c r="H21" s="18">
        <f>IF(ISNUMBER($A21),IF(4&lt;=dias,IFERROR(INDEX($W$6:$W$65,MATCH($A21,$X$6:$X$65,0)),""),"—"),"")</f>
        <v>0</v>
      </c>
      <c r="I21" s="19">
        <f>IF(OR(H21="",H21="—"),"",IF(INDEX(corrientes,MATCH(H21,{"I1","I2","I3"},0))="","",INDEX(corrientes,MATCH(H21,{"I1","I2","I3"},0))))</f>
        <v>0</v>
      </c>
      <c r="M21" s="28">
        <f>MOD(ABS(SIN(semilla*12.9898+16*78.233+1*37.719))*43758.5453,1)</f>
        <v>0</v>
      </c>
      <c r="N21" s="22">
        <f>"I"&amp;(MOD(16-1,3)+1)</f>
        <v>0</v>
      </c>
      <c r="O21" s="22">
        <f>IF(ISNUMBER($A21),IF(1&lt;=dias,COUNTIFS($M$6:$M$65,"&lt;"&amp;M21,$A$6:$A$65,"&gt;0")+1,""),"")</f>
        <v>0</v>
      </c>
      <c r="P21" s="28">
        <f>MOD(ABS(SIN(semilla*12.9898+16*78.233+2*37.719))*43758.5453,1)</f>
        <v>0</v>
      </c>
      <c r="Q21" s="22">
        <f>"I"&amp;(MOD(16-1,3)+1)</f>
        <v>0</v>
      </c>
      <c r="R21" s="22">
        <f>IF(ISNUMBER($A21),IF(2&lt;=dias,COUNTIFS($P$6:$P$65,"&lt;"&amp;P21,$A$6:$A$65,"&gt;0")+1,""),"")</f>
        <v>0</v>
      </c>
      <c r="S21" s="28">
        <f>MOD(ABS(SIN(semilla*12.9898+16*78.233+3*37.719))*43758.5453,1)</f>
        <v>0</v>
      </c>
      <c r="T21" s="22">
        <f>"I"&amp;(MOD(16-1,3)+1)</f>
        <v>0</v>
      </c>
      <c r="U21" s="22">
        <f>IF(ISNUMBER($A21),IF(3&lt;=dias,COUNTIFS($S$6:$S$65,"&lt;"&amp;S21,$A$6:$A$65,"&gt;0")+1,""),"")</f>
        <v>0</v>
      </c>
      <c r="V21" s="28">
        <f>MOD(ABS(SIN(semilla*12.9898+16*78.233+4*37.719))*43758.5453,1)</f>
        <v>0</v>
      </c>
      <c r="W21" s="22">
        <f>"I"&amp;(MOD(16-1,3)+1)</f>
        <v>0</v>
      </c>
      <c r="X21" s="22">
        <f>IF(ISNUMBER($A21),IF(4&lt;=dias,COUNTIFS($V$6:$V$65,"&lt;"&amp;V21,$A$6:$A$65,"&gt;0")+1,""),"")</f>
        <v>0</v>
      </c>
    </row>
    <row r="22" spans="1:24">
      <c r="A22" s="12">
        <f>IF(ISNUMBER(rpd),IF(17&lt;=3*rpd,17,""),"")</f>
        <v>0</v>
      </c>
      <c r="B22" s="18">
        <f>IF(ISNUMBER($A22),IF(1&lt;=dias,IFERROR(INDEX($N$6:$N$65,MATCH($A22,$O$6:$O$65,0)),""),"—"),"")</f>
        <v>0</v>
      </c>
      <c r="C22" s="19">
        <f>IF(OR(B22="",B22="—"),"",IF(INDEX(corrientes,MATCH(B22,{"I1","I2","I3"},0))="","",INDEX(corrientes,MATCH(B22,{"I1","I2","I3"},0))))</f>
        <v>0</v>
      </c>
      <c r="D22" s="18">
        <f>IF(ISNUMBER($A22),IF(2&lt;=dias,IFERROR(INDEX($Q$6:$Q$65,MATCH($A22,$R$6:$R$65,0)),""),"—"),"")</f>
        <v>0</v>
      </c>
      <c r="E22" s="19">
        <f>IF(OR(D22="",D22="—"),"",IF(INDEX(corrientes,MATCH(D22,{"I1","I2","I3"},0))="","",INDEX(corrientes,MATCH(D22,{"I1","I2","I3"},0))))</f>
        <v>0</v>
      </c>
      <c r="F22" s="18">
        <f>IF(ISNUMBER($A22),IF(3&lt;=dias,IFERROR(INDEX($T$6:$T$65,MATCH($A22,$U$6:$U$65,0)),""),"—"),"")</f>
        <v>0</v>
      </c>
      <c r="G22" s="19">
        <f>IF(OR(F22="",F22="—"),"",IF(INDEX(corrientes,MATCH(F22,{"I1","I2","I3"},0))="","",INDEX(corrientes,MATCH(F22,{"I1","I2","I3"},0))))</f>
        <v>0</v>
      </c>
      <c r="H22" s="18">
        <f>IF(ISNUMBER($A22),IF(4&lt;=dias,IFERROR(INDEX($W$6:$W$65,MATCH($A22,$X$6:$X$65,0)),""),"—"),"")</f>
        <v>0</v>
      </c>
      <c r="I22" s="19">
        <f>IF(OR(H22="",H22="—"),"",IF(INDEX(corrientes,MATCH(H22,{"I1","I2","I3"},0))="","",INDEX(corrientes,MATCH(H22,{"I1","I2","I3"},0))))</f>
        <v>0</v>
      </c>
      <c r="M22" s="28">
        <f>MOD(ABS(SIN(semilla*12.9898+17*78.233+1*37.719))*43758.5453,1)</f>
        <v>0</v>
      </c>
      <c r="N22" s="22">
        <f>"I"&amp;(MOD(17-1,3)+1)</f>
        <v>0</v>
      </c>
      <c r="O22" s="22">
        <f>IF(ISNUMBER($A22),IF(1&lt;=dias,COUNTIFS($M$6:$M$65,"&lt;"&amp;M22,$A$6:$A$65,"&gt;0")+1,""),"")</f>
        <v>0</v>
      </c>
      <c r="P22" s="28">
        <f>MOD(ABS(SIN(semilla*12.9898+17*78.233+2*37.719))*43758.5453,1)</f>
        <v>0</v>
      </c>
      <c r="Q22" s="22">
        <f>"I"&amp;(MOD(17-1,3)+1)</f>
        <v>0</v>
      </c>
      <c r="R22" s="22">
        <f>IF(ISNUMBER($A22),IF(2&lt;=dias,COUNTIFS($P$6:$P$65,"&lt;"&amp;P22,$A$6:$A$65,"&gt;0")+1,""),"")</f>
        <v>0</v>
      </c>
      <c r="S22" s="28">
        <f>MOD(ABS(SIN(semilla*12.9898+17*78.233+3*37.719))*43758.5453,1)</f>
        <v>0</v>
      </c>
      <c r="T22" s="22">
        <f>"I"&amp;(MOD(17-1,3)+1)</f>
        <v>0</v>
      </c>
      <c r="U22" s="22">
        <f>IF(ISNUMBER($A22),IF(3&lt;=dias,COUNTIFS($S$6:$S$65,"&lt;"&amp;S22,$A$6:$A$65,"&gt;0")+1,""),"")</f>
        <v>0</v>
      </c>
      <c r="V22" s="28">
        <f>MOD(ABS(SIN(semilla*12.9898+17*78.233+4*37.719))*43758.5453,1)</f>
        <v>0</v>
      </c>
      <c r="W22" s="22">
        <f>"I"&amp;(MOD(17-1,3)+1)</f>
        <v>0</v>
      </c>
      <c r="X22" s="22">
        <f>IF(ISNUMBER($A22),IF(4&lt;=dias,COUNTIFS($V$6:$V$65,"&lt;"&amp;V22,$A$6:$A$65,"&gt;0")+1,""),"")</f>
        <v>0</v>
      </c>
    </row>
    <row r="23" spans="1:24">
      <c r="A23" s="12">
        <f>IF(ISNUMBER(rpd),IF(18&lt;=3*rpd,18,""),"")</f>
        <v>0</v>
      </c>
      <c r="B23" s="18">
        <f>IF(ISNUMBER($A23),IF(1&lt;=dias,IFERROR(INDEX($N$6:$N$65,MATCH($A23,$O$6:$O$65,0)),""),"—"),"")</f>
        <v>0</v>
      </c>
      <c r="C23" s="19">
        <f>IF(OR(B23="",B23="—"),"",IF(INDEX(corrientes,MATCH(B23,{"I1","I2","I3"},0))="","",INDEX(corrientes,MATCH(B23,{"I1","I2","I3"},0))))</f>
        <v>0</v>
      </c>
      <c r="D23" s="18">
        <f>IF(ISNUMBER($A23),IF(2&lt;=dias,IFERROR(INDEX($Q$6:$Q$65,MATCH($A23,$R$6:$R$65,0)),""),"—"),"")</f>
        <v>0</v>
      </c>
      <c r="E23" s="19">
        <f>IF(OR(D23="",D23="—"),"",IF(INDEX(corrientes,MATCH(D23,{"I1","I2","I3"},0))="","",INDEX(corrientes,MATCH(D23,{"I1","I2","I3"},0))))</f>
        <v>0</v>
      </c>
      <c r="F23" s="18">
        <f>IF(ISNUMBER($A23),IF(3&lt;=dias,IFERROR(INDEX($T$6:$T$65,MATCH($A23,$U$6:$U$65,0)),""),"—"),"")</f>
        <v>0</v>
      </c>
      <c r="G23" s="19">
        <f>IF(OR(F23="",F23="—"),"",IF(INDEX(corrientes,MATCH(F23,{"I1","I2","I3"},0))="","",INDEX(corrientes,MATCH(F23,{"I1","I2","I3"},0))))</f>
        <v>0</v>
      </c>
      <c r="H23" s="18">
        <f>IF(ISNUMBER($A23),IF(4&lt;=dias,IFERROR(INDEX($W$6:$W$65,MATCH($A23,$X$6:$X$65,0)),""),"—"),"")</f>
        <v>0</v>
      </c>
      <c r="I23" s="19">
        <f>IF(OR(H23="",H23="—"),"",IF(INDEX(corrientes,MATCH(H23,{"I1","I2","I3"},0))="","",INDEX(corrientes,MATCH(H23,{"I1","I2","I3"},0))))</f>
        <v>0</v>
      </c>
      <c r="M23" s="28">
        <f>MOD(ABS(SIN(semilla*12.9898+18*78.233+1*37.719))*43758.5453,1)</f>
        <v>0</v>
      </c>
      <c r="N23" s="22">
        <f>"I"&amp;(MOD(18-1,3)+1)</f>
        <v>0</v>
      </c>
      <c r="O23" s="22">
        <f>IF(ISNUMBER($A23),IF(1&lt;=dias,COUNTIFS($M$6:$M$65,"&lt;"&amp;M23,$A$6:$A$65,"&gt;0")+1,""),"")</f>
        <v>0</v>
      </c>
      <c r="P23" s="28">
        <f>MOD(ABS(SIN(semilla*12.9898+18*78.233+2*37.719))*43758.5453,1)</f>
        <v>0</v>
      </c>
      <c r="Q23" s="22">
        <f>"I"&amp;(MOD(18-1,3)+1)</f>
        <v>0</v>
      </c>
      <c r="R23" s="22">
        <f>IF(ISNUMBER($A23),IF(2&lt;=dias,COUNTIFS($P$6:$P$65,"&lt;"&amp;P23,$A$6:$A$65,"&gt;0")+1,""),"")</f>
        <v>0</v>
      </c>
      <c r="S23" s="28">
        <f>MOD(ABS(SIN(semilla*12.9898+18*78.233+3*37.719))*43758.5453,1)</f>
        <v>0</v>
      </c>
      <c r="T23" s="22">
        <f>"I"&amp;(MOD(18-1,3)+1)</f>
        <v>0</v>
      </c>
      <c r="U23" s="22">
        <f>IF(ISNUMBER($A23),IF(3&lt;=dias,COUNTIFS($S$6:$S$65,"&lt;"&amp;S23,$A$6:$A$65,"&gt;0")+1,""),"")</f>
        <v>0</v>
      </c>
      <c r="V23" s="28">
        <f>MOD(ABS(SIN(semilla*12.9898+18*78.233+4*37.719))*43758.5453,1)</f>
        <v>0</v>
      </c>
      <c r="W23" s="22">
        <f>"I"&amp;(MOD(18-1,3)+1)</f>
        <v>0</v>
      </c>
      <c r="X23" s="22">
        <f>IF(ISNUMBER($A23),IF(4&lt;=dias,COUNTIFS($V$6:$V$65,"&lt;"&amp;V23,$A$6:$A$65,"&gt;0")+1,""),"")</f>
        <v>0</v>
      </c>
    </row>
    <row r="24" spans="1:24">
      <c r="A24" s="12">
        <f>IF(ISNUMBER(rpd),IF(19&lt;=3*rpd,19,""),"")</f>
        <v>0</v>
      </c>
      <c r="B24" s="18">
        <f>IF(ISNUMBER($A24),IF(1&lt;=dias,IFERROR(INDEX($N$6:$N$65,MATCH($A24,$O$6:$O$65,0)),""),"—"),"")</f>
        <v>0</v>
      </c>
      <c r="C24" s="19">
        <f>IF(OR(B24="",B24="—"),"",IF(INDEX(corrientes,MATCH(B24,{"I1","I2","I3"},0))="","",INDEX(corrientes,MATCH(B24,{"I1","I2","I3"},0))))</f>
        <v>0</v>
      </c>
      <c r="D24" s="18">
        <f>IF(ISNUMBER($A24),IF(2&lt;=dias,IFERROR(INDEX($Q$6:$Q$65,MATCH($A24,$R$6:$R$65,0)),""),"—"),"")</f>
        <v>0</v>
      </c>
      <c r="E24" s="19">
        <f>IF(OR(D24="",D24="—"),"",IF(INDEX(corrientes,MATCH(D24,{"I1","I2","I3"},0))="","",INDEX(corrientes,MATCH(D24,{"I1","I2","I3"},0))))</f>
        <v>0</v>
      </c>
      <c r="F24" s="18">
        <f>IF(ISNUMBER($A24),IF(3&lt;=dias,IFERROR(INDEX($T$6:$T$65,MATCH($A24,$U$6:$U$65,0)),""),"—"),"")</f>
        <v>0</v>
      </c>
      <c r="G24" s="19">
        <f>IF(OR(F24="",F24="—"),"",IF(INDEX(corrientes,MATCH(F24,{"I1","I2","I3"},0))="","",INDEX(corrientes,MATCH(F24,{"I1","I2","I3"},0))))</f>
        <v>0</v>
      </c>
      <c r="H24" s="18">
        <f>IF(ISNUMBER($A24),IF(4&lt;=dias,IFERROR(INDEX($W$6:$W$65,MATCH($A24,$X$6:$X$65,0)),""),"—"),"")</f>
        <v>0</v>
      </c>
      <c r="I24" s="19">
        <f>IF(OR(H24="",H24="—"),"",IF(INDEX(corrientes,MATCH(H24,{"I1","I2","I3"},0))="","",INDEX(corrientes,MATCH(H24,{"I1","I2","I3"},0))))</f>
        <v>0</v>
      </c>
      <c r="M24" s="28">
        <f>MOD(ABS(SIN(semilla*12.9898+19*78.233+1*37.719))*43758.5453,1)</f>
        <v>0</v>
      </c>
      <c r="N24" s="22">
        <f>"I"&amp;(MOD(19-1,3)+1)</f>
        <v>0</v>
      </c>
      <c r="O24" s="22">
        <f>IF(ISNUMBER($A24),IF(1&lt;=dias,COUNTIFS($M$6:$M$65,"&lt;"&amp;M24,$A$6:$A$65,"&gt;0")+1,""),"")</f>
        <v>0</v>
      </c>
      <c r="P24" s="28">
        <f>MOD(ABS(SIN(semilla*12.9898+19*78.233+2*37.719))*43758.5453,1)</f>
        <v>0</v>
      </c>
      <c r="Q24" s="22">
        <f>"I"&amp;(MOD(19-1,3)+1)</f>
        <v>0</v>
      </c>
      <c r="R24" s="22">
        <f>IF(ISNUMBER($A24),IF(2&lt;=dias,COUNTIFS($P$6:$P$65,"&lt;"&amp;P24,$A$6:$A$65,"&gt;0")+1,""),"")</f>
        <v>0</v>
      </c>
      <c r="S24" s="28">
        <f>MOD(ABS(SIN(semilla*12.9898+19*78.233+3*37.719))*43758.5453,1)</f>
        <v>0</v>
      </c>
      <c r="T24" s="22">
        <f>"I"&amp;(MOD(19-1,3)+1)</f>
        <v>0</v>
      </c>
      <c r="U24" s="22">
        <f>IF(ISNUMBER($A24),IF(3&lt;=dias,COUNTIFS($S$6:$S$65,"&lt;"&amp;S24,$A$6:$A$65,"&gt;0")+1,""),"")</f>
        <v>0</v>
      </c>
      <c r="V24" s="28">
        <f>MOD(ABS(SIN(semilla*12.9898+19*78.233+4*37.719))*43758.5453,1)</f>
        <v>0</v>
      </c>
      <c r="W24" s="22">
        <f>"I"&amp;(MOD(19-1,3)+1)</f>
        <v>0</v>
      </c>
      <c r="X24" s="22">
        <f>IF(ISNUMBER($A24),IF(4&lt;=dias,COUNTIFS($V$6:$V$65,"&lt;"&amp;V24,$A$6:$A$65,"&gt;0")+1,""),"")</f>
        <v>0</v>
      </c>
    </row>
    <row r="25" spans="1:24">
      <c r="A25" s="12">
        <f>IF(ISNUMBER(rpd),IF(20&lt;=3*rpd,20,""),"")</f>
        <v>0</v>
      </c>
      <c r="B25" s="18">
        <f>IF(ISNUMBER($A25),IF(1&lt;=dias,IFERROR(INDEX($N$6:$N$65,MATCH($A25,$O$6:$O$65,0)),""),"—"),"")</f>
        <v>0</v>
      </c>
      <c r="C25" s="19">
        <f>IF(OR(B25="",B25="—"),"",IF(INDEX(corrientes,MATCH(B25,{"I1","I2","I3"},0))="","",INDEX(corrientes,MATCH(B25,{"I1","I2","I3"},0))))</f>
        <v>0</v>
      </c>
      <c r="D25" s="18">
        <f>IF(ISNUMBER($A25),IF(2&lt;=dias,IFERROR(INDEX($Q$6:$Q$65,MATCH($A25,$R$6:$R$65,0)),""),"—"),"")</f>
        <v>0</v>
      </c>
      <c r="E25" s="19">
        <f>IF(OR(D25="",D25="—"),"",IF(INDEX(corrientes,MATCH(D25,{"I1","I2","I3"},0))="","",INDEX(corrientes,MATCH(D25,{"I1","I2","I3"},0))))</f>
        <v>0</v>
      </c>
      <c r="F25" s="18">
        <f>IF(ISNUMBER($A25),IF(3&lt;=dias,IFERROR(INDEX($T$6:$T$65,MATCH($A25,$U$6:$U$65,0)),""),"—"),"")</f>
        <v>0</v>
      </c>
      <c r="G25" s="19">
        <f>IF(OR(F25="",F25="—"),"",IF(INDEX(corrientes,MATCH(F25,{"I1","I2","I3"},0))="","",INDEX(corrientes,MATCH(F25,{"I1","I2","I3"},0))))</f>
        <v>0</v>
      </c>
      <c r="H25" s="18">
        <f>IF(ISNUMBER($A25),IF(4&lt;=dias,IFERROR(INDEX($W$6:$W$65,MATCH($A25,$X$6:$X$65,0)),""),"—"),"")</f>
        <v>0</v>
      </c>
      <c r="I25" s="19">
        <f>IF(OR(H25="",H25="—"),"",IF(INDEX(corrientes,MATCH(H25,{"I1","I2","I3"},0))="","",INDEX(corrientes,MATCH(H25,{"I1","I2","I3"},0))))</f>
        <v>0</v>
      </c>
      <c r="M25" s="28">
        <f>MOD(ABS(SIN(semilla*12.9898+20*78.233+1*37.719))*43758.5453,1)</f>
        <v>0</v>
      </c>
      <c r="N25" s="22">
        <f>"I"&amp;(MOD(20-1,3)+1)</f>
        <v>0</v>
      </c>
      <c r="O25" s="22">
        <f>IF(ISNUMBER($A25),IF(1&lt;=dias,COUNTIFS($M$6:$M$65,"&lt;"&amp;M25,$A$6:$A$65,"&gt;0")+1,""),"")</f>
        <v>0</v>
      </c>
      <c r="P25" s="28">
        <f>MOD(ABS(SIN(semilla*12.9898+20*78.233+2*37.719))*43758.5453,1)</f>
        <v>0</v>
      </c>
      <c r="Q25" s="22">
        <f>"I"&amp;(MOD(20-1,3)+1)</f>
        <v>0</v>
      </c>
      <c r="R25" s="22">
        <f>IF(ISNUMBER($A25),IF(2&lt;=dias,COUNTIFS($P$6:$P$65,"&lt;"&amp;P25,$A$6:$A$65,"&gt;0")+1,""),"")</f>
        <v>0</v>
      </c>
      <c r="S25" s="28">
        <f>MOD(ABS(SIN(semilla*12.9898+20*78.233+3*37.719))*43758.5453,1)</f>
        <v>0</v>
      </c>
      <c r="T25" s="22">
        <f>"I"&amp;(MOD(20-1,3)+1)</f>
        <v>0</v>
      </c>
      <c r="U25" s="22">
        <f>IF(ISNUMBER($A25),IF(3&lt;=dias,COUNTIFS($S$6:$S$65,"&lt;"&amp;S25,$A$6:$A$65,"&gt;0")+1,""),"")</f>
        <v>0</v>
      </c>
      <c r="V25" s="28">
        <f>MOD(ABS(SIN(semilla*12.9898+20*78.233+4*37.719))*43758.5453,1)</f>
        <v>0</v>
      </c>
      <c r="W25" s="22">
        <f>"I"&amp;(MOD(20-1,3)+1)</f>
        <v>0</v>
      </c>
      <c r="X25" s="22">
        <f>IF(ISNUMBER($A25),IF(4&lt;=dias,COUNTIFS($V$6:$V$65,"&lt;"&amp;V25,$A$6:$A$65,"&gt;0")+1,""),"")</f>
        <v>0</v>
      </c>
    </row>
    <row r="26" spans="1:24">
      <c r="A26" s="12">
        <f>IF(ISNUMBER(rpd),IF(21&lt;=3*rpd,21,""),"")</f>
        <v>0</v>
      </c>
      <c r="B26" s="18">
        <f>IF(ISNUMBER($A26),IF(1&lt;=dias,IFERROR(INDEX($N$6:$N$65,MATCH($A26,$O$6:$O$65,0)),""),"—"),"")</f>
        <v>0</v>
      </c>
      <c r="C26" s="19">
        <f>IF(OR(B26="",B26="—"),"",IF(INDEX(corrientes,MATCH(B26,{"I1","I2","I3"},0))="","",INDEX(corrientes,MATCH(B26,{"I1","I2","I3"},0))))</f>
        <v>0</v>
      </c>
      <c r="D26" s="18">
        <f>IF(ISNUMBER($A26),IF(2&lt;=dias,IFERROR(INDEX($Q$6:$Q$65,MATCH($A26,$R$6:$R$65,0)),""),"—"),"")</f>
        <v>0</v>
      </c>
      <c r="E26" s="19">
        <f>IF(OR(D26="",D26="—"),"",IF(INDEX(corrientes,MATCH(D26,{"I1","I2","I3"},0))="","",INDEX(corrientes,MATCH(D26,{"I1","I2","I3"},0))))</f>
        <v>0</v>
      </c>
      <c r="F26" s="18">
        <f>IF(ISNUMBER($A26),IF(3&lt;=dias,IFERROR(INDEX($T$6:$T$65,MATCH($A26,$U$6:$U$65,0)),""),"—"),"")</f>
        <v>0</v>
      </c>
      <c r="G26" s="19">
        <f>IF(OR(F26="",F26="—"),"",IF(INDEX(corrientes,MATCH(F26,{"I1","I2","I3"},0))="","",INDEX(corrientes,MATCH(F26,{"I1","I2","I3"},0))))</f>
        <v>0</v>
      </c>
      <c r="H26" s="18">
        <f>IF(ISNUMBER($A26),IF(4&lt;=dias,IFERROR(INDEX($W$6:$W$65,MATCH($A26,$X$6:$X$65,0)),""),"—"),"")</f>
        <v>0</v>
      </c>
      <c r="I26" s="19">
        <f>IF(OR(H26="",H26="—"),"",IF(INDEX(corrientes,MATCH(H26,{"I1","I2","I3"},0))="","",INDEX(corrientes,MATCH(H26,{"I1","I2","I3"},0))))</f>
        <v>0</v>
      </c>
      <c r="M26" s="28">
        <f>MOD(ABS(SIN(semilla*12.9898+21*78.233+1*37.719))*43758.5453,1)</f>
        <v>0</v>
      </c>
      <c r="N26" s="22">
        <f>"I"&amp;(MOD(21-1,3)+1)</f>
        <v>0</v>
      </c>
      <c r="O26" s="22">
        <f>IF(ISNUMBER($A26),IF(1&lt;=dias,COUNTIFS($M$6:$M$65,"&lt;"&amp;M26,$A$6:$A$65,"&gt;0")+1,""),"")</f>
        <v>0</v>
      </c>
      <c r="P26" s="28">
        <f>MOD(ABS(SIN(semilla*12.9898+21*78.233+2*37.719))*43758.5453,1)</f>
        <v>0</v>
      </c>
      <c r="Q26" s="22">
        <f>"I"&amp;(MOD(21-1,3)+1)</f>
        <v>0</v>
      </c>
      <c r="R26" s="22">
        <f>IF(ISNUMBER($A26),IF(2&lt;=dias,COUNTIFS($P$6:$P$65,"&lt;"&amp;P26,$A$6:$A$65,"&gt;0")+1,""),"")</f>
        <v>0</v>
      </c>
      <c r="S26" s="28">
        <f>MOD(ABS(SIN(semilla*12.9898+21*78.233+3*37.719))*43758.5453,1)</f>
        <v>0</v>
      </c>
      <c r="T26" s="22">
        <f>"I"&amp;(MOD(21-1,3)+1)</f>
        <v>0</v>
      </c>
      <c r="U26" s="22">
        <f>IF(ISNUMBER($A26),IF(3&lt;=dias,COUNTIFS($S$6:$S$65,"&lt;"&amp;S26,$A$6:$A$65,"&gt;0")+1,""),"")</f>
        <v>0</v>
      </c>
      <c r="V26" s="28">
        <f>MOD(ABS(SIN(semilla*12.9898+21*78.233+4*37.719))*43758.5453,1)</f>
        <v>0</v>
      </c>
      <c r="W26" s="22">
        <f>"I"&amp;(MOD(21-1,3)+1)</f>
        <v>0</v>
      </c>
      <c r="X26" s="22">
        <f>IF(ISNUMBER($A26),IF(4&lt;=dias,COUNTIFS($V$6:$V$65,"&lt;"&amp;V26,$A$6:$A$65,"&gt;0")+1,""),"")</f>
        <v>0</v>
      </c>
    </row>
    <row r="27" spans="1:24">
      <c r="A27" s="12">
        <f>IF(ISNUMBER(rpd),IF(22&lt;=3*rpd,22,""),"")</f>
        <v>0</v>
      </c>
      <c r="B27" s="18">
        <f>IF(ISNUMBER($A27),IF(1&lt;=dias,IFERROR(INDEX($N$6:$N$65,MATCH($A27,$O$6:$O$65,0)),""),"—"),"")</f>
        <v>0</v>
      </c>
      <c r="C27" s="19">
        <f>IF(OR(B27="",B27="—"),"",IF(INDEX(corrientes,MATCH(B27,{"I1","I2","I3"},0))="","",INDEX(corrientes,MATCH(B27,{"I1","I2","I3"},0))))</f>
        <v>0</v>
      </c>
      <c r="D27" s="18">
        <f>IF(ISNUMBER($A27),IF(2&lt;=dias,IFERROR(INDEX($Q$6:$Q$65,MATCH($A27,$R$6:$R$65,0)),""),"—"),"")</f>
        <v>0</v>
      </c>
      <c r="E27" s="19">
        <f>IF(OR(D27="",D27="—"),"",IF(INDEX(corrientes,MATCH(D27,{"I1","I2","I3"},0))="","",INDEX(corrientes,MATCH(D27,{"I1","I2","I3"},0))))</f>
        <v>0</v>
      </c>
      <c r="F27" s="18">
        <f>IF(ISNUMBER($A27),IF(3&lt;=dias,IFERROR(INDEX($T$6:$T$65,MATCH($A27,$U$6:$U$65,0)),""),"—"),"")</f>
        <v>0</v>
      </c>
      <c r="G27" s="19">
        <f>IF(OR(F27="",F27="—"),"",IF(INDEX(corrientes,MATCH(F27,{"I1","I2","I3"},0))="","",INDEX(corrientes,MATCH(F27,{"I1","I2","I3"},0))))</f>
        <v>0</v>
      </c>
      <c r="H27" s="18">
        <f>IF(ISNUMBER($A27),IF(4&lt;=dias,IFERROR(INDEX($W$6:$W$65,MATCH($A27,$X$6:$X$65,0)),""),"—"),"")</f>
        <v>0</v>
      </c>
      <c r="I27" s="19">
        <f>IF(OR(H27="",H27="—"),"",IF(INDEX(corrientes,MATCH(H27,{"I1","I2","I3"},0))="","",INDEX(corrientes,MATCH(H27,{"I1","I2","I3"},0))))</f>
        <v>0</v>
      </c>
      <c r="M27" s="28">
        <f>MOD(ABS(SIN(semilla*12.9898+22*78.233+1*37.719))*43758.5453,1)</f>
        <v>0</v>
      </c>
      <c r="N27" s="22">
        <f>"I"&amp;(MOD(22-1,3)+1)</f>
        <v>0</v>
      </c>
      <c r="O27" s="22">
        <f>IF(ISNUMBER($A27),IF(1&lt;=dias,COUNTIFS($M$6:$M$65,"&lt;"&amp;M27,$A$6:$A$65,"&gt;0")+1,""),"")</f>
        <v>0</v>
      </c>
      <c r="P27" s="28">
        <f>MOD(ABS(SIN(semilla*12.9898+22*78.233+2*37.719))*43758.5453,1)</f>
        <v>0</v>
      </c>
      <c r="Q27" s="22">
        <f>"I"&amp;(MOD(22-1,3)+1)</f>
        <v>0</v>
      </c>
      <c r="R27" s="22">
        <f>IF(ISNUMBER($A27),IF(2&lt;=dias,COUNTIFS($P$6:$P$65,"&lt;"&amp;P27,$A$6:$A$65,"&gt;0")+1,""),"")</f>
        <v>0</v>
      </c>
      <c r="S27" s="28">
        <f>MOD(ABS(SIN(semilla*12.9898+22*78.233+3*37.719))*43758.5453,1)</f>
        <v>0</v>
      </c>
      <c r="T27" s="22">
        <f>"I"&amp;(MOD(22-1,3)+1)</f>
        <v>0</v>
      </c>
      <c r="U27" s="22">
        <f>IF(ISNUMBER($A27),IF(3&lt;=dias,COUNTIFS($S$6:$S$65,"&lt;"&amp;S27,$A$6:$A$65,"&gt;0")+1,""),"")</f>
        <v>0</v>
      </c>
      <c r="V27" s="28">
        <f>MOD(ABS(SIN(semilla*12.9898+22*78.233+4*37.719))*43758.5453,1)</f>
        <v>0</v>
      </c>
      <c r="W27" s="22">
        <f>"I"&amp;(MOD(22-1,3)+1)</f>
        <v>0</v>
      </c>
      <c r="X27" s="22">
        <f>IF(ISNUMBER($A27),IF(4&lt;=dias,COUNTIFS($V$6:$V$65,"&lt;"&amp;V27,$A$6:$A$65,"&gt;0")+1,""),"")</f>
        <v>0</v>
      </c>
    </row>
    <row r="28" spans="1:24">
      <c r="A28" s="12">
        <f>IF(ISNUMBER(rpd),IF(23&lt;=3*rpd,23,""),"")</f>
        <v>0</v>
      </c>
      <c r="B28" s="18">
        <f>IF(ISNUMBER($A28),IF(1&lt;=dias,IFERROR(INDEX($N$6:$N$65,MATCH($A28,$O$6:$O$65,0)),""),"—"),"")</f>
        <v>0</v>
      </c>
      <c r="C28" s="19">
        <f>IF(OR(B28="",B28="—"),"",IF(INDEX(corrientes,MATCH(B28,{"I1","I2","I3"},0))="","",INDEX(corrientes,MATCH(B28,{"I1","I2","I3"},0))))</f>
        <v>0</v>
      </c>
      <c r="D28" s="18">
        <f>IF(ISNUMBER($A28),IF(2&lt;=dias,IFERROR(INDEX($Q$6:$Q$65,MATCH($A28,$R$6:$R$65,0)),""),"—"),"")</f>
        <v>0</v>
      </c>
      <c r="E28" s="19">
        <f>IF(OR(D28="",D28="—"),"",IF(INDEX(corrientes,MATCH(D28,{"I1","I2","I3"},0))="","",INDEX(corrientes,MATCH(D28,{"I1","I2","I3"},0))))</f>
        <v>0</v>
      </c>
      <c r="F28" s="18">
        <f>IF(ISNUMBER($A28),IF(3&lt;=dias,IFERROR(INDEX($T$6:$T$65,MATCH($A28,$U$6:$U$65,0)),""),"—"),"")</f>
        <v>0</v>
      </c>
      <c r="G28" s="19">
        <f>IF(OR(F28="",F28="—"),"",IF(INDEX(corrientes,MATCH(F28,{"I1","I2","I3"},0))="","",INDEX(corrientes,MATCH(F28,{"I1","I2","I3"},0))))</f>
        <v>0</v>
      </c>
      <c r="H28" s="18">
        <f>IF(ISNUMBER($A28),IF(4&lt;=dias,IFERROR(INDEX($W$6:$W$65,MATCH($A28,$X$6:$X$65,0)),""),"—"),"")</f>
        <v>0</v>
      </c>
      <c r="I28" s="19">
        <f>IF(OR(H28="",H28="—"),"",IF(INDEX(corrientes,MATCH(H28,{"I1","I2","I3"},0))="","",INDEX(corrientes,MATCH(H28,{"I1","I2","I3"},0))))</f>
        <v>0</v>
      </c>
      <c r="M28" s="28">
        <f>MOD(ABS(SIN(semilla*12.9898+23*78.233+1*37.719))*43758.5453,1)</f>
        <v>0</v>
      </c>
      <c r="N28" s="22">
        <f>"I"&amp;(MOD(23-1,3)+1)</f>
        <v>0</v>
      </c>
      <c r="O28" s="22">
        <f>IF(ISNUMBER($A28),IF(1&lt;=dias,COUNTIFS($M$6:$M$65,"&lt;"&amp;M28,$A$6:$A$65,"&gt;0")+1,""),"")</f>
        <v>0</v>
      </c>
      <c r="P28" s="28">
        <f>MOD(ABS(SIN(semilla*12.9898+23*78.233+2*37.719))*43758.5453,1)</f>
        <v>0</v>
      </c>
      <c r="Q28" s="22">
        <f>"I"&amp;(MOD(23-1,3)+1)</f>
        <v>0</v>
      </c>
      <c r="R28" s="22">
        <f>IF(ISNUMBER($A28),IF(2&lt;=dias,COUNTIFS($P$6:$P$65,"&lt;"&amp;P28,$A$6:$A$65,"&gt;0")+1,""),"")</f>
        <v>0</v>
      </c>
      <c r="S28" s="28">
        <f>MOD(ABS(SIN(semilla*12.9898+23*78.233+3*37.719))*43758.5453,1)</f>
        <v>0</v>
      </c>
      <c r="T28" s="22">
        <f>"I"&amp;(MOD(23-1,3)+1)</f>
        <v>0</v>
      </c>
      <c r="U28" s="22">
        <f>IF(ISNUMBER($A28),IF(3&lt;=dias,COUNTIFS($S$6:$S$65,"&lt;"&amp;S28,$A$6:$A$65,"&gt;0")+1,""),"")</f>
        <v>0</v>
      </c>
      <c r="V28" s="28">
        <f>MOD(ABS(SIN(semilla*12.9898+23*78.233+4*37.719))*43758.5453,1)</f>
        <v>0</v>
      </c>
      <c r="W28" s="22">
        <f>"I"&amp;(MOD(23-1,3)+1)</f>
        <v>0</v>
      </c>
      <c r="X28" s="22">
        <f>IF(ISNUMBER($A28),IF(4&lt;=dias,COUNTIFS($V$6:$V$65,"&lt;"&amp;V28,$A$6:$A$65,"&gt;0")+1,""),"")</f>
        <v>0</v>
      </c>
    </row>
    <row r="29" spans="1:24">
      <c r="A29" s="12">
        <f>IF(ISNUMBER(rpd),IF(24&lt;=3*rpd,24,""),"")</f>
        <v>0</v>
      </c>
      <c r="B29" s="18">
        <f>IF(ISNUMBER($A29),IF(1&lt;=dias,IFERROR(INDEX($N$6:$N$65,MATCH($A29,$O$6:$O$65,0)),""),"—"),"")</f>
        <v>0</v>
      </c>
      <c r="C29" s="19">
        <f>IF(OR(B29="",B29="—"),"",IF(INDEX(corrientes,MATCH(B29,{"I1","I2","I3"},0))="","",INDEX(corrientes,MATCH(B29,{"I1","I2","I3"},0))))</f>
        <v>0</v>
      </c>
      <c r="D29" s="18">
        <f>IF(ISNUMBER($A29),IF(2&lt;=dias,IFERROR(INDEX($Q$6:$Q$65,MATCH($A29,$R$6:$R$65,0)),""),"—"),"")</f>
        <v>0</v>
      </c>
      <c r="E29" s="19">
        <f>IF(OR(D29="",D29="—"),"",IF(INDEX(corrientes,MATCH(D29,{"I1","I2","I3"},0))="","",INDEX(corrientes,MATCH(D29,{"I1","I2","I3"},0))))</f>
        <v>0</v>
      </c>
      <c r="F29" s="18">
        <f>IF(ISNUMBER($A29),IF(3&lt;=dias,IFERROR(INDEX($T$6:$T$65,MATCH($A29,$U$6:$U$65,0)),""),"—"),"")</f>
        <v>0</v>
      </c>
      <c r="G29" s="19">
        <f>IF(OR(F29="",F29="—"),"",IF(INDEX(corrientes,MATCH(F29,{"I1","I2","I3"},0))="","",INDEX(corrientes,MATCH(F29,{"I1","I2","I3"},0))))</f>
        <v>0</v>
      </c>
      <c r="H29" s="18">
        <f>IF(ISNUMBER($A29),IF(4&lt;=dias,IFERROR(INDEX($W$6:$W$65,MATCH($A29,$X$6:$X$65,0)),""),"—"),"")</f>
        <v>0</v>
      </c>
      <c r="I29" s="19">
        <f>IF(OR(H29="",H29="—"),"",IF(INDEX(corrientes,MATCH(H29,{"I1","I2","I3"},0))="","",INDEX(corrientes,MATCH(H29,{"I1","I2","I3"},0))))</f>
        <v>0</v>
      </c>
      <c r="M29" s="28">
        <f>MOD(ABS(SIN(semilla*12.9898+24*78.233+1*37.719))*43758.5453,1)</f>
        <v>0</v>
      </c>
      <c r="N29" s="22">
        <f>"I"&amp;(MOD(24-1,3)+1)</f>
        <v>0</v>
      </c>
      <c r="O29" s="22">
        <f>IF(ISNUMBER($A29),IF(1&lt;=dias,COUNTIFS($M$6:$M$65,"&lt;"&amp;M29,$A$6:$A$65,"&gt;0")+1,""),"")</f>
        <v>0</v>
      </c>
      <c r="P29" s="28">
        <f>MOD(ABS(SIN(semilla*12.9898+24*78.233+2*37.719))*43758.5453,1)</f>
        <v>0</v>
      </c>
      <c r="Q29" s="22">
        <f>"I"&amp;(MOD(24-1,3)+1)</f>
        <v>0</v>
      </c>
      <c r="R29" s="22">
        <f>IF(ISNUMBER($A29),IF(2&lt;=dias,COUNTIFS($P$6:$P$65,"&lt;"&amp;P29,$A$6:$A$65,"&gt;0")+1,""),"")</f>
        <v>0</v>
      </c>
      <c r="S29" s="28">
        <f>MOD(ABS(SIN(semilla*12.9898+24*78.233+3*37.719))*43758.5453,1)</f>
        <v>0</v>
      </c>
      <c r="T29" s="22">
        <f>"I"&amp;(MOD(24-1,3)+1)</f>
        <v>0</v>
      </c>
      <c r="U29" s="22">
        <f>IF(ISNUMBER($A29),IF(3&lt;=dias,COUNTIFS($S$6:$S$65,"&lt;"&amp;S29,$A$6:$A$65,"&gt;0")+1,""),"")</f>
        <v>0</v>
      </c>
      <c r="V29" s="28">
        <f>MOD(ABS(SIN(semilla*12.9898+24*78.233+4*37.719))*43758.5453,1)</f>
        <v>0</v>
      </c>
      <c r="W29" s="22">
        <f>"I"&amp;(MOD(24-1,3)+1)</f>
        <v>0</v>
      </c>
      <c r="X29" s="22">
        <f>IF(ISNUMBER($A29),IF(4&lt;=dias,COUNTIFS($V$6:$V$65,"&lt;"&amp;V29,$A$6:$A$65,"&gt;0")+1,""),"")</f>
        <v>0</v>
      </c>
    </row>
    <row r="30" spans="1:24">
      <c r="A30" s="12">
        <f>IF(ISNUMBER(rpd),IF(25&lt;=3*rpd,25,""),"")</f>
        <v>0</v>
      </c>
      <c r="B30" s="18">
        <f>IF(ISNUMBER($A30),IF(1&lt;=dias,IFERROR(INDEX($N$6:$N$65,MATCH($A30,$O$6:$O$65,0)),""),"—"),"")</f>
        <v>0</v>
      </c>
      <c r="C30" s="19">
        <f>IF(OR(B30="",B30="—"),"",IF(INDEX(corrientes,MATCH(B30,{"I1","I2","I3"},0))="","",INDEX(corrientes,MATCH(B30,{"I1","I2","I3"},0))))</f>
        <v>0</v>
      </c>
      <c r="D30" s="18">
        <f>IF(ISNUMBER($A30),IF(2&lt;=dias,IFERROR(INDEX($Q$6:$Q$65,MATCH($A30,$R$6:$R$65,0)),""),"—"),"")</f>
        <v>0</v>
      </c>
      <c r="E30" s="19">
        <f>IF(OR(D30="",D30="—"),"",IF(INDEX(corrientes,MATCH(D30,{"I1","I2","I3"},0))="","",INDEX(corrientes,MATCH(D30,{"I1","I2","I3"},0))))</f>
        <v>0</v>
      </c>
      <c r="F30" s="18">
        <f>IF(ISNUMBER($A30),IF(3&lt;=dias,IFERROR(INDEX($T$6:$T$65,MATCH($A30,$U$6:$U$65,0)),""),"—"),"")</f>
        <v>0</v>
      </c>
      <c r="G30" s="19">
        <f>IF(OR(F30="",F30="—"),"",IF(INDEX(corrientes,MATCH(F30,{"I1","I2","I3"},0))="","",INDEX(corrientes,MATCH(F30,{"I1","I2","I3"},0))))</f>
        <v>0</v>
      </c>
      <c r="H30" s="18">
        <f>IF(ISNUMBER($A30),IF(4&lt;=dias,IFERROR(INDEX($W$6:$W$65,MATCH($A30,$X$6:$X$65,0)),""),"—"),"")</f>
        <v>0</v>
      </c>
      <c r="I30" s="19">
        <f>IF(OR(H30="",H30="—"),"",IF(INDEX(corrientes,MATCH(H30,{"I1","I2","I3"},0))="","",INDEX(corrientes,MATCH(H30,{"I1","I2","I3"},0))))</f>
        <v>0</v>
      </c>
      <c r="M30" s="28">
        <f>MOD(ABS(SIN(semilla*12.9898+25*78.233+1*37.719))*43758.5453,1)</f>
        <v>0</v>
      </c>
      <c r="N30" s="22">
        <f>"I"&amp;(MOD(25-1,3)+1)</f>
        <v>0</v>
      </c>
      <c r="O30" s="22">
        <f>IF(ISNUMBER($A30),IF(1&lt;=dias,COUNTIFS($M$6:$M$65,"&lt;"&amp;M30,$A$6:$A$65,"&gt;0")+1,""),"")</f>
        <v>0</v>
      </c>
      <c r="P30" s="28">
        <f>MOD(ABS(SIN(semilla*12.9898+25*78.233+2*37.719))*43758.5453,1)</f>
        <v>0</v>
      </c>
      <c r="Q30" s="22">
        <f>"I"&amp;(MOD(25-1,3)+1)</f>
        <v>0</v>
      </c>
      <c r="R30" s="22">
        <f>IF(ISNUMBER($A30),IF(2&lt;=dias,COUNTIFS($P$6:$P$65,"&lt;"&amp;P30,$A$6:$A$65,"&gt;0")+1,""),"")</f>
        <v>0</v>
      </c>
      <c r="S30" s="28">
        <f>MOD(ABS(SIN(semilla*12.9898+25*78.233+3*37.719))*43758.5453,1)</f>
        <v>0</v>
      </c>
      <c r="T30" s="22">
        <f>"I"&amp;(MOD(25-1,3)+1)</f>
        <v>0</v>
      </c>
      <c r="U30" s="22">
        <f>IF(ISNUMBER($A30),IF(3&lt;=dias,COUNTIFS($S$6:$S$65,"&lt;"&amp;S30,$A$6:$A$65,"&gt;0")+1,""),"")</f>
        <v>0</v>
      </c>
      <c r="V30" s="28">
        <f>MOD(ABS(SIN(semilla*12.9898+25*78.233+4*37.719))*43758.5453,1)</f>
        <v>0</v>
      </c>
      <c r="W30" s="22">
        <f>"I"&amp;(MOD(25-1,3)+1)</f>
        <v>0</v>
      </c>
      <c r="X30" s="22">
        <f>IF(ISNUMBER($A30),IF(4&lt;=dias,COUNTIFS($V$6:$V$65,"&lt;"&amp;V30,$A$6:$A$65,"&gt;0")+1,""),"")</f>
        <v>0</v>
      </c>
    </row>
    <row r="31" spans="1:24">
      <c r="A31" s="12">
        <f>IF(ISNUMBER(rpd),IF(26&lt;=3*rpd,26,""),"")</f>
        <v>0</v>
      </c>
      <c r="B31" s="18">
        <f>IF(ISNUMBER($A31),IF(1&lt;=dias,IFERROR(INDEX($N$6:$N$65,MATCH($A31,$O$6:$O$65,0)),""),"—"),"")</f>
        <v>0</v>
      </c>
      <c r="C31" s="19">
        <f>IF(OR(B31="",B31="—"),"",IF(INDEX(corrientes,MATCH(B31,{"I1","I2","I3"},0))="","",INDEX(corrientes,MATCH(B31,{"I1","I2","I3"},0))))</f>
        <v>0</v>
      </c>
      <c r="D31" s="18">
        <f>IF(ISNUMBER($A31),IF(2&lt;=dias,IFERROR(INDEX($Q$6:$Q$65,MATCH($A31,$R$6:$R$65,0)),""),"—"),"")</f>
        <v>0</v>
      </c>
      <c r="E31" s="19">
        <f>IF(OR(D31="",D31="—"),"",IF(INDEX(corrientes,MATCH(D31,{"I1","I2","I3"},0))="","",INDEX(corrientes,MATCH(D31,{"I1","I2","I3"},0))))</f>
        <v>0</v>
      </c>
      <c r="F31" s="18">
        <f>IF(ISNUMBER($A31),IF(3&lt;=dias,IFERROR(INDEX($T$6:$T$65,MATCH($A31,$U$6:$U$65,0)),""),"—"),"")</f>
        <v>0</v>
      </c>
      <c r="G31" s="19">
        <f>IF(OR(F31="",F31="—"),"",IF(INDEX(corrientes,MATCH(F31,{"I1","I2","I3"},0))="","",INDEX(corrientes,MATCH(F31,{"I1","I2","I3"},0))))</f>
        <v>0</v>
      </c>
      <c r="H31" s="18">
        <f>IF(ISNUMBER($A31),IF(4&lt;=dias,IFERROR(INDEX($W$6:$W$65,MATCH($A31,$X$6:$X$65,0)),""),"—"),"")</f>
        <v>0</v>
      </c>
      <c r="I31" s="19">
        <f>IF(OR(H31="",H31="—"),"",IF(INDEX(corrientes,MATCH(H31,{"I1","I2","I3"},0))="","",INDEX(corrientes,MATCH(H31,{"I1","I2","I3"},0))))</f>
        <v>0</v>
      </c>
      <c r="M31" s="28">
        <f>MOD(ABS(SIN(semilla*12.9898+26*78.233+1*37.719))*43758.5453,1)</f>
        <v>0</v>
      </c>
      <c r="N31" s="22">
        <f>"I"&amp;(MOD(26-1,3)+1)</f>
        <v>0</v>
      </c>
      <c r="O31" s="22">
        <f>IF(ISNUMBER($A31),IF(1&lt;=dias,COUNTIFS($M$6:$M$65,"&lt;"&amp;M31,$A$6:$A$65,"&gt;0")+1,""),"")</f>
        <v>0</v>
      </c>
      <c r="P31" s="28">
        <f>MOD(ABS(SIN(semilla*12.9898+26*78.233+2*37.719))*43758.5453,1)</f>
        <v>0</v>
      </c>
      <c r="Q31" s="22">
        <f>"I"&amp;(MOD(26-1,3)+1)</f>
        <v>0</v>
      </c>
      <c r="R31" s="22">
        <f>IF(ISNUMBER($A31),IF(2&lt;=dias,COUNTIFS($P$6:$P$65,"&lt;"&amp;P31,$A$6:$A$65,"&gt;0")+1,""),"")</f>
        <v>0</v>
      </c>
      <c r="S31" s="28">
        <f>MOD(ABS(SIN(semilla*12.9898+26*78.233+3*37.719))*43758.5453,1)</f>
        <v>0</v>
      </c>
      <c r="T31" s="22">
        <f>"I"&amp;(MOD(26-1,3)+1)</f>
        <v>0</v>
      </c>
      <c r="U31" s="22">
        <f>IF(ISNUMBER($A31),IF(3&lt;=dias,COUNTIFS($S$6:$S$65,"&lt;"&amp;S31,$A$6:$A$65,"&gt;0")+1,""),"")</f>
        <v>0</v>
      </c>
      <c r="V31" s="28">
        <f>MOD(ABS(SIN(semilla*12.9898+26*78.233+4*37.719))*43758.5453,1)</f>
        <v>0</v>
      </c>
      <c r="W31" s="22">
        <f>"I"&amp;(MOD(26-1,3)+1)</f>
        <v>0</v>
      </c>
      <c r="X31" s="22">
        <f>IF(ISNUMBER($A31),IF(4&lt;=dias,COUNTIFS($V$6:$V$65,"&lt;"&amp;V31,$A$6:$A$65,"&gt;0")+1,""),"")</f>
        <v>0</v>
      </c>
    </row>
    <row r="32" spans="1:24">
      <c r="A32" s="12">
        <f>IF(ISNUMBER(rpd),IF(27&lt;=3*rpd,27,""),"")</f>
        <v>0</v>
      </c>
      <c r="B32" s="18">
        <f>IF(ISNUMBER($A32),IF(1&lt;=dias,IFERROR(INDEX($N$6:$N$65,MATCH($A32,$O$6:$O$65,0)),""),"—"),"")</f>
        <v>0</v>
      </c>
      <c r="C32" s="19">
        <f>IF(OR(B32="",B32="—"),"",IF(INDEX(corrientes,MATCH(B32,{"I1","I2","I3"},0))="","",INDEX(corrientes,MATCH(B32,{"I1","I2","I3"},0))))</f>
        <v>0</v>
      </c>
      <c r="D32" s="18">
        <f>IF(ISNUMBER($A32),IF(2&lt;=dias,IFERROR(INDEX($Q$6:$Q$65,MATCH($A32,$R$6:$R$65,0)),""),"—"),"")</f>
        <v>0</v>
      </c>
      <c r="E32" s="19">
        <f>IF(OR(D32="",D32="—"),"",IF(INDEX(corrientes,MATCH(D32,{"I1","I2","I3"},0))="","",INDEX(corrientes,MATCH(D32,{"I1","I2","I3"},0))))</f>
        <v>0</v>
      </c>
      <c r="F32" s="18">
        <f>IF(ISNUMBER($A32),IF(3&lt;=dias,IFERROR(INDEX($T$6:$T$65,MATCH($A32,$U$6:$U$65,0)),""),"—"),"")</f>
        <v>0</v>
      </c>
      <c r="G32" s="19">
        <f>IF(OR(F32="",F32="—"),"",IF(INDEX(corrientes,MATCH(F32,{"I1","I2","I3"},0))="","",INDEX(corrientes,MATCH(F32,{"I1","I2","I3"},0))))</f>
        <v>0</v>
      </c>
      <c r="H32" s="18">
        <f>IF(ISNUMBER($A32),IF(4&lt;=dias,IFERROR(INDEX($W$6:$W$65,MATCH($A32,$X$6:$X$65,0)),""),"—"),"")</f>
        <v>0</v>
      </c>
      <c r="I32" s="19">
        <f>IF(OR(H32="",H32="—"),"",IF(INDEX(corrientes,MATCH(H32,{"I1","I2","I3"},0))="","",INDEX(corrientes,MATCH(H32,{"I1","I2","I3"},0))))</f>
        <v>0</v>
      </c>
      <c r="M32" s="28">
        <f>MOD(ABS(SIN(semilla*12.9898+27*78.233+1*37.719))*43758.5453,1)</f>
        <v>0</v>
      </c>
      <c r="N32" s="22">
        <f>"I"&amp;(MOD(27-1,3)+1)</f>
        <v>0</v>
      </c>
      <c r="O32" s="22">
        <f>IF(ISNUMBER($A32),IF(1&lt;=dias,COUNTIFS($M$6:$M$65,"&lt;"&amp;M32,$A$6:$A$65,"&gt;0")+1,""),"")</f>
        <v>0</v>
      </c>
      <c r="P32" s="28">
        <f>MOD(ABS(SIN(semilla*12.9898+27*78.233+2*37.719))*43758.5453,1)</f>
        <v>0</v>
      </c>
      <c r="Q32" s="22">
        <f>"I"&amp;(MOD(27-1,3)+1)</f>
        <v>0</v>
      </c>
      <c r="R32" s="22">
        <f>IF(ISNUMBER($A32),IF(2&lt;=dias,COUNTIFS($P$6:$P$65,"&lt;"&amp;P32,$A$6:$A$65,"&gt;0")+1,""),"")</f>
        <v>0</v>
      </c>
      <c r="S32" s="28">
        <f>MOD(ABS(SIN(semilla*12.9898+27*78.233+3*37.719))*43758.5453,1)</f>
        <v>0</v>
      </c>
      <c r="T32" s="22">
        <f>"I"&amp;(MOD(27-1,3)+1)</f>
        <v>0</v>
      </c>
      <c r="U32" s="22">
        <f>IF(ISNUMBER($A32),IF(3&lt;=dias,COUNTIFS($S$6:$S$65,"&lt;"&amp;S32,$A$6:$A$65,"&gt;0")+1,""),"")</f>
        <v>0</v>
      </c>
      <c r="V32" s="28">
        <f>MOD(ABS(SIN(semilla*12.9898+27*78.233+4*37.719))*43758.5453,1)</f>
        <v>0</v>
      </c>
      <c r="W32" s="22">
        <f>"I"&amp;(MOD(27-1,3)+1)</f>
        <v>0</v>
      </c>
      <c r="X32" s="22">
        <f>IF(ISNUMBER($A32),IF(4&lt;=dias,COUNTIFS($V$6:$V$65,"&lt;"&amp;V32,$A$6:$A$65,"&gt;0")+1,""),"")</f>
        <v>0</v>
      </c>
    </row>
    <row r="33" spans="1:24">
      <c r="A33" s="12">
        <f>IF(ISNUMBER(rpd),IF(28&lt;=3*rpd,28,""),"")</f>
        <v>0</v>
      </c>
      <c r="B33" s="18">
        <f>IF(ISNUMBER($A33),IF(1&lt;=dias,IFERROR(INDEX($N$6:$N$65,MATCH($A33,$O$6:$O$65,0)),""),"—"),"")</f>
        <v>0</v>
      </c>
      <c r="C33" s="19">
        <f>IF(OR(B33="",B33="—"),"",IF(INDEX(corrientes,MATCH(B33,{"I1","I2","I3"},0))="","",INDEX(corrientes,MATCH(B33,{"I1","I2","I3"},0))))</f>
        <v>0</v>
      </c>
      <c r="D33" s="18">
        <f>IF(ISNUMBER($A33),IF(2&lt;=dias,IFERROR(INDEX($Q$6:$Q$65,MATCH($A33,$R$6:$R$65,0)),""),"—"),"")</f>
        <v>0</v>
      </c>
      <c r="E33" s="19">
        <f>IF(OR(D33="",D33="—"),"",IF(INDEX(corrientes,MATCH(D33,{"I1","I2","I3"},0))="","",INDEX(corrientes,MATCH(D33,{"I1","I2","I3"},0))))</f>
        <v>0</v>
      </c>
      <c r="F33" s="18">
        <f>IF(ISNUMBER($A33),IF(3&lt;=dias,IFERROR(INDEX($T$6:$T$65,MATCH($A33,$U$6:$U$65,0)),""),"—"),"")</f>
        <v>0</v>
      </c>
      <c r="G33" s="19">
        <f>IF(OR(F33="",F33="—"),"",IF(INDEX(corrientes,MATCH(F33,{"I1","I2","I3"},0))="","",INDEX(corrientes,MATCH(F33,{"I1","I2","I3"},0))))</f>
        <v>0</v>
      </c>
      <c r="H33" s="18">
        <f>IF(ISNUMBER($A33),IF(4&lt;=dias,IFERROR(INDEX($W$6:$W$65,MATCH($A33,$X$6:$X$65,0)),""),"—"),"")</f>
        <v>0</v>
      </c>
      <c r="I33" s="19">
        <f>IF(OR(H33="",H33="—"),"",IF(INDEX(corrientes,MATCH(H33,{"I1","I2","I3"},0))="","",INDEX(corrientes,MATCH(H33,{"I1","I2","I3"},0))))</f>
        <v>0</v>
      </c>
      <c r="M33" s="28">
        <f>MOD(ABS(SIN(semilla*12.9898+28*78.233+1*37.719))*43758.5453,1)</f>
        <v>0</v>
      </c>
      <c r="N33" s="22">
        <f>"I"&amp;(MOD(28-1,3)+1)</f>
        <v>0</v>
      </c>
      <c r="O33" s="22">
        <f>IF(ISNUMBER($A33),IF(1&lt;=dias,COUNTIFS($M$6:$M$65,"&lt;"&amp;M33,$A$6:$A$65,"&gt;0")+1,""),"")</f>
        <v>0</v>
      </c>
      <c r="P33" s="28">
        <f>MOD(ABS(SIN(semilla*12.9898+28*78.233+2*37.719))*43758.5453,1)</f>
        <v>0</v>
      </c>
      <c r="Q33" s="22">
        <f>"I"&amp;(MOD(28-1,3)+1)</f>
        <v>0</v>
      </c>
      <c r="R33" s="22">
        <f>IF(ISNUMBER($A33),IF(2&lt;=dias,COUNTIFS($P$6:$P$65,"&lt;"&amp;P33,$A$6:$A$65,"&gt;0")+1,""),"")</f>
        <v>0</v>
      </c>
      <c r="S33" s="28">
        <f>MOD(ABS(SIN(semilla*12.9898+28*78.233+3*37.719))*43758.5453,1)</f>
        <v>0</v>
      </c>
      <c r="T33" s="22">
        <f>"I"&amp;(MOD(28-1,3)+1)</f>
        <v>0</v>
      </c>
      <c r="U33" s="22">
        <f>IF(ISNUMBER($A33),IF(3&lt;=dias,COUNTIFS($S$6:$S$65,"&lt;"&amp;S33,$A$6:$A$65,"&gt;0")+1,""),"")</f>
        <v>0</v>
      </c>
      <c r="V33" s="28">
        <f>MOD(ABS(SIN(semilla*12.9898+28*78.233+4*37.719))*43758.5453,1)</f>
        <v>0</v>
      </c>
      <c r="W33" s="22">
        <f>"I"&amp;(MOD(28-1,3)+1)</f>
        <v>0</v>
      </c>
      <c r="X33" s="22">
        <f>IF(ISNUMBER($A33),IF(4&lt;=dias,COUNTIFS($V$6:$V$65,"&lt;"&amp;V33,$A$6:$A$65,"&gt;0")+1,""),"")</f>
        <v>0</v>
      </c>
    </row>
    <row r="34" spans="1:24">
      <c r="A34" s="12">
        <f>IF(ISNUMBER(rpd),IF(29&lt;=3*rpd,29,""),"")</f>
        <v>0</v>
      </c>
      <c r="B34" s="18">
        <f>IF(ISNUMBER($A34),IF(1&lt;=dias,IFERROR(INDEX($N$6:$N$65,MATCH($A34,$O$6:$O$65,0)),""),"—"),"")</f>
        <v>0</v>
      </c>
      <c r="C34" s="19">
        <f>IF(OR(B34="",B34="—"),"",IF(INDEX(corrientes,MATCH(B34,{"I1","I2","I3"},0))="","",INDEX(corrientes,MATCH(B34,{"I1","I2","I3"},0))))</f>
        <v>0</v>
      </c>
      <c r="D34" s="18">
        <f>IF(ISNUMBER($A34),IF(2&lt;=dias,IFERROR(INDEX($Q$6:$Q$65,MATCH($A34,$R$6:$R$65,0)),""),"—"),"")</f>
        <v>0</v>
      </c>
      <c r="E34" s="19">
        <f>IF(OR(D34="",D34="—"),"",IF(INDEX(corrientes,MATCH(D34,{"I1","I2","I3"},0))="","",INDEX(corrientes,MATCH(D34,{"I1","I2","I3"},0))))</f>
        <v>0</v>
      </c>
      <c r="F34" s="18">
        <f>IF(ISNUMBER($A34),IF(3&lt;=dias,IFERROR(INDEX($T$6:$T$65,MATCH($A34,$U$6:$U$65,0)),""),"—"),"")</f>
        <v>0</v>
      </c>
      <c r="G34" s="19">
        <f>IF(OR(F34="",F34="—"),"",IF(INDEX(corrientes,MATCH(F34,{"I1","I2","I3"},0))="","",INDEX(corrientes,MATCH(F34,{"I1","I2","I3"},0))))</f>
        <v>0</v>
      </c>
      <c r="H34" s="18">
        <f>IF(ISNUMBER($A34),IF(4&lt;=dias,IFERROR(INDEX($W$6:$W$65,MATCH($A34,$X$6:$X$65,0)),""),"—"),"")</f>
        <v>0</v>
      </c>
      <c r="I34" s="19">
        <f>IF(OR(H34="",H34="—"),"",IF(INDEX(corrientes,MATCH(H34,{"I1","I2","I3"},0))="","",INDEX(corrientes,MATCH(H34,{"I1","I2","I3"},0))))</f>
        <v>0</v>
      </c>
      <c r="M34" s="28">
        <f>MOD(ABS(SIN(semilla*12.9898+29*78.233+1*37.719))*43758.5453,1)</f>
        <v>0</v>
      </c>
      <c r="N34" s="22">
        <f>"I"&amp;(MOD(29-1,3)+1)</f>
        <v>0</v>
      </c>
      <c r="O34" s="22">
        <f>IF(ISNUMBER($A34),IF(1&lt;=dias,COUNTIFS($M$6:$M$65,"&lt;"&amp;M34,$A$6:$A$65,"&gt;0")+1,""),"")</f>
        <v>0</v>
      </c>
      <c r="P34" s="28">
        <f>MOD(ABS(SIN(semilla*12.9898+29*78.233+2*37.719))*43758.5453,1)</f>
        <v>0</v>
      </c>
      <c r="Q34" s="22">
        <f>"I"&amp;(MOD(29-1,3)+1)</f>
        <v>0</v>
      </c>
      <c r="R34" s="22">
        <f>IF(ISNUMBER($A34),IF(2&lt;=dias,COUNTIFS($P$6:$P$65,"&lt;"&amp;P34,$A$6:$A$65,"&gt;0")+1,""),"")</f>
        <v>0</v>
      </c>
      <c r="S34" s="28">
        <f>MOD(ABS(SIN(semilla*12.9898+29*78.233+3*37.719))*43758.5453,1)</f>
        <v>0</v>
      </c>
      <c r="T34" s="22">
        <f>"I"&amp;(MOD(29-1,3)+1)</f>
        <v>0</v>
      </c>
      <c r="U34" s="22">
        <f>IF(ISNUMBER($A34),IF(3&lt;=dias,COUNTIFS($S$6:$S$65,"&lt;"&amp;S34,$A$6:$A$65,"&gt;0")+1,""),"")</f>
        <v>0</v>
      </c>
      <c r="V34" s="28">
        <f>MOD(ABS(SIN(semilla*12.9898+29*78.233+4*37.719))*43758.5453,1)</f>
        <v>0</v>
      </c>
      <c r="W34" s="22">
        <f>"I"&amp;(MOD(29-1,3)+1)</f>
        <v>0</v>
      </c>
      <c r="X34" s="22">
        <f>IF(ISNUMBER($A34),IF(4&lt;=dias,COUNTIFS($V$6:$V$65,"&lt;"&amp;V34,$A$6:$A$65,"&gt;0")+1,""),"")</f>
        <v>0</v>
      </c>
    </row>
    <row r="35" spans="1:24">
      <c r="A35" s="12">
        <f>IF(ISNUMBER(rpd),IF(30&lt;=3*rpd,30,""),"")</f>
        <v>0</v>
      </c>
      <c r="B35" s="18">
        <f>IF(ISNUMBER($A35),IF(1&lt;=dias,IFERROR(INDEX($N$6:$N$65,MATCH($A35,$O$6:$O$65,0)),""),"—"),"")</f>
        <v>0</v>
      </c>
      <c r="C35" s="19">
        <f>IF(OR(B35="",B35="—"),"",IF(INDEX(corrientes,MATCH(B35,{"I1","I2","I3"},0))="","",INDEX(corrientes,MATCH(B35,{"I1","I2","I3"},0))))</f>
        <v>0</v>
      </c>
      <c r="D35" s="18">
        <f>IF(ISNUMBER($A35),IF(2&lt;=dias,IFERROR(INDEX($Q$6:$Q$65,MATCH($A35,$R$6:$R$65,0)),""),"—"),"")</f>
        <v>0</v>
      </c>
      <c r="E35" s="19">
        <f>IF(OR(D35="",D35="—"),"",IF(INDEX(corrientes,MATCH(D35,{"I1","I2","I3"},0))="","",INDEX(corrientes,MATCH(D35,{"I1","I2","I3"},0))))</f>
        <v>0</v>
      </c>
      <c r="F35" s="18">
        <f>IF(ISNUMBER($A35),IF(3&lt;=dias,IFERROR(INDEX($T$6:$T$65,MATCH($A35,$U$6:$U$65,0)),""),"—"),"")</f>
        <v>0</v>
      </c>
      <c r="G35" s="19">
        <f>IF(OR(F35="",F35="—"),"",IF(INDEX(corrientes,MATCH(F35,{"I1","I2","I3"},0))="","",INDEX(corrientes,MATCH(F35,{"I1","I2","I3"},0))))</f>
        <v>0</v>
      </c>
      <c r="H35" s="18">
        <f>IF(ISNUMBER($A35),IF(4&lt;=dias,IFERROR(INDEX($W$6:$W$65,MATCH($A35,$X$6:$X$65,0)),""),"—"),"")</f>
        <v>0</v>
      </c>
      <c r="I35" s="19">
        <f>IF(OR(H35="",H35="—"),"",IF(INDEX(corrientes,MATCH(H35,{"I1","I2","I3"},0))="","",INDEX(corrientes,MATCH(H35,{"I1","I2","I3"},0))))</f>
        <v>0</v>
      </c>
      <c r="M35" s="28">
        <f>MOD(ABS(SIN(semilla*12.9898+30*78.233+1*37.719))*43758.5453,1)</f>
        <v>0</v>
      </c>
      <c r="N35" s="22">
        <f>"I"&amp;(MOD(30-1,3)+1)</f>
        <v>0</v>
      </c>
      <c r="O35" s="22">
        <f>IF(ISNUMBER($A35),IF(1&lt;=dias,COUNTIFS($M$6:$M$65,"&lt;"&amp;M35,$A$6:$A$65,"&gt;0")+1,""),"")</f>
        <v>0</v>
      </c>
      <c r="P35" s="28">
        <f>MOD(ABS(SIN(semilla*12.9898+30*78.233+2*37.719))*43758.5453,1)</f>
        <v>0</v>
      </c>
      <c r="Q35" s="22">
        <f>"I"&amp;(MOD(30-1,3)+1)</f>
        <v>0</v>
      </c>
      <c r="R35" s="22">
        <f>IF(ISNUMBER($A35),IF(2&lt;=dias,COUNTIFS($P$6:$P$65,"&lt;"&amp;P35,$A$6:$A$65,"&gt;0")+1,""),"")</f>
        <v>0</v>
      </c>
      <c r="S35" s="28">
        <f>MOD(ABS(SIN(semilla*12.9898+30*78.233+3*37.719))*43758.5453,1)</f>
        <v>0</v>
      </c>
      <c r="T35" s="22">
        <f>"I"&amp;(MOD(30-1,3)+1)</f>
        <v>0</v>
      </c>
      <c r="U35" s="22">
        <f>IF(ISNUMBER($A35),IF(3&lt;=dias,COUNTIFS($S$6:$S$65,"&lt;"&amp;S35,$A$6:$A$65,"&gt;0")+1,""),"")</f>
        <v>0</v>
      </c>
      <c r="V35" s="28">
        <f>MOD(ABS(SIN(semilla*12.9898+30*78.233+4*37.719))*43758.5453,1)</f>
        <v>0</v>
      </c>
      <c r="W35" s="22">
        <f>"I"&amp;(MOD(30-1,3)+1)</f>
        <v>0</v>
      </c>
      <c r="X35" s="22">
        <f>IF(ISNUMBER($A35),IF(4&lt;=dias,COUNTIFS($V$6:$V$65,"&lt;"&amp;V35,$A$6:$A$65,"&gt;0")+1,""),"")</f>
        <v>0</v>
      </c>
    </row>
    <row r="36" spans="1:24">
      <c r="A36" s="12">
        <f>IF(ISNUMBER(rpd),IF(31&lt;=3*rpd,31,""),"")</f>
        <v>0</v>
      </c>
      <c r="B36" s="18">
        <f>IF(ISNUMBER($A36),IF(1&lt;=dias,IFERROR(INDEX($N$6:$N$65,MATCH($A36,$O$6:$O$65,0)),""),"—"),"")</f>
        <v>0</v>
      </c>
      <c r="C36" s="19">
        <f>IF(OR(B36="",B36="—"),"",IF(INDEX(corrientes,MATCH(B36,{"I1","I2","I3"},0))="","",INDEX(corrientes,MATCH(B36,{"I1","I2","I3"},0))))</f>
        <v>0</v>
      </c>
      <c r="D36" s="18">
        <f>IF(ISNUMBER($A36),IF(2&lt;=dias,IFERROR(INDEX($Q$6:$Q$65,MATCH($A36,$R$6:$R$65,0)),""),"—"),"")</f>
        <v>0</v>
      </c>
      <c r="E36" s="19">
        <f>IF(OR(D36="",D36="—"),"",IF(INDEX(corrientes,MATCH(D36,{"I1","I2","I3"},0))="","",INDEX(corrientes,MATCH(D36,{"I1","I2","I3"},0))))</f>
        <v>0</v>
      </c>
      <c r="F36" s="18">
        <f>IF(ISNUMBER($A36),IF(3&lt;=dias,IFERROR(INDEX($T$6:$T$65,MATCH($A36,$U$6:$U$65,0)),""),"—"),"")</f>
        <v>0</v>
      </c>
      <c r="G36" s="19">
        <f>IF(OR(F36="",F36="—"),"",IF(INDEX(corrientes,MATCH(F36,{"I1","I2","I3"},0))="","",INDEX(corrientes,MATCH(F36,{"I1","I2","I3"},0))))</f>
        <v>0</v>
      </c>
      <c r="H36" s="18">
        <f>IF(ISNUMBER($A36),IF(4&lt;=dias,IFERROR(INDEX($W$6:$W$65,MATCH($A36,$X$6:$X$65,0)),""),"—"),"")</f>
        <v>0</v>
      </c>
      <c r="I36" s="19">
        <f>IF(OR(H36="",H36="—"),"",IF(INDEX(corrientes,MATCH(H36,{"I1","I2","I3"},0))="","",INDEX(corrientes,MATCH(H36,{"I1","I2","I3"},0))))</f>
        <v>0</v>
      </c>
      <c r="M36" s="28">
        <f>MOD(ABS(SIN(semilla*12.9898+31*78.233+1*37.719))*43758.5453,1)</f>
        <v>0</v>
      </c>
      <c r="N36" s="22">
        <f>"I"&amp;(MOD(31-1,3)+1)</f>
        <v>0</v>
      </c>
      <c r="O36" s="22">
        <f>IF(ISNUMBER($A36),IF(1&lt;=dias,COUNTIFS($M$6:$M$65,"&lt;"&amp;M36,$A$6:$A$65,"&gt;0")+1,""),"")</f>
        <v>0</v>
      </c>
      <c r="P36" s="28">
        <f>MOD(ABS(SIN(semilla*12.9898+31*78.233+2*37.719))*43758.5453,1)</f>
        <v>0</v>
      </c>
      <c r="Q36" s="22">
        <f>"I"&amp;(MOD(31-1,3)+1)</f>
        <v>0</v>
      </c>
      <c r="R36" s="22">
        <f>IF(ISNUMBER($A36),IF(2&lt;=dias,COUNTIFS($P$6:$P$65,"&lt;"&amp;P36,$A$6:$A$65,"&gt;0")+1,""),"")</f>
        <v>0</v>
      </c>
      <c r="S36" s="28">
        <f>MOD(ABS(SIN(semilla*12.9898+31*78.233+3*37.719))*43758.5453,1)</f>
        <v>0</v>
      </c>
      <c r="T36" s="22">
        <f>"I"&amp;(MOD(31-1,3)+1)</f>
        <v>0</v>
      </c>
      <c r="U36" s="22">
        <f>IF(ISNUMBER($A36),IF(3&lt;=dias,COUNTIFS($S$6:$S$65,"&lt;"&amp;S36,$A$6:$A$65,"&gt;0")+1,""),"")</f>
        <v>0</v>
      </c>
      <c r="V36" s="28">
        <f>MOD(ABS(SIN(semilla*12.9898+31*78.233+4*37.719))*43758.5453,1)</f>
        <v>0</v>
      </c>
      <c r="W36" s="22">
        <f>"I"&amp;(MOD(31-1,3)+1)</f>
        <v>0</v>
      </c>
      <c r="X36" s="22">
        <f>IF(ISNUMBER($A36),IF(4&lt;=dias,COUNTIFS($V$6:$V$65,"&lt;"&amp;V36,$A$6:$A$65,"&gt;0")+1,""),"")</f>
        <v>0</v>
      </c>
    </row>
    <row r="37" spans="1:24">
      <c r="A37" s="12">
        <f>IF(ISNUMBER(rpd),IF(32&lt;=3*rpd,32,""),"")</f>
        <v>0</v>
      </c>
      <c r="B37" s="18">
        <f>IF(ISNUMBER($A37),IF(1&lt;=dias,IFERROR(INDEX($N$6:$N$65,MATCH($A37,$O$6:$O$65,0)),""),"—"),"")</f>
        <v>0</v>
      </c>
      <c r="C37" s="19">
        <f>IF(OR(B37="",B37="—"),"",IF(INDEX(corrientes,MATCH(B37,{"I1","I2","I3"},0))="","",INDEX(corrientes,MATCH(B37,{"I1","I2","I3"},0))))</f>
        <v>0</v>
      </c>
      <c r="D37" s="18">
        <f>IF(ISNUMBER($A37),IF(2&lt;=dias,IFERROR(INDEX($Q$6:$Q$65,MATCH($A37,$R$6:$R$65,0)),""),"—"),"")</f>
        <v>0</v>
      </c>
      <c r="E37" s="19">
        <f>IF(OR(D37="",D37="—"),"",IF(INDEX(corrientes,MATCH(D37,{"I1","I2","I3"},0))="","",INDEX(corrientes,MATCH(D37,{"I1","I2","I3"},0))))</f>
        <v>0</v>
      </c>
      <c r="F37" s="18">
        <f>IF(ISNUMBER($A37),IF(3&lt;=dias,IFERROR(INDEX($T$6:$T$65,MATCH($A37,$U$6:$U$65,0)),""),"—"),"")</f>
        <v>0</v>
      </c>
      <c r="G37" s="19">
        <f>IF(OR(F37="",F37="—"),"",IF(INDEX(corrientes,MATCH(F37,{"I1","I2","I3"},0))="","",INDEX(corrientes,MATCH(F37,{"I1","I2","I3"},0))))</f>
        <v>0</v>
      </c>
      <c r="H37" s="18">
        <f>IF(ISNUMBER($A37),IF(4&lt;=dias,IFERROR(INDEX($W$6:$W$65,MATCH($A37,$X$6:$X$65,0)),""),"—"),"")</f>
        <v>0</v>
      </c>
      <c r="I37" s="19">
        <f>IF(OR(H37="",H37="—"),"",IF(INDEX(corrientes,MATCH(H37,{"I1","I2","I3"},0))="","",INDEX(corrientes,MATCH(H37,{"I1","I2","I3"},0))))</f>
        <v>0</v>
      </c>
      <c r="M37" s="28">
        <f>MOD(ABS(SIN(semilla*12.9898+32*78.233+1*37.719))*43758.5453,1)</f>
        <v>0</v>
      </c>
      <c r="N37" s="22">
        <f>"I"&amp;(MOD(32-1,3)+1)</f>
        <v>0</v>
      </c>
      <c r="O37" s="22">
        <f>IF(ISNUMBER($A37),IF(1&lt;=dias,COUNTIFS($M$6:$M$65,"&lt;"&amp;M37,$A$6:$A$65,"&gt;0")+1,""),"")</f>
        <v>0</v>
      </c>
      <c r="P37" s="28">
        <f>MOD(ABS(SIN(semilla*12.9898+32*78.233+2*37.719))*43758.5453,1)</f>
        <v>0</v>
      </c>
      <c r="Q37" s="22">
        <f>"I"&amp;(MOD(32-1,3)+1)</f>
        <v>0</v>
      </c>
      <c r="R37" s="22">
        <f>IF(ISNUMBER($A37),IF(2&lt;=dias,COUNTIFS($P$6:$P$65,"&lt;"&amp;P37,$A$6:$A$65,"&gt;0")+1,""),"")</f>
        <v>0</v>
      </c>
      <c r="S37" s="28">
        <f>MOD(ABS(SIN(semilla*12.9898+32*78.233+3*37.719))*43758.5453,1)</f>
        <v>0</v>
      </c>
      <c r="T37" s="22">
        <f>"I"&amp;(MOD(32-1,3)+1)</f>
        <v>0</v>
      </c>
      <c r="U37" s="22">
        <f>IF(ISNUMBER($A37),IF(3&lt;=dias,COUNTIFS($S$6:$S$65,"&lt;"&amp;S37,$A$6:$A$65,"&gt;0")+1,""),"")</f>
        <v>0</v>
      </c>
      <c r="V37" s="28">
        <f>MOD(ABS(SIN(semilla*12.9898+32*78.233+4*37.719))*43758.5453,1)</f>
        <v>0</v>
      </c>
      <c r="W37" s="22">
        <f>"I"&amp;(MOD(32-1,3)+1)</f>
        <v>0</v>
      </c>
      <c r="X37" s="22">
        <f>IF(ISNUMBER($A37),IF(4&lt;=dias,COUNTIFS($V$6:$V$65,"&lt;"&amp;V37,$A$6:$A$65,"&gt;0")+1,""),"")</f>
        <v>0</v>
      </c>
    </row>
    <row r="38" spans="1:24">
      <c r="A38" s="12">
        <f>IF(ISNUMBER(rpd),IF(33&lt;=3*rpd,33,""),"")</f>
        <v>0</v>
      </c>
      <c r="B38" s="18">
        <f>IF(ISNUMBER($A38),IF(1&lt;=dias,IFERROR(INDEX($N$6:$N$65,MATCH($A38,$O$6:$O$65,0)),""),"—"),"")</f>
        <v>0</v>
      </c>
      <c r="C38" s="19">
        <f>IF(OR(B38="",B38="—"),"",IF(INDEX(corrientes,MATCH(B38,{"I1","I2","I3"},0))="","",INDEX(corrientes,MATCH(B38,{"I1","I2","I3"},0))))</f>
        <v>0</v>
      </c>
      <c r="D38" s="18">
        <f>IF(ISNUMBER($A38),IF(2&lt;=dias,IFERROR(INDEX($Q$6:$Q$65,MATCH($A38,$R$6:$R$65,0)),""),"—"),"")</f>
        <v>0</v>
      </c>
      <c r="E38" s="19">
        <f>IF(OR(D38="",D38="—"),"",IF(INDEX(corrientes,MATCH(D38,{"I1","I2","I3"},0))="","",INDEX(corrientes,MATCH(D38,{"I1","I2","I3"},0))))</f>
        <v>0</v>
      </c>
      <c r="F38" s="18">
        <f>IF(ISNUMBER($A38),IF(3&lt;=dias,IFERROR(INDEX($T$6:$T$65,MATCH($A38,$U$6:$U$65,0)),""),"—"),"")</f>
        <v>0</v>
      </c>
      <c r="G38" s="19">
        <f>IF(OR(F38="",F38="—"),"",IF(INDEX(corrientes,MATCH(F38,{"I1","I2","I3"},0))="","",INDEX(corrientes,MATCH(F38,{"I1","I2","I3"},0))))</f>
        <v>0</v>
      </c>
      <c r="H38" s="18">
        <f>IF(ISNUMBER($A38),IF(4&lt;=dias,IFERROR(INDEX($W$6:$W$65,MATCH($A38,$X$6:$X$65,0)),""),"—"),"")</f>
        <v>0</v>
      </c>
      <c r="I38" s="19">
        <f>IF(OR(H38="",H38="—"),"",IF(INDEX(corrientes,MATCH(H38,{"I1","I2","I3"},0))="","",INDEX(corrientes,MATCH(H38,{"I1","I2","I3"},0))))</f>
        <v>0</v>
      </c>
      <c r="M38" s="28">
        <f>MOD(ABS(SIN(semilla*12.9898+33*78.233+1*37.719))*43758.5453,1)</f>
        <v>0</v>
      </c>
      <c r="N38" s="22">
        <f>"I"&amp;(MOD(33-1,3)+1)</f>
        <v>0</v>
      </c>
      <c r="O38" s="22">
        <f>IF(ISNUMBER($A38),IF(1&lt;=dias,COUNTIFS($M$6:$M$65,"&lt;"&amp;M38,$A$6:$A$65,"&gt;0")+1,""),"")</f>
        <v>0</v>
      </c>
      <c r="P38" s="28">
        <f>MOD(ABS(SIN(semilla*12.9898+33*78.233+2*37.719))*43758.5453,1)</f>
        <v>0</v>
      </c>
      <c r="Q38" s="22">
        <f>"I"&amp;(MOD(33-1,3)+1)</f>
        <v>0</v>
      </c>
      <c r="R38" s="22">
        <f>IF(ISNUMBER($A38),IF(2&lt;=dias,COUNTIFS($P$6:$P$65,"&lt;"&amp;P38,$A$6:$A$65,"&gt;0")+1,""),"")</f>
        <v>0</v>
      </c>
      <c r="S38" s="28">
        <f>MOD(ABS(SIN(semilla*12.9898+33*78.233+3*37.719))*43758.5453,1)</f>
        <v>0</v>
      </c>
      <c r="T38" s="22">
        <f>"I"&amp;(MOD(33-1,3)+1)</f>
        <v>0</v>
      </c>
      <c r="U38" s="22">
        <f>IF(ISNUMBER($A38),IF(3&lt;=dias,COUNTIFS($S$6:$S$65,"&lt;"&amp;S38,$A$6:$A$65,"&gt;0")+1,""),"")</f>
        <v>0</v>
      </c>
      <c r="V38" s="28">
        <f>MOD(ABS(SIN(semilla*12.9898+33*78.233+4*37.719))*43758.5453,1)</f>
        <v>0</v>
      </c>
      <c r="W38" s="22">
        <f>"I"&amp;(MOD(33-1,3)+1)</f>
        <v>0</v>
      </c>
      <c r="X38" s="22">
        <f>IF(ISNUMBER($A38),IF(4&lt;=dias,COUNTIFS($V$6:$V$65,"&lt;"&amp;V38,$A$6:$A$65,"&gt;0")+1,""),"")</f>
        <v>0</v>
      </c>
    </row>
    <row r="39" spans="1:24">
      <c r="A39" s="12">
        <f>IF(ISNUMBER(rpd),IF(34&lt;=3*rpd,34,""),"")</f>
        <v>0</v>
      </c>
      <c r="B39" s="18">
        <f>IF(ISNUMBER($A39),IF(1&lt;=dias,IFERROR(INDEX($N$6:$N$65,MATCH($A39,$O$6:$O$65,0)),""),"—"),"")</f>
        <v>0</v>
      </c>
      <c r="C39" s="19">
        <f>IF(OR(B39="",B39="—"),"",IF(INDEX(corrientes,MATCH(B39,{"I1","I2","I3"},0))="","",INDEX(corrientes,MATCH(B39,{"I1","I2","I3"},0))))</f>
        <v>0</v>
      </c>
      <c r="D39" s="18">
        <f>IF(ISNUMBER($A39),IF(2&lt;=dias,IFERROR(INDEX($Q$6:$Q$65,MATCH($A39,$R$6:$R$65,0)),""),"—"),"")</f>
        <v>0</v>
      </c>
      <c r="E39" s="19">
        <f>IF(OR(D39="",D39="—"),"",IF(INDEX(corrientes,MATCH(D39,{"I1","I2","I3"},0))="","",INDEX(corrientes,MATCH(D39,{"I1","I2","I3"},0))))</f>
        <v>0</v>
      </c>
      <c r="F39" s="18">
        <f>IF(ISNUMBER($A39),IF(3&lt;=dias,IFERROR(INDEX($T$6:$T$65,MATCH($A39,$U$6:$U$65,0)),""),"—"),"")</f>
        <v>0</v>
      </c>
      <c r="G39" s="19">
        <f>IF(OR(F39="",F39="—"),"",IF(INDEX(corrientes,MATCH(F39,{"I1","I2","I3"},0))="","",INDEX(corrientes,MATCH(F39,{"I1","I2","I3"},0))))</f>
        <v>0</v>
      </c>
      <c r="H39" s="18">
        <f>IF(ISNUMBER($A39),IF(4&lt;=dias,IFERROR(INDEX($W$6:$W$65,MATCH($A39,$X$6:$X$65,0)),""),"—"),"")</f>
        <v>0</v>
      </c>
      <c r="I39" s="19">
        <f>IF(OR(H39="",H39="—"),"",IF(INDEX(corrientes,MATCH(H39,{"I1","I2","I3"},0))="","",INDEX(corrientes,MATCH(H39,{"I1","I2","I3"},0))))</f>
        <v>0</v>
      </c>
      <c r="M39" s="28">
        <f>MOD(ABS(SIN(semilla*12.9898+34*78.233+1*37.719))*43758.5453,1)</f>
        <v>0</v>
      </c>
      <c r="N39" s="22">
        <f>"I"&amp;(MOD(34-1,3)+1)</f>
        <v>0</v>
      </c>
      <c r="O39" s="22">
        <f>IF(ISNUMBER($A39),IF(1&lt;=dias,COUNTIFS($M$6:$M$65,"&lt;"&amp;M39,$A$6:$A$65,"&gt;0")+1,""),"")</f>
        <v>0</v>
      </c>
      <c r="P39" s="28">
        <f>MOD(ABS(SIN(semilla*12.9898+34*78.233+2*37.719))*43758.5453,1)</f>
        <v>0</v>
      </c>
      <c r="Q39" s="22">
        <f>"I"&amp;(MOD(34-1,3)+1)</f>
        <v>0</v>
      </c>
      <c r="R39" s="22">
        <f>IF(ISNUMBER($A39),IF(2&lt;=dias,COUNTIFS($P$6:$P$65,"&lt;"&amp;P39,$A$6:$A$65,"&gt;0")+1,""),"")</f>
        <v>0</v>
      </c>
      <c r="S39" s="28">
        <f>MOD(ABS(SIN(semilla*12.9898+34*78.233+3*37.719))*43758.5453,1)</f>
        <v>0</v>
      </c>
      <c r="T39" s="22">
        <f>"I"&amp;(MOD(34-1,3)+1)</f>
        <v>0</v>
      </c>
      <c r="U39" s="22">
        <f>IF(ISNUMBER($A39),IF(3&lt;=dias,COUNTIFS($S$6:$S$65,"&lt;"&amp;S39,$A$6:$A$65,"&gt;0")+1,""),"")</f>
        <v>0</v>
      </c>
      <c r="V39" s="28">
        <f>MOD(ABS(SIN(semilla*12.9898+34*78.233+4*37.719))*43758.5453,1)</f>
        <v>0</v>
      </c>
      <c r="W39" s="22">
        <f>"I"&amp;(MOD(34-1,3)+1)</f>
        <v>0</v>
      </c>
      <c r="X39" s="22">
        <f>IF(ISNUMBER($A39),IF(4&lt;=dias,COUNTIFS($V$6:$V$65,"&lt;"&amp;V39,$A$6:$A$65,"&gt;0")+1,""),"")</f>
        <v>0</v>
      </c>
    </row>
    <row r="40" spans="1:24">
      <c r="A40" s="12">
        <f>IF(ISNUMBER(rpd),IF(35&lt;=3*rpd,35,""),"")</f>
        <v>0</v>
      </c>
      <c r="B40" s="18">
        <f>IF(ISNUMBER($A40),IF(1&lt;=dias,IFERROR(INDEX($N$6:$N$65,MATCH($A40,$O$6:$O$65,0)),""),"—"),"")</f>
        <v>0</v>
      </c>
      <c r="C40" s="19">
        <f>IF(OR(B40="",B40="—"),"",IF(INDEX(corrientes,MATCH(B40,{"I1","I2","I3"},0))="","",INDEX(corrientes,MATCH(B40,{"I1","I2","I3"},0))))</f>
        <v>0</v>
      </c>
      <c r="D40" s="18">
        <f>IF(ISNUMBER($A40),IF(2&lt;=dias,IFERROR(INDEX($Q$6:$Q$65,MATCH($A40,$R$6:$R$65,0)),""),"—"),"")</f>
        <v>0</v>
      </c>
      <c r="E40" s="19">
        <f>IF(OR(D40="",D40="—"),"",IF(INDEX(corrientes,MATCH(D40,{"I1","I2","I3"},0))="","",INDEX(corrientes,MATCH(D40,{"I1","I2","I3"},0))))</f>
        <v>0</v>
      </c>
      <c r="F40" s="18">
        <f>IF(ISNUMBER($A40),IF(3&lt;=dias,IFERROR(INDEX($T$6:$T$65,MATCH($A40,$U$6:$U$65,0)),""),"—"),"")</f>
        <v>0</v>
      </c>
      <c r="G40" s="19">
        <f>IF(OR(F40="",F40="—"),"",IF(INDEX(corrientes,MATCH(F40,{"I1","I2","I3"},0))="","",INDEX(corrientes,MATCH(F40,{"I1","I2","I3"},0))))</f>
        <v>0</v>
      </c>
      <c r="H40" s="18">
        <f>IF(ISNUMBER($A40),IF(4&lt;=dias,IFERROR(INDEX($W$6:$W$65,MATCH($A40,$X$6:$X$65,0)),""),"—"),"")</f>
        <v>0</v>
      </c>
      <c r="I40" s="19">
        <f>IF(OR(H40="",H40="—"),"",IF(INDEX(corrientes,MATCH(H40,{"I1","I2","I3"},0))="","",INDEX(corrientes,MATCH(H40,{"I1","I2","I3"},0))))</f>
        <v>0</v>
      </c>
      <c r="M40" s="28">
        <f>MOD(ABS(SIN(semilla*12.9898+35*78.233+1*37.719))*43758.5453,1)</f>
        <v>0</v>
      </c>
      <c r="N40" s="22">
        <f>"I"&amp;(MOD(35-1,3)+1)</f>
        <v>0</v>
      </c>
      <c r="O40" s="22">
        <f>IF(ISNUMBER($A40),IF(1&lt;=dias,COUNTIFS($M$6:$M$65,"&lt;"&amp;M40,$A$6:$A$65,"&gt;0")+1,""),"")</f>
        <v>0</v>
      </c>
      <c r="P40" s="28">
        <f>MOD(ABS(SIN(semilla*12.9898+35*78.233+2*37.719))*43758.5453,1)</f>
        <v>0</v>
      </c>
      <c r="Q40" s="22">
        <f>"I"&amp;(MOD(35-1,3)+1)</f>
        <v>0</v>
      </c>
      <c r="R40" s="22">
        <f>IF(ISNUMBER($A40),IF(2&lt;=dias,COUNTIFS($P$6:$P$65,"&lt;"&amp;P40,$A$6:$A$65,"&gt;0")+1,""),"")</f>
        <v>0</v>
      </c>
      <c r="S40" s="28">
        <f>MOD(ABS(SIN(semilla*12.9898+35*78.233+3*37.719))*43758.5453,1)</f>
        <v>0</v>
      </c>
      <c r="T40" s="22">
        <f>"I"&amp;(MOD(35-1,3)+1)</f>
        <v>0</v>
      </c>
      <c r="U40" s="22">
        <f>IF(ISNUMBER($A40),IF(3&lt;=dias,COUNTIFS($S$6:$S$65,"&lt;"&amp;S40,$A$6:$A$65,"&gt;0")+1,""),"")</f>
        <v>0</v>
      </c>
      <c r="V40" s="28">
        <f>MOD(ABS(SIN(semilla*12.9898+35*78.233+4*37.719))*43758.5453,1)</f>
        <v>0</v>
      </c>
      <c r="W40" s="22">
        <f>"I"&amp;(MOD(35-1,3)+1)</f>
        <v>0</v>
      </c>
      <c r="X40" s="22">
        <f>IF(ISNUMBER($A40),IF(4&lt;=dias,COUNTIFS($V$6:$V$65,"&lt;"&amp;V40,$A$6:$A$65,"&gt;0")+1,""),"")</f>
        <v>0</v>
      </c>
    </row>
    <row r="41" spans="1:24">
      <c r="A41" s="12">
        <f>IF(ISNUMBER(rpd),IF(36&lt;=3*rpd,36,""),"")</f>
        <v>0</v>
      </c>
      <c r="B41" s="18">
        <f>IF(ISNUMBER($A41),IF(1&lt;=dias,IFERROR(INDEX($N$6:$N$65,MATCH($A41,$O$6:$O$65,0)),""),"—"),"")</f>
        <v>0</v>
      </c>
      <c r="C41" s="19">
        <f>IF(OR(B41="",B41="—"),"",IF(INDEX(corrientes,MATCH(B41,{"I1","I2","I3"},0))="","",INDEX(corrientes,MATCH(B41,{"I1","I2","I3"},0))))</f>
        <v>0</v>
      </c>
      <c r="D41" s="18">
        <f>IF(ISNUMBER($A41),IF(2&lt;=dias,IFERROR(INDEX($Q$6:$Q$65,MATCH($A41,$R$6:$R$65,0)),""),"—"),"")</f>
        <v>0</v>
      </c>
      <c r="E41" s="19">
        <f>IF(OR(D41="",D41="—"),"",IF(INDEX(corrientes,MATCH(D41,{"I1","I2","I3"},0))="","",INDEX(corrientes,MATCH(D41,{"I1","I2","I3"},0))))</f>
        <v>0</v>
      </c>
      <c r="F41" s="18">
        <f>IF(ISNUMBER($A41),IF(3&lt;=dias,IFERROR(INDEX($T$6:$T$65,MATCH($A41,$U$6:$U$65,0)),""),"—"),"")</f>
        <v>0</v>
      </c>
      <c r="G41" s="19">
        <f>IF(OR(F41="",F41="—"),"",IF(INDEX(corrientes,MATCH(F41,{"I1","I2","I3"},0))="","",INDEX(corrientes,MATCH(F41,{"I1","I2","I3"},0))))</f>
        <v>0</v>
      </c>
      <c r="H41" s="18">
        <f>IF(ISNUMBER($A41),IF(4&lt;=dias,IFERROR(INDEX($W$6:$W$65,MATCH($A41,$X$6:$X$65,0)),""),"—"),"")</f>
        <v>0</v>
      </c>
      <c r="I41" s="19">
        <f>IF(OR(H41="",H41="—"),"",IF(INDEX(corrientes,MATCH(H41,{"I1","I2","I3"},0))="","",INDEX(corrientes,MATCH(H41,{"I1","I2","I3"},0))))</f>
        <v>0</v>
      </c>
      <c r="M41" s="28">
        <f>MOD(ABS(SIN(semilla*12.9898+36*78.233+1*37.719))*43758.5453,1)</f>
        <v>0</v>
      </c>
      <c r="N41" s="22">
        <f>"I"&amp;(MOD(36-1,3)+1)</f>
        <v>0</v>
      </c>
      <c r="O41" s="22">
        <f>IF(ISNUMBER($A41),IF(1&lt;=dias,COUNTIFS($M$6:$M$65,"&lt;"&amp;M41,$A$6:$A$65,"&gt;0")+1,""),"")</f>
        <v>0</v>
      </c>
      <c r="P41" s="28">
        <f>MOD(ABS(SIN(semilla*12.9898+36*78.233+2*37.719))*43758.5453,1)</f>
        <v>0</v>
      </c>
      <c r="Q41" s="22">
        <f>"I"&amp;(MOD(36-1,3)+1)</f>
        <v>0</v>
      </c>
      <c r="R41" s="22">
        <f>IF(ISNUMBER($A41),IF(2&lt;=dias,COUNTIFS($P$6:$P$65,"&lt;"&amp;P41,$A$6:$A$65,"&gt;0")+1,""),"")</f>
        <v>0</v>
      </c>
      <c r="S41" s="28">
        <f>MOD(ABS(SIN(semilla*12.9898+36*78.233+3*37.719))*43758.5453,1)</f>
        <v>0</v>
      </c>
      <c r="T41" s="22">
        <f>"I"&amp;(MOD(36-1,3)+1)</f>
        <v>0</v>
      </c>
      <c r="U41" s="22">
        <f>IF(ISNUMBER($A41),IF(3&lt;=dias,COUNTIFS($S$6:$S$65,"&lt;"&amp;S41,$A$6:$A$65,"&gt;0")+1,""),"")</f>
        <v>0</v>
      </c>
      <c r="V41" s="28">
        <f>MOD(ABS(SIN(semilla*12.9898+36*78.233+4*37.719))*43758.5453,1)</f>
        <v>0</v>
      </c>
      <c r="W41" s="22">
        <f>"I"&amp;(MOD(36-1,3)+1)</f>
        <v>0</v>
      </c>
      <c r="X41" s="22">
        <f>IF(ISNUMBER($A41),IF(4&lt;=dias,COUNTIFS($V$6:$V$65,"&lt;"&amp;V41,$A$6:$A$65,"&gt;0")+1,""),"")</f>
        <v>0</v>
      </c>
    </row>
    <row r="42" spans="1:24">
      <c r="A42" s="12">
        <f>IF(ISNUMBER(rpd),IF(37&lt;=3*rpd,37,""),"")</f>
        <v>0</v>
      </c>
      <c r="B42" s="18">
        <f>IF(ISNUMBER($A42),IF(1&lt;=dias,IFERROR(INDEX($N$6:$N$65,MATCH($A42,$O$6:$O$65,0)),""),"—"),"")</f>
        <v>0</v>
      </c>
      <c r="C42" s="19">
        <f>IF(OR(B42="",B42="—"),"",IF(INDEX(corrientes,MATCH(B42,{"I1","I2","I3"},0))="","",INDEX(corrientes,MATCH(B42,{"I1","I2","I3"},0))))</f>
        <v>0</v>
      </c>
      <c r="D42" s="18">
        <f>IF(ISNUMBER($A42),IF(2&lt;=dias,IFERROR(INDEX($Q$6:$Q$65,MATCH($A42,$R$6:$R$65,0)),""),"—"),"")</f>
        <v>0</v>
      </c>
      <c r="E42" s="19">
        <f>IF(OR(D42="",D42="—"),"",IF(INDEX(corrientes,MATCH(D42,{"I1","I2","I3"},0))="","",INDEX(corrientes,MATCH(D42,{"I1","I2","I3"},0))))</f>
        <v>0</v>
      </c>
      <c r="F42" s="18">
        <f>IF(ISNUMBER($A42),IF(3&lt;=dias,IFERROR(INDEX($T$6:$T$65,MATCH($A42,$U$6:$U$65,0)),""),"—"),"")</f>
        <v>0</v>
      </c>
      <c r="G42" s="19">
        <f>IF(OR(F42="",F42="—"),"",IF(INDEX(corrientes,MATCH(F42,{"I1","I2","I3"},0))="","",INDEX(corrientes,MATCH(F42,{"I1","I2","I3"},0))))</f>
        <v>0</v>
      </c>
      <c r="H42" s="18">
        <f>IF(ISNUMBER($A42),IF(4&lt;=dias,IFERROR(INDEX($W$6:$W$65,MATCH($A42,$X$6:$X$65,0)),""),"—"),"")</f>
        <v>0</v>
      </c>
      <c r="I42" s="19">
        <f>IF(OR(H42="",H42="—"),"",IF(INDEX(corrientes,MATCH(H42,{"I1","I2","I3"},0))="","",INDEX(corrientes,MATCH(H42,{"I1","I2","I3"},0))))</f>
        <v>0</v>
      </c>
      <c r="M42" s="28">
        <f>MOD(ABS(SIN(semilla*12.9898+37*78.233+1*37.719))*43758.5453,1)</f>
        <v>0</v>
      </c>
      <c r="N42" s="22">
        <f>"I"&amp;(MOD(37-1,3)+1)</f>
        <v>0</v>
      </c>
      <c r="O42" s="22">
        <f>IF(ISNUMBER($A42),IF(1&lt;=dias,COUNTIFS($M$6:$M$65,"&lt;"&amp;M42,$A$6:$A$65,"&gt;0")+1,""),"")</f>
        <v>0</v>
      </c>
      <c r="P42" s="28">
        <f>MOD(ABS(SIN(semilla*12.9898+37*78.233+2*37.719))*43758.5453,1)</f>
        <v>0</v>
      </c>
      <c r="Q42" s="22">
        <f>"I"&amp;(MOD(37-1,3)+1)</f>
        <v>0</v>
      </c>
      <c r="R42" s="22">
        <f>IF(ISNUMBER($A42),IF(2&lt;=dias,COUNTIFS($P$6:$P$65,"&lt;"&amp;P42,$A$6:$A$65,"&gt;0")+1,""),"")</f>
        <v>0</v>
      </c>
      <c r="S42" s="28">
        <f>MOD(ABS(SIN(semilla*12.9898+37*78.233+3*37.719))*43758.5453,1)</f>
        <v>0</v>
      </c>
      <c r="T42" s="22">
        <f>"I"&amp;(MOD(37-1,3)+1)</f>
        <v>0</v>
      </c>
      <c r="U42" s="22">
        <f>IF(ISNUMBER($A42),IF(3&lt;=dias,COUNTIFS($S$6:$S$65,"&lt;"&amp;S42,$A$6:$A$65,"&gt;0")+1,""),"")</f>
        <v>0</v>
      </c>
      <c r="V42" s="28">
        <f>MOD(ABS(SIN(semilla*12.9898+37*78.233+4*37.719))*43758.5453,1)</f>
        <v>0</v>
      </c>
      <c r="W42" s="22">
        <f>"I"&amp;(MOD(37-1,3)+1)</f>
        <v>0</v>
      </c>
      <c r="X42" s="22">
        <f>IF(ISNUMBER($A42),IF(4&lt;=dias,COUNTIFS($V$6:$V$65,"&lt;"&amp;V42,$A$6:$A$65,"&gt;0")+1,""),"")</f>
        <v>0</v>
      </c>
    </row>
    <row r="43" spans="1:24">
      <c r="A43" s="12">
        <f>IF(ISNUMBER(rpd),IF(38&lt;=3*rpd,38,""),"")</f>
        <v>0</v>
      </c>
      <c r="B43" s="18">
        <f>IF(ISNUMBER($A43),IF(1&lt;=dias,IFERROR(INDEX($N$6:$N$65,MATCH($A43,$O$6:$O$65,0)),""),"—"),"")</f>
        <v>0</v>
      </c>
      <c r="C43" s="19">
        <f>IF(OR(B43="",B43="—"),"",IF(INDEX(corrientes,MATCH(B43,{"I1","I2","I3"},0))="","",INDEX(corrientes,MATCH(B43,{"I1","I2","I3"},0))))</f>
        <v>0</v>
      </c>
      <c r="D43" s="18">
        <f>IF(ISNUMBER($A43),IF(2&lt;=dias,IFERROR(INDEX($Q$6:$Q$65,MATCH($A43,$R$6:$R$65,0)),""),"—"),"")</f>
        <v>0</v>
      </c>
      <c r="E43" s="19">
        <f>IF(OR(D43="",D43="—"),"",IF(INDEX(corrientes,MATCH(D43,{"I1","I2","I3"},0))="","",INDEX(corrientes,MATCH(D43,{"I1","I2","I3"},0))))</f>
        <v>0</v>
      </c>
      <c r="F43" s="18">
        <f>IF(ISNUMBER($A43),IF(3&lt;=dias,IFERROR(INDEX($T$6:$T$65,MATCH($A43,$U$6:$U$65,0)),""),"—"),"")</f>
        <v>0</v>
      </c>
      <c r="G43" s="19">
        <f>IF(OR(F43="",F43="—"),"",IF(INDEX(corrientes,MATCH(F43,{"I1","I2","I3"},0))="","",INDEX(corrientes,MATCH(F43,{"I1","I2","I3"},0))))</f>
        <v>0</v>
      </c>
      <c r="H43" s="18">
        <f>IF(ISNUMBER($A43),IF(4&lt;=dias,IFERROR(INDEX($W$6:$W$65,MATCH($A43,$X$6:$X$65,0)),""),"—"),"")</f>
        <v>0</v>
      </c>
      <c r="I43" s="19">
        <f>IF(OR(H43="",H43="—"),"",IF(INDEX(corrientes,MATCH(H43,{"I1","I2","I3"},0))="","",INDEX(corrientes,MATCH(H43,{"I1","I2","I3"},0))))</f>
        <v>0</v>
      </c>
      <c r="M43" s="28">
        <f>MOD(ABS(SIN(semilla*12.9898+38*78.233+1*37.719))*43758.5453,1)</f>
        <v>0</v>
      </c>
      <c r="N43" s="22">
        <f>"I"&amp;(MOD(38-1,3)+1)</f>
        <v>0</v>
      </c>
      <c r="O43" s="22">
        <f>IF(ISNUMBER($A43),IF(1&lt;=dias,COUNTIFS($M$6:$M$65,"&lt;"&amp;M43,$A$6:$A$65,"&gt;0")+1,""),"")</f>
        <v>0</v>
      </c>
      <c r="P43" s="28">
        <f>MOD(ABS(SIN(semilla*12.9898+38*78.233+2*37.719))*43758.5453,1)</f>
        <v>0</v>
      </c>
      <c r="Q43" s="22">
        <f>"I"&amp;(MOD(38-1,3)+1)</f>
        <v>0</v>
      </c>
      <c r="R43" s="22">
        <f>IF(ISNUMBER($A43),IF(2&lt;=dias,COUNTIFS($P$6:$P$65,"&lt;"&amp;P43,$A$6:$A$65,"&gt;0")+1,""),"")</f>
        <v>0</v>
      </c>
      <c r="S43" s="28">
        <f>MOD(ABS(SIN(semilla*12.9898+38*78.233+3*37.719))*43758.5453,1)</f>
        <v>0</v>
      </c>
      <c r="T43" s="22">
        <f>"I"&amp;(MOD(38-1,3)+1)</f>
        <v>0</v>
      </c>
      <c r="U43" s="22">
        <f>IF(ISNUMBER($A43),IF(3&lt;=dias,COUNTIFS($S$6:$S$65,"&lt;"&amp;S43,$A$6:$A$65,"&gt;0")+1,""),"")</f>
        <v>0</v>
      </c>
      <c r="V43" s="28">
        <f>MOD(ABS(SIN(semilla*12.9898+38*78.233+4*37.719))*43758.5453,1)</f>
        <v>0</v>
      </c>
      <c r="W43" s="22">
        <f>"I"&amp;(MOD(38-1,3)+1)</f>
        <v>0</v>
      </c>
      <c r="X43" s="22">
        <f>IF(ISNUMBER($A43),IF(4&lt;=dias,COUNTIFS($V$6:$V$65,"&lt;"&amp;V43,$A$6:$A$65,"&gt;0")+1,""),"")</f>
        <v>0</v>
      </c>
    </row>
    <row r="44" spans="1:24">
      <c r="A44" s="12">
        <f>IF(ISNUMBER(rpd),IF(39&lt;=3*rpd,39,""),"")</f>
        <v>0</v>
      </c>
      <c r="B44" s="18">
        <f>IF(ISNUMBER($A44),IF(1&lt;=dias,IFERROR(INDEX($N$6:$N$65,MATCH($A44,$O$6:$O$65,0)),""),"—"),"")</f>
        <v>0</v>
      </c>
      <c r="C44" s="19">
        <f>IF(OR(B44="",B44="—"),"",IF(INDEX(corrientes,MATCH(B44,{"I1","I2","I3"},0))="","",INDEX(corrientes,MATCH(B44,{"I1","I2","I3"},0))))</f>
        <v>0</v>
      </c>
      <c r="D44" s="18">
        <f>IF(ISNUMBER($A44),IF(2&lt;=dias,IFERROR(INDEX($Q$6:$Q$65,MATCH($A44,$R$6:$R$65,0)),""),"—"),"")</f>
        <v>0</v>
      </c>
      <c r="E44" s="19">
        <f>IF(OR(D44="",D44="—"),"",IF(INDEX(corrientes,MATCH(D44,{"I1","I2","I3"},0))="","",INDEX(corrientes,MATCH(D44,{"I1","I2","I3"},0))))</f>
        <v>0</v>
      </c>
      <c r="F44" s="18">
        <f>IF(ISNUMBER($A44),IF(3&lt;=dias,IFERROR(INDEX($T$6:$T$65,MATCH($A44,$U$6:$U$65,0)),""),"—"),"")</f>
        <v>0</v>
      </c>
      <c r="G44" s="19">
        <f>IF(OR(F44="",F44="—"),"",IF(INDEX(corrientes,MATCH(F44,{"I1","I2","I3"},0))="","",INDEX(corrientes,MATCH(F44,{"I1","I2","I3"},0))))</f>
        <v>0</v>
      </c>
      <c r="H44" s="18">
        <f>IF(ISNUMBER($A44),IF(4&lt;=dias,IFERROR(INDEX($W$6:$W$65,MATCH($A44,$X$6:$X$65,0)),""),"—"),"")</f>
        <v>0</v>
      </c>
      <c r="I44" s="19">
        <f>IF(OR(H44="",H44="—"),"",IF(INDEX(corrientes,MATCH(H44,{"I1","I2","I3"},0))="","",INDEX(corrientes,MATCH(H44,{"I1","I2","I3"},0))))</f>
        <v>0</v>
      </c>
      <c r="M44" s="28">
        <f>MOD(ABS(SIN(semilla*12.9898+39*78.233+1*37.719))*43758.5453,1)</f>
        <v>0</v>
      </c>
      <c r="N44" s="22">
        <f>"I"&amp;(MOD(39-1,3)+1)</f>
        <v>0</v>
      </c>
      <c r="O44" s="22">
        <f>IF(ISNUMBER($A44),IF(1&lt;=dias,COUNTIFS($M$6:$M$65,"&lt;"&amp;M44,$A$6:$A$65,"&gt;0")+1,""),"")</f>
        <v>0</v>
      </c>
      <c r="P44" s="28">
        <f>MOD(ABS(SIN(semilla*12.9898+39*78.233+2*37.719))*43758.5453,1)</f>
        <v>0</v>
      </c>
      <c r="Q44" s="22">
        <f>"I"&amp;(MOD(39-1,3)+1)</f>
        <v>0</v>
      </c>
      <c r="R44" s="22">
        <f>IF(ISNUMBER($A44),IF(2&lt;=dias,COUNTIFS($P$6:$P$65,"&lt;"&amp;P44,$A$6:$A$65,"&gt;0")+1,""),"")</f>
        <v>0</v>
      </c>
      <c r="S44" s="28">
        <f>MOD(ABS(SIN(semilla*12.9898+39*78.233+3*37.719))*43758.5453,1)</f>
        <v>0</v>
      </c>
      <c r="T44" s="22">
        <f>"I"&amp;(MOD(39-1,3)+1)</f>
        <v>0</v>
      </c>
      <c r="U44" s="22">
        <f>IF(ISNUMBER($A44),IF(3&lt;=dias,COUNTIFS($S$6:$S$65,"&lt;"&amp;S44,$A$6:$A$65,"&gt;0")+1,""),"")</f>
        <v>0</v>
      </c>
      <c r="V44" s="28">
        <f>MOD(ABS(SIN(semilla*12.9898+39*78.233+4*37.719))*43758.5453,1)</f>
        <v>0</v>
      </c>
      <c r="W44" s="22">
        <f>"I"&amp;(MOD(39-1,3)+1)</f>
        <v>0</v>
      </c>
      <c r="X44" s="22">
        <f>IF(ISNUMBER($A44),IF(4&lt;=dias,COUNTIFS($V$6:$V$65,"&lt;"&amp;V44,$A$6:$A$65,"&gt;0")+1,""),"")</f>
        <v>0</v>
      </c>
    </row>
    <row r="45" spans="1:24">
      <c r="A45" s="12">
        <f>IF(ISNUMBER(rpd),IF(40&lt;=3*rpd,40,""),"")</f>
        <v>0</v>
      </c>
      <c r="B45" s="18">
        <f>IF(ISNUMBER($A45),IF(1&lt;=dias,IFERROR(INDEX($N$6:$N$65,MATCH($A45,$O$6:$O$65,0)),""),"—"),"")</f>
        <v>0</v>
      </c>
      <c r="C45" s="19">
        <f>IF(OR(B45="",B45="—"),"",IF(INDEX(corrientes,MATCH(B45,{"I1","I2","I3"},0))="","",INDEX(corrientes,MATCH(B45,{"I1","I2","I3"},0))))</f>
        <v>0</v>
      </c>
      <c r="D45" s="18">
        <f>IF(ISNUMBER($A45),IF(2&lt;=dias,IFERROR(INDEX($Q$6:$Q$65,MATCH($A45,$R$6:$R$65,0)),""),"—"),"")</f>
        <v>0</v>
      </c>
      <c r="E45" s="19">
        <f>IF(OR(D45="",D45="—"),"",IF(INDEX(corrientes,MATCH(D45,{"I1","I2","I3"},0))="","",INDEX(corrientes,MATCH(D45,{"I1","I2","I3"},0))))</f>
        <v>0</v>
      </c>
      <c r="F45" s="18">
        <f>IF(ISNUMBER($A45),IF(3&lt;=dias,IFERROR(INDEX($T$6:$T$65,MATCH($A45,$U$6:$U$65,0)),""),"—"),"")</f>
        <v>0</v>
      </c>
      <c r="G45" s="19">
        <f>IF(OR(F45="",F45="—"),"",IF(INDEX(corrientes,MATCH(F45,{"I1","I2","I3"},0))="","",INDEX(corrientes,MATCH(F45,{"I1","I2","I3"},0))))</f>
        <v>0</v>
      </c>
      <c r="H45" s="18">
        <f>IF(ISNUMBER($A45),IF(4&lt;=dias,IFERROR(INDEX($W$6:$W$65,MATCH($A45,$X$6:$X$65,0)),""),"—"),"")</f>
        <v>0</v>
      </c>
      <c r="I45" s="19">
        <f>IF(OR(H45="",H45="—"),"",IF(INDEX(corrientes,MATCH(H45,{"I1","I2","I3"},0))="","",INDEX(corrientes,MATCH(H45,{"I1","I2","I3"},0))))</f>
        <v>0</v>
      </c>
      <c r="M45" s="28">
        <f>MOD(ABS(SIN(semilla*12.9898+40*78.233+1*37.719))*43758.5453,1)</f>
        <v>0</v>
      </c>
      <c r="N45" s="22">
        <f>"I"&amp;(MOD(40-1,3)+1)</f>
        <v>0</v>
      </c>
      <c r="O45" s="22">
        <f>IF(ISNUMBER($A45),IF(1&lt;=dias,COUNTIFS($M$6:$M$65,"&lt;"&amp;M45,$A$6:$A$65,"&gt;0")+1,""),"")</f>
        <v>0</v>
      </c>
      <c r="P45" s="28">
        <f>MOD(ABS(SIN(semilla*12.9898+40*78.233+2*37.719))*43758.5453,1)</f>
        <v>0</v>
      </c>
      <c r="Q45" s="22">
        <f>"I"&amp;(MOD(40-1,3)+1)</f>
        <v>0</v>
      </c>
      <c r="R45" s="22">
        <f>IF(ISNUMBER($A45),IF(2&lt;=dias,COUNTIFS($P$6:$P$65,"&lt;"&amp;P45,$A$6:$A$65,"&gt;0")+1,""),"")</f>
        <v>0</v>
      </c>
      <c r="S45" s="28">
        <f>MOD(ABS(SIN(semilla*12.9898+40*78.233+3*37.719))*43758.5453,1)</f>
        <v>0</v>
      </c>
      <c r="T45" s="22">
        <f>"I"&amp;(MOD(40-1,3)+1)</f>
        <v>0</v>
      </c>
      <c r="U45" s="22">
        <f>IF(ISNUMBER($A45),IF(3&lt;=dias,COUNTIFS($S$6:$S$65,"&lt;"&amp;S45,$A$6:$A$65,"&gt;0")+1,""),"")</f>
        <v>0</v>
      </c>
      <c r="V45" s="28">
        <f>MOD(ABS(SIN(semilla*12.9898+40*78.233+4*37.719))*43758.5453,1)</f>
        <v>0</v>
      </c>
      <c r="W45" s="22">
        <f>"I"&amp;(MOD(40-1,3)+1)</f>
        <v>0</v>
      </c>
      <c r="X45" s="22">
        <f>IF(ISNUMBER($A45),IF(4&lt;=dias,COUNTIFS($V$6:$V$65,"&lt;"&amp;V45,$A$6:$A$65,"&gt;0")+1,""),"")</f>
        <v>0</v>
      </c>
    </row>
    <row r="46" spans="1:24">
      <c r="A46" s="12">
        <f>IF(ISNUMBER(rpd),IF(41&lt;=3*rpd,41,""),"")</f>
        <v>0</v>
      </c>
      <c r="B46" s="18">
        <f>IF(ISNUMBER($A46),IF(1&lt;=dias,IFERROR(INDEX($N$6:$N$65,MATCH($A46,$O$6:$O$65,0)),""),"—"),"")</f>
        <v>0</v>
      </c>
      <c r="C46" s="19">
        <f>IF(OR(B46="",B46="—"),"",IF(INDEX(corrientes,MATCH(B46,{"I1","I2","I3"},0))="","",INDEX(corrientes,MATCH(B46,{"I1","I2","I3"},0))))</f>
        <v>0</v>
      </c>
      <c r="D46" s="18">
        <f>IF(ISNUMBER($A46),IF(2&lt;=dias,IFERROR(INDEX($Q$6:$Q$65,MATCH($A46,$R$6:$R$65,0)),""),"—"),"")</f>
        <v>0</v>
      </c>
      <c r="E46" s="19">
        <f>IF(OR(D46="",D46="—"),"",IF(INDEX(corrientes,MATCH(D46,{"I1","I2","I3"},0))="","",INDEX(corrientes,MATCH(D46,{"I1","I2","I3"},0))))</f>
        <v>0</v>
      </c>
      <c r="F46" s="18">
        <f>IF(ISNUMBER($A46),IF(3&lt;=dias,IFERROR(INDEX($T$6:$T$65,MATCH($A46,$U$6:$U$65,0)),""),"—"),"")</f>
        <v>0</v>
      </c>
      <c r="G46" s="19">
        <f>IF(OR(F46="",F46="—"),"",IF(INDEX(corrientes,MATCH(F46,{"I1","I2","I3"},0))="","",INDEX(corrientes,MATCH(F46,{"I1","I2","I3"},0))))</f>
        <v>0</v>
      </c>
      <c r="H46" s="18">
        <f>IF(ISNUMBER($A46),IF(4&lt;=dias,IFERROR(INDEX($W$6:$W$65,MATCH($A46,$X$6:$X$65,0)),""),"—"),"")</f>
        <v>0</v>
      </c>
      <c r="I46" s="19">
        <f>IF(OR(H46="",H46="—"),"",IF(INDEX(corrientes,MATCH(H46,{"I1","I2","I3"},0))="","",INDEX(corrientes,MATCH(H46,{"I1","I2","I3"},0))))</f>
        <v>0</v>
      </c>
      <c r="M46" s="28">
        <f>MOD(ABS(SIN(semilla*12.9898+41*78.233+1*37.719))*43758.5453,1)</f>
        <v>0</v>
      </c>
      <c r="N46" s="22">
        <f>"I"&amp;(MOD(41-1,3)+1)</f>
        <v>0</v>
      </c>
      <c r="O46" s="22">
        <f>IF(ISNUMBER($A46),IF(1&lt;=dias,COUNTIFS($M$6:$M$65,"&lt;"&amp;M46,$A$6:$A$65,"&gt;0")+1,""),"")</f>
        <v>0</v>
      </c>
      <c r="P46" s="28">
        <f>MOD(ABS(SIN(semilla*12.9898+41*78.233+2*37.719))*43758.5453,1)</f>
        <v>0</v>
      </c>
      <c r="Q46" s="22">
        <f>"I"&amp;(MOD(41-1,3)+1)</f>
        <v>0</v>
      </c>
      <c r="R46" s="22">
        <f>IF(ISNUMBER($A46),IF(2&lt;=dias,COUNTIFS($P$6:$P$65,"&lt;"&amp;P46,$A$6:$A$65,"&gt;0")+1,""),"")</f>
        <v>0</v>
      </c>
      <c r="S46" s="28">
        <f>MOD(ABS(SIN(semilla*12.9898+41*78.233+3*37.719))*43758.5453,1)</f>
        <v>0</v>
      </c>
      <c r="T46" s="22">
        <f>"I"&amp;(MOD(41-1,3)+1)</f>
        <v>0</v>
      </c>
      <c r="U46" s="22">
        <f>IF(ISNUMBER($A46),IF(3&lt;=dias,COUNTIFS($S$6:$S$65,"&lt;"&amp;S46,$A$6:$A$65,"&gt;0")+1,""),"")</f>
        <v>0</v>
      </c>
      <c r="V46" s="28">
        <f>MOD(ABS(SIN(semilla*12.9898+41*78.233+4*37.719))*43758.5453,1)</f>
        <v>0</v>
      </c>
      <c r="W46" s="22">
        <f>"I"&amp;(MOD(41-1,3)+1)</f>
        <v>0</v>
      </c>
      <c r="X46" s="22">
        <f>IF(ISNUMBER($A46),IF(4&lt;=dias,COUNTIFS($V$6:$V$65,"&lt;"&amp;V46,$A$6:$A$65,"&gt;0")+1,""),"")</f>
        <v>0</v>
      </c>
    </row>
    <row r="47" spans="1:24">
      <c r="A47" s="12">
        <f>IF(ISNUMBER(rpd),IF(42&lt;=3*rpd,42,""),"")</f>
        <v>0</v>
      </c>
      <c r="B47" s="18">
        <f>IF(ISNUMBER($A47),IF(1&lt;=dias,IFERROR(INDEX($N$6:$N$65,MATCH($A47,$O$6:$O$65,0)),""),"—"),"")</f>
        <v>0</v>
      </c>
      <c r="C47" s="19">
        <f>IF(OR(B47="",B47="—"),"",IF(INDEX(corrientes,MATCH(B47,{"I1","I2","I3"},0))="","",INDEX(corrientes,MATCH(B47,{"I1","I2","I3"},0))))</f>
        <v>0</v>
      </c>
      <c r="D47" s="18">
        <f>IF(ISNUMBER($A47),IF(2&lt;=dias,IFERROR(INDEX($Q$6:$Q$65,MATCH($A47,$R$6:$R$65,0)),""),"—"),"")</f>
        <v>0</v>
      </c>
      <c r="E47" s="19">
        <f>IF(OR(D47="",D47="—"),"",IF(INDEX(corrientes,MATCH(D47,{"I1","I2","I3"},0))="","",INDEX(corrientes,MATCH(D47,{"I1","I2","I3"},0))))</f>
        <v>0</v>
      </c>
      <c r="F47" s="18">
        <f>IF(ISNUMBER($A47),IF(3&lt;=dias,IFERROR(INDEX($T$6:$T$65,MATCH($A47,$U$6:$U$65,0)),""),"—"),"")</f>
        <v>0</v>
      </c>
      <c r="G47" s="19">
        <f>IF(OR(F47="",F47="—"),"",IF(INDEX(corrientes,MATCH(F47,{"I1","I2","I3"},0))="","",INDEX(corrientes,MATCH(F47,{"I1","I2","I3"},0))))</f>
        <v>0</v>
      </c>
      <c r="H47" s="18">
        <f>IF(ISNUMBER($A47),IF(4&lt;=dias,IFERROR(INDEX($W$6:$W$65,MATCH($A47,$X$6:$X$65,0)),""),"—"),"")</f>
        <v>0</v>
      </c>
      <c r="I47" s="19">
        <f>IF(OR(H47="",H47="—"),"",IF(INDEX(corrientes,MATCH(H47,{"I1","I2","I3"},0))="","",INDEX(corrientes,MATCH(H47,{"I1","I2","I3"},0))))</f>
        <v>0</v>
      </c>
      <c r="M47" s="28">
        <f>MOD(ABS(SIN(semilla*12.9898+42*78.233+1*37.719))*43758.5453,1)</f>
        <v>0</v>
      </c>
      <c r="N47" s="22">
        <f>"I"&amp;(MOD(42-1,3)+1)</f>
        <v>0</v>
      </c>
      <c r="O47" s="22">
        <f>IF(ISNUMBER($A47),IF(1&lt;=dias,COUNTIFS($M$6:$M$65,"&lt;"&amp;M47,$A$6:$A$65,"&gt;0")+1,""),"")</f>
        <v>0</v>
      </c>
      <c r="P47" s="28">
        <f>MOD(ABS(SIN(semilla*12.9898+42*78.233+2*37.719))*43758.5453,1)</f>
        <v>0</v>
      </c>
      <c r="Q47" s="22">
        <f>"I"&amp;(MOD(42-1,3)+1)</f>
        <v>0</v>
      </c>
      <c r="R47" s="22">
        <f>IF(ISNUMBER($A47),IF(2&lt;=dias,COUNTIFS($P$6:$P$65,"&lt;"&amp;P47,$A$6:$A$65,"&gt;0")+1,""),"")</f>
        <v>0</v>
      </c>
      <c r="S47" s="28">
        <f>MOD(ABS(SIN(semilla*12.9898+42*78.233+3*37.719))*43758.5453,1)</f>
        <v>0</v>
      </c>
      <c r="T47" s="22">
        <f>"I"&amp;(MOD(42-1,3)+1)</f>
        <v>0</v>
      </c>
      <c r="U47" s="22">
        <f>IF(ISNUMBER($A47),IF(3&lt;=dias,COUNTIFS($S$6:$S$65,"&lt;"&amp;S47,$A$6:$A$65,"&gt;0")+1,""),"")</f>
        <v>0</v>
      </c>
      <c r="V47" s="28">
        <f>MOD(ABS(SIN(semilla*12.9898+42*78.233+4*37.719))*43758.5453,1)</f>
        <v>0</v>
      </c>
      <c r="W47" s="22">
        <f>"I"&amp;(MOD(42-1,3)+1)</f>
        <v>0</v>
      </c>
      <c r="X47" s="22">
        <f>IF(ISNUMBER($A47),IF(4&lt;=dias,COUNTIFS($V$6:$V$65,"&lt;"&amp;V47,$A$6:$A$65,"&gt;0")+1,""),"")</f>
        <v>0</v>
      </c>
    </row>
    <row r="48" spans="1:24">
      <c r="A48" s="12">
        <f>IF(ISNUMBER(rpd),IF(43&lt;=3*rpd,43,""),"")</f>
        <v>0</v>
      </c>
      <c r="B48" s="18">
        <f>IF(ISNUMBER($A48),IF(1&lt;=dias,IFERROR(INDEX($N$6:$N$65,MATCH($A48,$O$6:$O$65,0)),""),"—"),"")</f>
        <v>0</v>
      </c>
      <c r="C48" s="19">
        <f>IF(OR(B48="",B48="—"),"",IF(INDEX(corrientes,MATCH(B48,{"I1","I2","I3"},0))="","",INDEX(corrientes,MATCH(B48,{"I1","I2","I3"},0))))</f>
        <v>0</v>
      </c>
      <c r="D48" s="18">
        <f>IF(ISNUMBER($A48),IF(2&lt;=dias,IFERROR(INDEX($Q$6:$Q$65,MATCH($A48,$R$6:$R$65,0)),""),"—"),"")</f>
        <v>0</v>
      </c>
      <c r="E48" s="19">
        <f>IF(OR(D48="",D48="—"),"",IF(INDEX(corrientes,MATCH(D48,{"I1","I2","I3"},0))="","",INDEX(corrientes,MATCH(D48,{"I1","I2","I3"},0))))</f>
        <v>0</v>
      </c>
      <c r="F48" s="18">
        <f>IF(ISNUMBER($A48),IF(3&lt;=dias,IFERROR(INDEX($T$6:$T$65,MATCH($A48,$U$6:$U$65,0)),""),"—"),"")</f>
        <v>0</v>
      </c>
      <c r="G48" s="19">
        <f>IF(OR(F48="",F48="—"),"",IF(INDEX(corrientes,MATCH(F48,{"I1","I2","I3"},0))="","",INDEX(corrientes,MATCH(F48,{"I1","I2","I3"},0))))</f>
        <v>0</v>
      </c>
      <c r="H48" s="18">
        <f>IF(ISNUMBER($A48),IF(4&lt;=dias,IFERROR(INDEX($W$6:$W$65,MATCH($A48,$X$6:$X$65,0)),""),"—"),"")</f>
        <v>0</v>
      </c>
      <c r="I48" s="19">
        <f>IF(OR(H48="",H48="—"),"",IF(INDEX(corrientes,MATCH(H48,{"I1","I2","I3"},0))="","",INDEX(corrientes,MATCH(H48,{"I1","I2","I3"},0))))</f>
        <v>0</v>
      </c>
      <c r="M48" s="28">
        <f>MOD(ABS(SIN(semilla*12.9898+43*78.233+1*37.719))*43758.5453,1)</f>
        <v>0</v>
      </c>
      <c r="N48" s="22">
        <f>"I"&amp;(MOD(43-1,3)+1)</f>
        <v>0</v>
      </c>
      <c r="O48" s="22">
        <f>IF(ISNUMBER($A48),IF(1&lt;=dias,COUNTIFS($M$6:$M$65,"&lt;"&amp;M48,$A$6:$A$65,"&gt;0")+1,""),"")</f>
        <v>0</v>
      </c>
      <c r="P48" s="28">
        <f>MOD(ABS(SIN(semilla*12.9898+43*78.233+2*37.719))*43758.5453,1)</f>
        <v>0</v>
      </c>
      <c r="Q48" s="22">
        <f>"I"&amp;(MOD(43-1,3)+1)</f>
        <v>0</v>
      </c>
      <c r="R48" s="22">
        <f>IF(ISNUMBER($A48),IF(2&lt;=dias,COUNTIFS($P$6:$P$65,"&lt;"&amp;P48,$A$6:$A$65,"&gt;0")+1,""),"")</f>
        <v>0</v>
      </c>
      <c r="S48" s="28">
        <f>MOD(ABS(SIN(semilla*12.9898+43*78.233+3*37.719))*43758.5453,1)</f>
        <v>0</v>
      </c>
      <c r="T48" s="22">
        <f>"I"&amp;(MOD(43-1,3)+1)</f>
        <v>0</v>
      </c>
      <c r="U48" s="22">
        <f>IF(ISNUMBER($A48),IF(3&lt;=dias,COUNTIFS($S$6:$S$65,"&lt;"&amp;S48,$A$6:$A$65,"&gt;0")+1,""),"")</f>
        <v>0</v>
      </c>
      <c r="V48" s="28">
        <f>MOD(ABS(SIN(semilla*12.9898+43*78.233+4*37.719))*43758.5453,1)</f>
        <v>0</v>
      </c>
      <c r="W48" s="22">
        <f>"I"&amp;(MOD(43-1,3)+1)</f>
        <v>0</v>
      </c>
      <c r="X48" s="22">
        <f>IF(ISNUMBER($A48),IF(4&lt;=dias,COUNTIFS($V$6:$V$65,"&lt;"&amp;V48,$A$6:$A$65,"&gt;0")+1,""),"")</f>
        <v>0</v>
      </c>
    </row>
    <row r="49" spans="1:24">
      <c r="A49" s="12">
        <f>IF(ISNUMBER(rpd),IF(44&lt;=3*rpd,44,""),"")</f>
        <v>0</v>
      </c>
      <c r="B49" s="18">
        <f>IF(ISNUMBER($A49),IF(1&lt;=dias,IFERROR(INDEX($N$6:$N$65,MATCH($A49,$O$6:$O$65,0)),""),"—"),"")</f>
        <v>0</v>
      </c>
      <c r="C49" s="19">
        <f>IF(OR(B49="",B49="—"),"",IF(INDEX(corrientes,MATCH(B49,{"I1","I2","I3"},0))="","",INDEX(corrientes,MATCH(B49,{"I1","I2","I3"},0))))</f>
        <v>0</v>
      </c>
      <c r="D49" s="18">
        <f>IF(ISNUMBER($A49),IF(2&lt;=dias,IFERROR(INDEX($Q$6:$Q$65,MATCH($A49,$R$6:$R$65,0)),""),"—"),"")</f>
        <v>0</v>
      </c>
      <c r="E49" s="19">
        <f>IF(OR(D49="",D49="—"),"",IF(INDEX(corrientes,MATCH(D49,{"I1","I2","I3"},0))="","",INDEX(corrientes,MATCH(D49,{"I1","I2","I3"},0))))</f>
        <v>0</v>
      </c>
      <c r="F49" s="18">
        <f>IF(ISNUMBER($A49),IF(3&lt;=dias,IFERROR(INDEX($T$6:$T$65,MATCH($A49,$U$6:$U$65,0)),""),"—"),"")</f>
        <v>0</v>
      </c>
      <c r="G49" s="19">
        <f>IF(OR(F49="",F49="—"),"",IF(INDEX(corrientes,MATCH(F49,{"I1","I2","I3"},0))="","",INDEX(corrientes,MATCH(F49,{"I1","I2","I3"},0))))</f>
        <v>0</v>
      </c>
      <c r="H49" s="18">
        <f>IF(ISNUMBER($A49),IF(4&lt;=dias,IFERROR(INDEX($W$6:$W$65,MATCH($A49,$X$6:$X$65,0)),""),"—"),"")</f>
        <v>0</v>
      </c>
      <c r="I49" s="19">
        <f>IF(OR(H49="",H49="—"),"",IF(INDEX(corrientes,MATCH(H49,{"I1","I2","I3"},0))="","",INDEX(corrientes,MATCH(H49,{"I1","I2","I3"},0))))</f>
        <v>0</v>
      </c>
      <c r="M49" s="28">
        <f>MOD(ABS(SIN(semilla*12.9898+44*78.233+1*37.719))*43758.5453,1)</f>
        <v>0</v>
      </c>
      <c r="N49" s="22">
        <f>"I"&amp;(MOD(44-1,3)+1)</f>
        <v>0</v>
      </c>
      <c r="O49" s="22">
        <f>IF(ISNUMBER($A49),IF(1&lt;=dias,COUNTIFS($M$6:$M$65,"&lt;"&amp;M49,$A$6:$A$65,"&gt;0")+1,""),"")</f>
        <v>0</v>
      </c>
      <c r="P49" s="28">
        <f>MOD(ABS(SIN(semilla*12.9898+44*78.233+2*37.719))*43758.5453,1)</f>
        <v>0</v>
      </c>
      <c r="Q49" s="22">
        <f>"I"&amp;(MOD(44-1,3)+1)</f>
        <v>0</v>
      </c>
      <c r="R49" s="22">
        <f>IF(ISNUMBER($A49),IF(2&lt;=dias,COUNTIFS($P$6:$P$65,"&lt;"&amp;P49,$A$6:$A$65,"&gt;0")+1,""),"")</f>
        <v>0</v>
      </c>
      <c r="S49" s="28">
        <f>MOD(ABS(SIN(semilla*12.9898+44*78.233+3*37.719))*43758.5453,1)</f>
        <v>0</v>
      </c>
      <c r="T49" s="22">
        <f>"I"&amp;(MOD(44-1,3)+1)</f>
        <v>0</v>
      </c>
      <c r="U49" s="22">
        <f>IF(ISNUMBER($A49),IF(3&lt;=dias,COUNTIFS($S$6:$S$65,"&lt;"&amp;S49,$A$6:$A$65,"&gt;0")+1,""),"")</f>
        <v>0</v>
      </c>
      <c r="V49" s="28">
        <f>MOD(ABS(SIN(semilla*12.9898+44*78.233+4*37.719))*43758.5453,1)</f>
        <v>0</v>
      </c>
      <c r="W49" s="22">
        <f>"I"&amp;(MOD(44-1,3)+1)</f>
        <v>0</v>
      </c>
      <c r="X49" s="22">
        <f>IF(ISNUMBER($A49),IF(4&lt;=dias,COUNTIFS($V$6:$V$65,"&lt;"&amp;V49,$A$6:$A$65,"&gt;0")+1,""),"")</f>
        <v>0</v>
      </c>
    </row>
    <row r="50" spans="1:24">
      <c r="A50" s="12">
        <f>IF(ISNUMBER(rpd),IF(45&lt;=3*rpd,45,""),"")</f>
        <v>0</v>
      </c>
      <c r="B50" s="18">
        <f>IF(ISNUMBER($A50),IF(1&lt;=dias,IFERROR(INDEX($N$6:$N$65,MATCH($A50,$O$6:$O$65,0)),""),"—"),"")</f>
        <v>0</v>
      </c>
      <c r="C50" s="19">
        <f>IF(OR(B50="",B50="—"),"",IF(INDEX(corrientes,MATCH(B50,{"I1","I2","I3"},0))="","",INDEX(corrientes,MATCH(B50,{"I1","I2","I3"},0))))</f>
        <v>0</v>
      </c>
      <c r="D50" s="18">
        <f>IF(ISNUMBER($A50),IF(2&lt;=dias,IFERROR(INDEX($Q$6:$Q$65,MATCH($A50,$R$6:$R$65,0)),""),"—"),"")</f>
        <v>0</v>
      </c>
      <c r="E50" s="19">
        <f>IF(OR(D50="",D50="—"),"",IF(INDEX(corrientes,MATCH(D50,{"I1","I2","I3"},0))="","",INDEX(corrientes,MATCH(D50,{"I1","I2","I3"},0))))</f>
        <v>0</v>
      </c>
      <c r="F50" s="18">
        <f>IF(ISNUMBER($A50),IF(3&lt;=dias,IFERROR(INDEX($T$6:$T$65,MATCH($A50,$U$6:$U$65,0)),""),"—"),"")</f>
        <v>0</v>
      </c>
      <c r="G50" s="19">
        <f>IF(OR(F50="",F50="—"),"",IF(INDEX(corrientes,MATCH(F50,{"I1","I2","I3"},0))="","",INDEX(corrientes,MATCH(F50,{"I1","I2","I3"},0))))</f>
        <v>0</v>
      </c>
      <c r="H50" s="18">
        <f>IF(ISNUMBER($A50),IF(4&lt;=dias,IFERROR(INDEX($W$6:$W$65,MATCH($A50,$X$6:$X$65,0)),""),"—"),"")</f>
        <v>0</v>
      </c>
      <c r="I50" s="19">
        <f>IF(OR(H50="",H50="—"),"",IF(INDEX(corrientes,MATCH(H50,{"I1","I2","I3"},0))="","",INDEX(corrientes,MATCH(H50,{"I1","I2","I3"},0))))</f>
        <v>0</v>
      </c>
      <c r="M50" s="28">
        <f>MOD(ABS(SIN(semilla*12.9898+45*78.233+1*37.719))*43758.5453,1)</f>
        <v>0</v>
      </c>
      <c r="N50" s="22">
        <f>"I"&amp;(MOD(45-1,3)+1)</f>
        <v>0</v>
      </c>
      <c r="O50" s="22">
        <f>IF(ISNUMBER($A50),IF(1&lt;=dias,COUNTIFS($M$6:$M$65,"&lt;"&amp;M50,$A$6:$A$65,"&gt;0")+1,""),"")</f>
        <v>0</v>
      </c>
      <c r="P50" s="28">
        <f>MOD(ABS(SIN(semilla*12.9898+45*78.233+2*37.719))*43758.5453,1)</f>
        <v>0</v>
      </c>
      <c r="Q50" s="22">
        <f>"I"&amp;(MOD(45-1,3)+1)</f>
        <v>0</v>
      </c>
      <c r="R50" s="22">
        <f>IF(ISNUMBER($A50),IF(2&lt;=dias,COUNTIFS($P$6:$P$65,"&lt;"&amp;P50,$A$6:$A$65,"&gt;0")+1,""),"")</f>
        <v>0</v>
      </c>
      <c r="S50" s="28">
        <f>MOD(ABS(SIN(semilla*12.9898+45*78.233+3*37.719))*43758.5453,1)</f>
        <v>0</v>
      </c>
      <c r="T50" s="22">
        <f>"I"&amp;(MOD(45-1,3)+1)</f>
        <v>0</v>
      </c>
      <c r="U50" s="22">
        <f>IF(ISNUMBER($A50),IF(3&lt;=dias,COUNTIFS($S$6:$S$65,"&lt;"&amp;S50,$A$6:$A$65,"&gt;0")+1,""),"")</f>
        <v>0</v>
      </c>
      <c r="V50" s="28">
        <f>MOD(ABS(SIN(semilla*12.9898+45*78.233+4*37.719))*43758.5453,1)</f>
        <v>0</v>
      </c>
      <c r="W50" s="22">
        <f>"I"&amp;(MOD(45-1,3)+1)</f>
        <v>0</v>
      </c>
      <c r="X50" s="22">
        <f>IF(ISNUMBER($A50),IF(4&lt;=dias,COUNTIFS($V$6:$V$65,"&lt;"&amp;V50,$A$6:$A$65,"&gt;0")+1,""),"")</f>
        <v>0</v>
      </c>
    </row>
    <row r="51" spans="1:24">
      <c r="A51" s="12">
        <f>IF(ISNUMBER(rpd),IF(46&lt;=3*rpd,46,""),"")</f>
        <v>0</v>
      </c>
      <c r="B51" s="18">
        <f>IF(ISNUMBER($A51),IF(1&lt;=dias,IFERROR(INDEX($N$6:$N$65,MATCH($A51,$O$6:$O$65,0)),""),"—"),"")</f>
        <v>0</v>
      </c>
      <c r="C51" s="19">
        <f>IF(OR(B51="",B51="—"),"",IF(INDEX(corrientes,MATCH(B51,{"I1","I2","I3"},0))="","",INDEX(corrientes,MATCH(B51,{"I1","I2","I3"},0))))</f>
        <v>0</v>
      </c>
      <c r="D51" s="18">
        <f>IF(ISNUMBER($A51),IF(2&lt;=dias,IFERROR(INDEX($Q$6:$Q$65,MATCH($A51,$R$6:$R$65,0)),""),"—"),"")</f>
        <v>0</v>
      </c>
      <c r="E51" s="19">
        <f>IF(OR(D51="",D51="—"),"",IF(INDEX(corrientes,MATCH(D51,{"I1","I2","I3"},0))="","",INDEX(corrientes,MATCH(D51,{"I1","I2","I3"},0))))</f>
        <v>0</v>
      </c>
      <c r="F51" s="18">
        <f>IF(ISNUMBER($A51),IF(3&lt;=dias,IFERROR(INDEX($T$6:$T$65,MATCH($A51,$U$6:$U$65,0)),""),"—"),"")</f>
        <v>0</v>
      </c>
      <c r="G51" s="19">
        <f>IF(OR(F51="",F51="—"),"",IF(INDEX(corrientes,MATCH(F51,{"I1","I2","I3"},0))="","",INDEX(corrientes,MATCH(F51,{"I1","I2","I3"},0))))</f>
        <v>0</v>
      </c>
      <c r="H51" s="18">
        <f>IF(ISNUMBER($A51),IF(4&lt;=dias,IFERROR(INDEX($W$6:$W$65,MATCH($A51,$X$6:$X$65,0)),""),"—"),"")</f>
        <v>0</v>
      </c>
      <c r="I51" s="19">
        <f>IF(OR(H51="",H51="—"),"",IF(INDEX(corrientes,MATCH(H51,{"I1","I2","I3"},0))="","",INDEX(corrientes,MATCH(H51,{"I1","I2","I3"},0))))</f>
        <v>0</v>
      </c>
      <c r="M51" s="28">
        <f>MOD(ABS(SIN(semilla*12.9898+46*78.233+1*37.719))*43758.5453,1)</f>
        <v>0</v>
      </c>
      <c r="N51" s="22">
        <f>"I"&amp;(MOD(46-1,3)+1)</f>
        <v>0</v>
      </c>
      <c r="O51" s="22">
        <f>IF(ISNUMBER($A51),IF(1&lt;=dias,COUNTIFS($M$6:$M$65,"&lt;"&amp;M51,$A$6:$A$65,"&gt;0")+1,""),"")</f>
        <v>0</v>
      </c>
      <c r="P51" s="28">
        <f>MOD(ABS(SIN(semilla*12.9898+46*78.233+2*37.719))*43758.5453,1)</f>
        <v>0</v>
      </c>
      <c r="Q51" s="22">
        <f>"I"&amp;(MOD(46-1,3)+1)</f>
        <v>0</v>
      </c>
      <c r="R51" s="22">
        <f>IF(ISNUMBER($A51),IF(2&lt;=dias,COUNTIFS($P$6:$P$65,"&lt;"&amp;P51,$A$6:$A$65,"&gt;0")+1,""),"")</f>
        <v>0</v>
      </c>
      <c r="S51" s="28">
        <f>MOD(ABS(SIN(semilla*12.9898+46*78.233+3*37.719))*43758.5453,1)</f>
        <v>0</v>
      </c>
      <c r="T51" s="22">
        <f>"I"&amp;(MOD(46-1,3)+1)</f>
        <v>0</v>
      </c>
      <c r="U51" s="22">
        <f>IF(ISNUMBER($A51),IF(3&lt;=dias,COUNTIFS($S$6:$S$65,"&lt;"&amp;S51,$A$6:$A$65,"&gt;0")+1,""),"")</f>
        <v>0</v>
      </c>
      <c r="V51" s="28">
        <f>MOD(ABS(SIN(semilla*12.9898+46*78.233+4*37.719))*43758.5453,1)</f>
        <v>0</v>
      </c>
      <c r="W51" s="22">
        <f>"I"&amp;(MOD(46-1,3)+1)</f>
        <v>0</v>
      </c>
      <c r="X51" s="22">
        <f>IF(ISNUMBER($A51),IF(4&lt;=dias,COUNTIFS($V$6:$V$65,"&lt;"&amp;V51,$A$6:$A$65,"&gt;0")+1,""),"")</f>
        <v>0</v>
      </c>
    </row>
    <row r="52" spans="1:24">
      <c r="A52" s="12">
        <f>IF(ISNUMBER(rpd),IF(47&lt;=3*rpd,47,""),"")</f>
        <v>0</v>
      </c>
      <c r="B52" s="18">
        <f>IF(ISNUMBER($A52),IF(1&lt;=dias,IFERROR(INDEX($N$6:$N$65,MATCH($A52,$O$6:$O$65,0)),""),"—"),"")</f>
        <v>0</v>
      </c>
      <c r="C52" s="19">
        <f>IF(OR(B52="",B52="—"),"",IF(INDEX(corrientes,MATCH(B52,{"I1","I2","I3"},0))="","",INDEX(corrientes,MATCH(B52,{"I1","I2","I3"},0))))</f>
        <v>0</v>
      </c>
      <c r="D52" s="18">
        <f>IF(ISNUMBER($A52),IF(2&lt;=dias,IFERROR(INDEX($Q$6:$Q$65,MATCH($A52,$R$6:$R$65,0)),""),"—"),"")</f>
        <v>0</v>
      </c>
      <c r="E52" s="19">
        <f>IF(OR(D52="",D52="—"),"",IF(INDEX(corrientes,MATCH(D52,{"I1","I2","I3"},0))="","",INDEX(corrientes,MATCH(D52,{"I1","I2","I3"},0))))</f>
        <v>0</v>
      </c>
      <c r="F52" s="18">
        <f>IF(ISNUMBER($A52),IF(3&lt;=dias,IFERROR(INDEX($T$6:$T$65,MATCH($A52,$U$6:$U$65,0)),""),"—"),"")</f>
        <v>0</v>
      </c>
      <c r="G52" s="19">
        <f>IF(OR(F52="",F52="—"),"",IF(INDEX(corrientes,MATCH(F52,{"I1","I2","I3"},0))="","",INDEX(corrientes,MATCH(F52,{"I1","I2","I3"},0))))</f>
        <v>0</v>
      </c>
      <c r="H52" s="18">
        <f>IF(ISNUMBER($A52),IF(4&lt;=dias,IFERROR(INDEX($W$6:$W$65,MATCH($A52,$X$6:$X$65,0)),""),"—"),"")</f>
        <v>0</v>
      </c>
      <c r="I52" s="19">
        <f>IF(OR(H52="",H52="—"),"",IF(INDEX(corrientes,MATCH(H52,{"I1","I2","I3"},0))="","",INDEX(corrientes,MATCH(H52,{"I1","I2","I3"},0))))</f>
        <v>0</v>
      </c>
      <c r="M52" s="28">
        <f>MOD(ABS(SIN(semilla*12.9898+47*78.233+1*37.719))*43758.5453,1)</f>
        <v>0</v>
      </c>
      <c r="N52" s="22">
        <f>"I"&amp;(MOD(47-1,3)+1)</f>
        <v>0</v>
      </c>
      <c r="O52" s="22">
        <f>IF(ISNUMBER($A52),IF(1&lt;=dias,COUNTIFS($M$6:$M$65,"&lt;"&amp;M52,$A$6:$A$65,"&gt;0")+1,""),"")</f>
        <v>0</v>
      </c>
      <c r="P52" s="28">
        <f>MOD(ABS(SIN(semilla*12.9898+47*78.233+2*37.719))*43758.5453,1)</f>
        <v>0</v>
      </c>
      <c r="Q52" s="22">
        <f>"I"&amp;(MOD(47-1,3)+1)</f>
        <v>0</v>
      </c>
      <c r="R52" s="22">
        <f>IF(ISNUMBER($A52),IF(2&lt;=dias,COUNTIFS($P$6:$P$65,"&lt;"&amp;P52,$A$6:$A$65,"&gt;0")+1,""),"")</f>
        <v>0</v>
      </c>
      <c r="S52" s="28">
        <f>MOD(ABS(SIN(semilla*12.9898+47*78.233+3*37.719))*43758.5453,1)</f>
        <v>0</v>
      </c>
      <c r="T52" s="22">
        <f>"I"&amp;(MOD(47-1,3)+1)</f>
        <v>0</v>
      </c>
      <c r="U52" s="22">
        <f>IF(ISNUMBER($A52),IF(3&lt;=dias,COUNTIFS($S$6:$S$65,"&lt;"&amp;S52,$A$6:$A$65,"&gt;0")+1,""),"")</f>
        <v>0</v>
      </c>
      <c r="V52" s="28">
        <f>MOD(ABS(SIN(semilla*12.9898+47*78.233+4*37.719))*43758.5453,1)</f>
        <v>0</v>
      </c>
      <c r="W52" s="22">
        <f>"I"&amp;(MOD(47-1,3)+1)</f>
        <v>0</v>
      </c>
      <c r="X52" s="22">
        <f>IF(ISNUMBER($A52),IF(4&lt;=dias,COUNTIFS($V$6:$V$65,"&lt;"&amp;V52,$A$6:$A$65,"&gt;0")+1,""),"")</f>
        <v>0</v>
      </c>
    </row>
    <row r="53" spans="1:24">
      <c r="A53" s="12">
        <f>IF(ISNUMBER(rpd),IF(48&lt;=3*rpd,48,""),"")</f>
        <v>0</v>
      </c>
      <c r="B53" s="18">
        <f>IF(ISNUMBER($A53),IF(1&lt;=dias,IFERROR(INDEX($N$6:$N$65,MATCH($A53,$O$6:$O$65,0)),""),"—"),"")</f>
        <v>0</v>
      </c>
      <c r="C53" s="19">
        <f>IF(OR(B53="",B53="—"),"",IF(INDEX(corrientes,MATCH(B53,{"I1","I2","I3"},0))="","",INDEX(corrientes,MATCH(B53,{"I1","I2","I3"},0))))</f>
        <v>0</v>
      </c>
      <c r="D53" s="18">
        <f>IF(ISNUMBER($A53),IF(2&lt;=dias,IFERROR(INDEX($Q$6:$Q$65,MATCH($A53,$R$6:$R$65,0)),""),"—"),"")</f>
        <v>0</v>
      </c>
      <c r="E53" s="19">
        <f>IF(OR(D53="",D53="—"),"",IF(INDEX(corrientes,MATCH(D53,{"I1","I2","I3"},0))="","",INDEX(corrientes,MATCH(D53,{"I1","I2","I3"},0))))</f>
        <v>0</v>
      </c>
      <c r="F53" s="18">
        <f>IF(ISNUMBER($A53),IF(3&lt;=dias,IFERROR(INDEX($T$6:$T$65,MATCH($A53,$U$6:$U$65,0)),""),"—"),"")</f>
        <v>0</v>
      </c>
      <c r="G53" s="19">
        <f>IF(OR(F53="",F53="—"),"",IF(INDEX(corrientes,MATCH(F53,{"I1","I2","I3"},0))="","",INDEX(corrientes,MATCH(F53,{"I1","I2","I3"},0))))</f>
        <v>0</v>
      </c>
      <c r="H53" s="18">
        <f>IF(ISNUMBER($A53),IF(4&lt;=dias,IFERROR(INDEX($W$6:$W$65,MATCH($A53,$X$6:$X$65,0)),""),"—"),"")</f>
        <v>0</v>
      </c>
      <c r="I53" s="19">
        <f>IF(OR(H53="",H53="—"),"",IF(INDEX(corrientes,MATCH(H53,{"I1","I2","I3"},0))="","",INDEX(corrientes,MATCH(H53,{"I1","I2","I3"},0))))</f>
        <v>0</v>
      </c>
      <c r="M53" s="28">
        <f>MOD(ABS(SIN(semilla*12.9898+48*78.233+1*37.719))*43758.5453,1)</f>
        <v>0</v>
      </c>
      <c r="N53" s="22">
        <f>"I"&amp;(MOD(48-1,3)+1)</f>
        <v>0</v>
      </c>
      <c r="O53" s="22">
        <f>IF(ISNUMBER($A53),IF(1&lt;=dias,COUNTIFS($M$6:$M$65,"&lt;"&amp;M53,$A$6:$A$65,"&gt;0")+1,""),"")</f>
        <v>0</v>
      </c>
      <c r="P53" s="28">
        <f>MOD(ABS(SIN(semilla*12.9898+48*78.233+2*37.719))*43758.5453,1)</f>
        <v>0</v>
      </c>
      <c r="Q53" s="22">
        <f>"I"&amp;(MOD(48-1,3)+1)</f>
        <v>0</v>
      </c>
      <c r="R53" s="22">
        <f>IF(ISNUMBER($A53),IF(2&lt;=dias,COUNTIFS($P$6:$P$65,"&lt;"&amp;P53,$A$6:$A$65,"&gt;0")+1,""),"")</f>
        <v>0</v>
      </c>
      <c r="S53" s="28">
        <f>MOD(ABS(SIN(semilla*12.9898+48*78.233+3*37.719))*43758.5453,1)</f>
        <v>0</v>
      </c>
      <c r="T53" s="22">
        <f>"I"&amp;(MOD(48-1,3)+1)</f>
        <v>0</v>
      </c>
      <c r="U53" s="22">
        <f>IF(ISNUMBER($A53),IF(3&lt;=dias,COUNTIFS($S$6:$S$65,"&lt;"&amp;S53,$A$6:$A$65,"&gt;0")+1,""),"")</f>
        <v>0</v>
      </c>
      <c r="V53" s="28">
        <f>MOD(ABS(SIN(semilla*12.9898+48*78.233+4*37.719))*43758.5453,1)</f>
        <v>0</v>
      </c>
      <c r="W53" s="22">
        <f>"I"&amp;(MOD(48-1,3)+1)</f>
        <v>0</v>
      </c>
      <c r="X53" s="22">
        <f>IF(ISNUMBER($A53),IF(4&lt;=dias,COUNTIFS($V$6:$V$65,"&lt;"&amp;V53,$A$6:$A$65,"&gt;0")+1,""),"")</f>
        <v>0</v>
      </c>
    </row>
    <row r="54" spans="1:24">
      <c r="A54" s="12">
        <f>IF(ISNUMBER(rpd),IF(49&lt;=3*rpd,49,""),"")</f>
        <v>0</v>
      </c>
      <c r="B54" s="18">
        <f>IF(ISNUMBER($A54),IF(1&lt;=dias,IFERROR(INDEX($N$6:$N$65,MATCH($A54,$O$6:$O$65,0)),""),"—"),"")</f>
        <v>0</v>
      </c>
      <c r="C54" s="19">
        <f>IF(OR(B54="",B54="—"),"",IF(INDEX(corrientes,MATCH(B54,{"I1","I2","I3"},0))="","",INDEX(corrientes,MATCH(B54,{"I1","I2","I3"},0))))</f>
        <v>0</v>
      </c>
      <c r="D54" s="18">
        <f>IF(ISNUMBER($A54),IF(2&lt;=dias,IFERROR(INDEX($Q$6:$Q$65,MATCH($A54,$R$6:$R$65,0)),""),"—"),"")</f>
        <v>0</v>
      </c>
      <c r="E54" s="19">
        <f>IF(OR(D54="",D54="—"),"",IF(INDEX(corrientes,MATCH(D54,{"I1","I2","I3"},0))="","",INDEX(corrientes,MATCH(D54,{"I1","I2","I3"},0))))</f>
        <v>0</v>
      </c>
      <c r="F54" s="18">
        <f>IF(ISNUMBER($A54),IF(3&lt;=dias,IFERROR(INDEX($T$6:$T$65,MATCH($A54,$U$6:$U$65,0)),""),"—"),"")</f>
        <v>0</v>
      </c>
      <c r="G54" s="19">
        <f>IF(OR(F54="",F54="—"),"",IF(INDEX(corrientes,MATCH(F54,{"I1","I2","I3"},0))="","",INDEX(corrientes,MATCH(F54,{"I1","I2","I3"},0))))</f>
        <v>0</v>
      </c>
      <c r="H54" s="18">
        <f>IF(ISNUMBER($A54),IF(4&lt;=dias,IFERROR(INDEX($W$6:$W$65,MATCH($A54,$X$6:$X$65,0)),""),"—"),"")</f>
        <v>0</v>
      </c>
      <c r="I54" s="19">
        <f>IF(OR(H54="",H54="—"),"",IF(INDEX(corrientes,MATCH(H54,{"I1","I2","I3"},0))="","",INDEX(corrientes,MATCH(H54,{"I1","I2","I3"},0))))</f>
        <v>0</v>
      </c>
      <c r="M54" s="28">
        <f>MOD(ABS(SIN(semilla*12.9898+49*78.233+1*37.719))*43758.5453,1)</f>
        <v>0</v>
      </c>
      <c r="N54" s="22">
        <f>"I"&amp;(MOD(49-1,3)+1)</f>
        <v>0</v>
      </c>
      <c r="O54" s="22">
        <f>IF(ISNUMBER($A54),IF(1&lt;=dias,COUNTIFS($M$6:$M$65,"&lt;"&amp;M54,$A$6:$A$65,"&gt;0")+1,""),"")</f>
        <v>0</v>
      </c>
      <c r="P54" s="28">
        <f>MOD(ABS(SIN(semilla*12.9898+49*78.233+2*37.719))*43758.5453,1)</f>
        <v>0</v>
      </c>
      <c r="Q54" s="22">
        <f>"I"&amp;(MOD(49-1,3)+1)</f>
        <v>0</v>
      </c>
      <c r="R54" s="22">
        <f>IF(ISNUMBER($A54),IF(2&lt;=dias,COUNTIFS($P$6:$P$65,"&lt;"&amp;P54,$A$6:$A$65,"&gt;0")+1,""),"")</f>
        <v>0</v>
      </c>
      <c r="S54" s="28">
        <f>MOD(ABS(SIN(semilla*12.9898+49*78.233+3*37.719))*43758.5453,1)</f>
        <v>0</v>
      </c>
      <c r="T54" s="22">
        <f>"I"&amp;(MOD(49-1,3)+1)</f>
        <v>0</v>
      </c>
      <c r="U54" s="22">
        <f>IF(ISNUMBER($A54),IF(3&lt;=dias,COUNTIFS($S$6:$S$65,"&lt;"&amp;S54,$A$6:$A$65,"&gt;0")+1,""),"")</f>
        <v>0</v>
      </c>
      <c r="V54" s="28">
        <f>MOD(ABS(SIN(semilla*12.9898+49*78.233+4*37.719))*43758.5453,1)</f>
        <v>0</v>
      </c>
      <c r="W54" s="22">
        <f>"I"&amp;(MOD(49-1,3)+1)</f>
        <v>0</v>
      </c>
      <c r="X54" s="22">
        <f>IF(ISNUMBER($A54),IF(4&lt;=dias,COUNTIFS($V$6:$V$65,"&lt;"&amp;V54,$A$6:$A$65,"&gt;0")+1,""),"")</f>
        <v>0</v>
      </c>
    </row>
    <row r="55" spans="1:24">
      <c r="A55" s="12">
        <f>IF(ISNUMBER(rpd),IF(50&lt;=3*rpd,50,""),"")</f>
        <v>0</v>
      </c>
      <c r="B55" s="18">
        <f>IF(ISNUMBER($A55),IF(1&lt;=dias,IFERROR(INDEX($N$6:$N$65,MATCH($A55,$O$6:$O$65,0)),""),"—"),"")</f>
        <v>0</v>
      </c>
      <c r="C55" s="19">
        <f>IF(OR(B55="",B55="—"),"",IF(INDEX(corrientes,MATCH(B55,{"I1","I2","I3"},0))="","",INDEX(corrientes,MATCH(B55,{"I1","I2","I3"},0))))</f>
        <v>0</v>
      </c>
      <c r="D55" s="18">
        <f>IF(ISNUMBER($A55),IF(2&lt;=dias,IFERROR(INDEX($Q$6:$Q$65,MATCH($A55,$R$6:$R$65,0)),""),"—"),"")</f>
        <v>0</v>
      </c>
      <c r="E55" s="19">
        <f>IF(OR(D55="",D55="—"),"",IF(INDEX(corrientes,MATCH(D55,{"I1","I2","I3"},0))="","",INDEX(corrientes,MATCH(D55,{"I1","I2","I3"},0))))</f>
        <v>0</v>
      </c>
      <c r="F55" s="18">
        <f>IF(ISNUMBER($A55),IF(3&lt;=dias,IFERROR(INDEX($T$6:$T$65,MATCH($A55,$U$6:$U$65,0)),""),"—"),"")</f>
        <v>0</v>
      </c>
      <c r="G55" s="19">
        <f>IF(OR(F55="",F55="—"),"",IF(INDEX(corrientes,MATCH(F55,{"I1","I2","I3"},0))="","",INDEX(corrientes,MATCH(F55,{"I1","I2","I3"},0))))</f>
        <v>0</v>
      </c>
      <c r="H55" s="18">
        <f>IF(ISNUMBER($A55),IF(4&lt;=dias,IFERROR(INDEX($W$6:$W$65,MATCH($A55,$X$6:$X$65,0)),""),"—"),"")</f>
        <v>0</v>
      </c>
      <c r="I55" s="19">
        <f>IF(OR(H55="",H55="—"),"",IF(INDEX(corrientes,MATCH(H55,{"I1","I2","I3"},0))="","",INDEX(corrientes,MATCH(H55,{"I1","I2","I3"},0))))</f>
        <v>0</v>
      </c>
      <c r="M55" s="28">
        <f>MOD(ABS(SIN(semilla*12.9898+50*78.233+1*37.719))*43758.5453,1)</f>
        <v>0</v>
      </c>
      <c r="N55" s="22">
        <f>"I"&amp;(MOD(50-1,3)+1)</f>
        <v>0</v>
      </c>
      <c r="O55" s="22">
        <f>IF(ISNUMBER($A55),IF(1&lt;=dias,COUNTIFS($M$6:$M$65,"&lt;"&amp;M55,$A$6:$A$65,"&gt;0")+1,""),"")</f>
        <v>0</v>
      </c>
      <c r="P55" s="28">
        <f>MOD(ABS(SIN(semilla*12.9898+50*78.233+2*37.719))*43758.5453,1)</f>
        <v>0</v>
      </c>
      <c r="Q55" s="22">
        <f>"I"&amp;(MOD(50-1,3)+1)</f>
        <v>0</v>
      </c>
      <c r="R55" s="22">
        <f>IF(ISNUMBER($A55),IF(2&lt;=dias,COUNTIFS($P$6:$P$65,"&lt;"&amp;P55,$A$6:$A$65,"&gt;0")+1,""),"")</f>
        <v>0</v>
      </c>
      <c r="S55" s="28">
        <f>MOD(ABS(SIN(semilla*12.9898+50*78.233+3*37.719))*43758.5453,1)</f>
        <v>0</v>
      </c>
      <c r="T55" s="22">
        <f>"I"&amp;(MOD(50-1,3)+1)</f>
        <v>0</v>
      </c>
      <c r="U55" s="22">
        <f>IF(ISNUMBER($A55),IF(3&lt;=dias,COUNTIFS($S$6:$S$65,"&lt;"&amp;S55,$A$6:$A$65,"&gt;0")+1,""),"")</f>
        <v>0</v>
      </c>
      <c r="V55" s="28">
        <f>MOD(ABS(SIN(semilla*12.9898+50*78.233+4*37.719))*43758.5453,1)</f>
        <v>0</v>
      </c>
      <c r="W55" s="22">
        <f>"I"&amp;(MOD(50-1,3)+1)</f>
        <v>0</v>
      </c>
      <c r="X55" s="22">
        <f>IF(ISNUMBER($A55),IF(4&lt;=dias,COUNTIFS($V$6:$V$65,"&lt;"&amp;V55,$A$6:$A$65,"&gt;0")+1,""),"")</f>
        <v>0</v>
      </c>
    </row>
    <row r="56" spans="1:24">
      <c r="A56" s="12">
        <f>IF(ISNUMBER(rpd),IF(51&lt;=3*rpd,51,""),"")</f>
        <v>0</v>
      </c>
      <c r="B56" s="18">
        <f>IF(ISNUMBER($A56),IF(1&lt;=dias,IFERROR(INDEX($N$6:$N$65,MATCH($A56,$O$6:$O$65,0)),""),"—"),"")</f>
        <v>0</v>
      </c>
      <c r="C56" s="19">
        <f>IF(OR(B56="",B56="—"),"",IF(INDEX(corrientes,MATCH(B56,{"I1","I2","I3"},0))="","",INDEX(corrientes,MATCH(B56,{"I1","I2","I3"},0))))</f>
        <v>0</v>
      </c>
      <c r="D56" s="18">
        <f>IF(ISNUMBER($A56),IF(2&lt;=dias,IFERROR(INDEX($Q$6:$Q$65,MATCH($A56,$R$6:$R$65,0)),""),"—"),"")</f>
        <v>0</v>
      </c>
      <c r="E56" s="19">
        <f>IF(OR(D56="",D56="—"),"",IF(INDEX(corrientes,MATCH(D56,{"I1","I2","I3"},0))="","",INDEX(corrientes,MATCH(D56,{"I1","I2","I3"},0))))</f>
        <v>0</v>
      </c>
      <c r="F56" s="18">
        <f>IF(ISNUMBER($A56),IF(3&lt;=dias,IFERROR(INDEX($T$6:$T$65,MATCH($A56,$U$6:$U$65,0)),""),"—"),"")</f>
        <v>0</v>
      </c>
      <c r="G56" s="19">
        <f>IF(OR(F56="",F56="—"),"",IF(INDEX(corrientes,MATCH(F56,{"I1","I2","I3"},0))="","",INDEX(corrientes,MATCH(F56,{"I1","I2","I3"},0))))</f>
        <v>0</v>
      </c>
      <c r="H56" s="18">
        <f>IF(ISNUMBER($A56),IF(4&lt;=dias,IFERROR(INDEX($W$6:$W$65,MATCH($A56,$X$6:$X$65,0)),""),"—"),"")</f>
        <v>0</v>
      </c>
      <c r="I56" s="19">
        <f>IF(OR(H56="",H56="—"),"",IF(INDEX(corrientes,MATCH(H56,{"I1","I2","I3"},0))="","",INDEX(corrientes,MATCH(H56,{"I1","I2","I3"},0))))</f>
        <v>0</v>
      </c>
      <c r="M56" s="28">
        <f>MOD(ABS(SIN(semilla*12.9898+51*78.233+1*37.719))*43758.5453,1)</f>
        <v>0</v>
      </c>
      <c r="N56" s="22">
        <f>"I"&amp;(MOD(51-1,3)+1)</f>
        <v>0</v>
      </c>
      <c r="O56" s="22">
        <f>IF(ISNUMBER($A56),IF(1&lt;=dias,COUNTIFS($M$6:$M$65,"&lt;"&amp;M56,$A$6:$A$65,"&gt;0")+1,""),"")</f>
        <v>0</v>
      </c>
      <c r="P56" s="28">
        <f>MOD(ABS(SIN(semilla*12.9898+51*78.233+2*37.719))*43758.5453,1)</f>
        <v>0</v>
      </c>
      <c r="Q56" s="22">
        <f>"I"&amp;(MOD(51-1,3)+1)</f>
        <v>0</v>
      </c>
      <c r="R56" s="22">
        <f>IF(ISNUMBER($A56),IF(2&lt;=dias,COUNTIFS($P$6:$P$65,"&lt;"&amp;P56,$A$6:$A$65,"&gt;0")+1,""),"")</f>
        <v>0</v>
      </c>
      <c r="S56" s="28">
        <f>MOD(ABS(SIN(semilla*12.9898+51*78.233+3*37.719))*43758.5453,1)</f>
        <v>0</v>
      </c>
      <c r="T56" s="22">
        <f>"I"&amp;(MOD(51-1,3)+1)</f>
        <v>0</v>
      </c>
      <c r="U56" s="22">
        <f>IF(ISNUMBER($A56),IF(3&lt;=dias,COUNTIFS($S$6:$S$65,"&lt;"&amp;S56,$A$6:$A$65,"&gt;0")+1,""),"")</f>
        <v>0</v>
      </c>
      <c r="V56" s="28">
        <f>MOD(ABS(SIN(semilla*12.9898+51*78.233+4*37.719))*43758.5453,1)</f>
        <v>0</v>
      </c>
      <c r="W56" s="22">
        <f>"I"&amp;(MOD(51-1,3)+1)</f>
        <v>0</v>
      </c>
      <c r="X56" s="22">
        <f>IF(ISNUMBER($A56),IF(4&lt;=dias,COUNTIFS($V$6:$V$65,"&lt;"&amp;V56,$A$6:$A$65,"&gt;0")+1,""),"")</f>
        <v>0</v>
      </c>
    </row>
    <row r="57" spans="1:24">
      <c r="A57" s="12">
        <f>IF(ISNUMBER(rpd),IF(52&lt;=3*rpd,52,""),"")</f>
        <v>0</v>
      </c>
      <c r="B57" s="18">
        <f>IF(ISNUMBER($A57),IF(1&lt;=dias,IFERROR(INDEX($N$6:$N$65,MATCH($A57,$O$6:$O$65,0)),""),"—"),"")</f>
        <v>0</v>
      </c>
      <c r="C57" s="19">
        <f>IF(OR(B57="",B57="—"),"",IF(INDEX(corrientes,MATCH(B57,{"I1","I2","I3"},0))="","",INDEX(corrientes,MATCH(B57,{"I1","I2","I3"},0))))</f>
        <v>0</v>
      </c>
      <c r="D57" s="18">
        <f>IF(ISNUMBER($A57),IF(2&lt;=dias,IFERROR(INDEX($Q$6:$Q$65,MATCH($A57,$R$6:$R$65,0)),""),"—"),"")</f>
        <v>0</v>
      </c>
      <c r="E57" s="19">
        <f>IF(OR(D57="",D57="—"),"",IF(INDEX(corrientes,MATCH(D57,{"I1","I2","I3"},0))="","",INDEX(corrientes,MATCH(D57,{"I1","I2","I3"},0))))</f>
        <v>0</v>
      </c>
      <c r="F57" s="18">
        <f>IF(ISNUMBER($A57),IF(3&lt;=dias,IFERROR(INDEX($T$6:$T$65,MATCH($A57,$U$6:$U$65,0)),""),"—"),"")</f>
        <v>0</v>
      </c>
      <c r="G57" s="19">
        <f>IF(OR(F57="",F57="—"),"",IF(INDEX(corrientes,MATCH(F57,{"I1","I2","I3"},0))="","",INDEX(corrientes,MATCH(F57,{"I1","I2","I3"},0))))</f>
        <v>0</v>
      </c>
      <c r="H57" s="18">
        <f>IF(ISNUMBER($A57),IF(4&lt;=dias,IFERROR(INDEX($W$6:$W$65,MATCH($A57,$X$6:$X$65,0)),""),"—"),"")</f>
        <v>0</v>
      </c>
      <c r="I57" s="19">
        <f>IF(OR(H57="",H57="—"),"",IF(INDEX(corrientes,MATCH(H57,{"I1","I2","I3"},0))="","",INDEX(corrientes,MATCH(H57,{"I1","I2","I3"},0))))</f>
        <v>0</v>
      </c>
      <c r="M57" s="28">
        <f>MOD(ABS(SIN(semilla*12.9898+52*78.233+1*37.719))*43758.5453,1)</f>
        <v>0</v>
      </c>
      <c r="N57" s="22">
        <f>"I"&amp;(MOD(52-1,3)+1)</f>
        <v>0</v>
      </c>
      <c r="O57" s="22">
        <f>IF(ISNUMBER($A57),IF(1&lt;=dias,COUNTIFS($M$6:$M$65,"&lt;"&amp;M57,$A$6:$A$65,"&gt;0")+1,""),"")</f>
        <v>0</v>
      </c>
      <c r="P57" s="28">
        <f>MOD(ABS(SIN(semilla*12.9898+52*78.233+2*37.719))*43758.5453,1)</f>
        <v>0</v>
      </c>
      <c r="Q57" s="22">
        <f>"I"&amp;(MOD(52-1,3)+1)</f>
        <v>0</v>
      </c>
      <c r="R57" s="22">
        <f>IF(ISNUMBER($A57),IF(2&lt;=dias,COUNTIFS($P$6:$P$65,"&lt;"&amp;P57,$A$6:$A$65,"&gt;0")+1,""),"")</f>
        <v>0</v>
      </c>
      <c r="S57" s="28">
        <f>MOD(ABS(SIN(semilla*12.9898+52*78.233+3*37.719))*43758.5453,1)</f>
        <v>0</v>
      </c>
      <c r="T57" s="22">
        <f>"I"&amp;(MOD(52-1,3)+1)</f>
        <v>0</v>
      </c>
      <c r="U57" s="22">
        <f>IF(ISNUMBER($A57),IF(3&lt;=dias,COUNTIFS($S$6:$S$65,"&lt;"&amp;S57,$A$6:$A$65,"&gt;0")+1,""),"")</f>
        <v>0</v>
      </c>
      <c r="V57" s="28">
        <f>MOD(ABS(SIN(semilla*12.9898+52*78.233+4*37.719))*43758.5453,1)</f>
        <v>0</v>
      </c>
      <c r="W57" s="22">
        <f>"I"&amp;(MOD(52-1,3)+1)</f>
        <v>0</v>
      </c>
      <c r="X57" s="22">
        <f>IF(ISNUMBER($A57),IF(4&lt;=dias,COUNTIFS($V$6:$V$65,"&lt;"&amp;V57,$A$6:$A$65,"&gt;0")+1,""),"")</f>
        <v>0</v>
      </c>
    </row>
    <row r="58" spans="1:24">
      <c r="A58" s="12">
        <f>IF(ISNUMBER(rpd),IF(53&lt;=3*rpd,53,""),"")</f>
        <v>0</v>
      </c>
      <c r="B58" s="18">
        <f>IF(ISNUMBER($A58),IF(1&lt;=dias,IFERROR(INDEX($N$6:$N$65,MATCH($A58,$O$6:$O$65,0)),""),"—"),"")</f>
        <v>0</v>
      </c>
      <c r="C58" s="19">
        <f>IF(OR(B58="",B58="—"),"",IF(INDEX(corrientes,MATCH(B58,{"I1","I2","I3"},0))="","",INDEX(corrientes,MATCH(B58,{"I1","I2","I3"},0))))</f>
        <v>0</v>
      </c>
      <c r="D58" s="18">
        <f>IF(ISNUMBER($A58),IF(2&lt;=dias,IFERROR(INDEX($Q$6:$Q$65,MATCH($A58,$R$6:$R$65,0)),""),"—"),"")</f>
        <v>0</v>
      </c>
      <c r="E58" s="19">
        <f>IF(OR(D58="",D58="—"),"",IF(INDEX(corrientes,MATCH(D58,{"I1","I2","I3"},0))="","",INDEX(corrientes,MATCH(D58,{"I1","I2","I3"},0))))</f>
        <v>0</v>
      </c>
      <c r="F58" s="18">
        <f>IF(ISNUMBER($A58),IF(3&lt;=dias,IFERROR(INDEX($T$6:$T$65,MATCH($A58,$U$6:$U$65,0)),""),"—"),"")</f>
        <v>0</v>
      </c>
      <c r="G58" s="19">
        <f>IF(OR(F58="",F58="—"),"",IF(INDEX(corrientes,MATCH(F58,{"I1","I2","I3"},0))="","",INDEX(corrientes,MATCH(F58,{"I1","I2","I3"},0))))</f>
        <v>0</v>
      </c>
      <c r="H58" s="18">
        <f>IF(ISNUMBER($A58),IF(4&lt;=dias,IFERROR(INDEX($W$6:$W$65,MATCH($A58,$X$6:$X$65,0)),""),"—"),"")</f>
        <v>0</v>
      </c>
      <c r="I58" s="19">
        <f>IF(OR(H58="",H58="—"),"",IF(INDEX(corrientes,MATCH(H58,{"I1","I2","I3"},0))="","",INDEX(corrientes,MATCH(H58,{"I1","I2","I3"},0))))</f>
        <v>0</v>
      </c>
      <c r="M58" s="28">
        <f>MOD(ABS(SIN(semilla*12.9898+53*78.233+1*37.719))*43758.5453,1)</f>
        <v>0</v>
      </c>
      <c r="N58" s="22">
        <f>"I"&amp;(MOD(53-1,3)+1)</f>
        <v>0</v>
      </c>
      <c r="O58" s="22">
        <f>IF(ISNUMBER($A58),IF(1&lt;=dias,COUNTIFS($M$6:$M$65,"&lt;"&amp;M58,$A$6:$A$65,"&gt;0")+1,""),"")</f>
        <v>0</v>
      </c>
      <c r="P58" s="28">
        <f>MOD(ABS(SIN(semilla*12.9898+53*78.233+2*37.719))*43758.5453,1)</f>
        <v>0</v>
      </c>
      <c r="Q58" s="22">
        <f>"I"&amp;(MOD(53-1,3)+1)</f>
        <v>0</v>
      </c>
      <c r="R58" s="22">
        <f>IF(ISNUMBER($A58),IF(2&lt;=dias,COUNTIFS($P$6:$P$65,"&lt;"&amp;P58,$A$6:$A$65,"&gt;0")+1,""),"")</f>
        <v>0</v>
      </c>
      <c r="S58" s="28">
        <f>MOD(ABS(SIN(semilla*12.9898+53*78.233+3*37.719))*43758.5453,1)</f>
        <v>0</v>
      </c>
      <c r="T58" s="22">
        <f>"I"&amp;(MOD(53-1,3)+1)</f>
        <v>0</v>
      </c>
      <c r="U58" s="22">
        <f>IF(ISNUMBER($A58),IF(3&lt;=dias,COUNTIFS($S$6:$S$65,"&lt;"&amp;S58,$A$6:$A$65,"&gt;0")+1,""),"")</f>
        <v>0</v>
      </c>
      <c r="V58" s="28">
        <f>MOD(ABS(SIN(semilla*12.9898+53*78.233+4*37.719))*43758.5453,1)</f>
        <v>0</v>
      </c>
      <c r="W58" s="22">
        <f>"I"&amp;(MOD(53-1,3)+1)</f>
        <v>0</v>
      </c>
      <c r="X58" s="22">
        <f>IF(ISNUMBER($A58),IF(4&lt;=dias,COUNTIFS($V$6:$V$65,"&lt;"&amp;V58,$A$6:$A$65,"&gt;0")+1,""),"")</f>
        <v>0</v>
      </c>
    </row>
    <row r="59" spans="1:24">
      <c r="A59" s="12">
        <f>IF(ISNUMBER(rpd),IF(54&lt;=3*rpd,54,""),"")</f>
        <v>0</v>
      </c>
      <c r="B59" s="18">
        <f>IF(ISNUMBER($A59),IF(1&lt;=dias,IFERROR(INDEX($N$6:$N$65,MATCH($A59,$O$6:$O$65,0)),""),"—"),"")</f>
        <v>0</v>
      </c>
      <c r="C59" s="19">
        <f>IF(OR(B59="",B59="—"),"",IF(INDEX(corrientes,MATCH(B59,{"I1","I2","I3"},0))="","",INDEX(corrientes,MATCH(B59,{"I1","I2","I3"},0))))</f>
        <v>0</v>
      </c>
      <c r="D59" s="18">
        <f>IF(ISNUMBER($A59),IF(2&lt;=dias,IFERROR(INDEX($Q$6:$Q$65,MATCH($A59,$R$6:$R$65,0)),""),"—"),"")</f>
        <v>0</v>
      </c>
      <c r="E59" s="19">
        <f>IF(OR(D59="",D59="—"),"",IF(INDEX(corrientes,MATCH(D59,{"I1","I2","I3"},0))="","",INDEX(corrientes,MATCH(D59,{"I1","I2","I3"},0))))</f>
        <v>0</v>
      </c>
      <c r="F59" s="18">
        <f>IF(ISNUMBER($A59),IF(3&lt;=dias,IFERROR(INDEX($T$6:$T$65,MATCH($A59,$U$6:$U$65,0)),""),"—"),"")</f>
        <v>0</v>
      </c>
      <c r="G59" s="19">
        <f>IF(OR(F59="",F59="—"),"",IF(INDEX(corrientes,MATCH(F59,{"I1","I2","I3"},0))="","",INDEX(corrientes,MATCH(F59,{"I1","I2","I3"},0))))</f>
        <v>0</v>
      </c>
      <c r="H59" s="18">
        <f>IF(ISNUMBER($A59),IF(4&lt;=dias,IFERROR(INDEX($W$6:$W$65,MATCH($A59,$X$6:$X$65,0)),""),"—"),"")</f>
        <v>0</v>
      </c>
      <c r="I59" s="19">
        <f>IF(OR(H59="",H59="—"),"",IF(INDEX(corrientes,MATCH(H59,{"I1","I2","I3"},0))="","",INDEX(corrientes,MATCH(H59,{"I1","I2","I3"},0))))</f>
        <v>0</v>
      </c>
      <c r="M59" s="28">
        <f>MOD(ABS(SIN(semilla*12.9898+54*78.233+1*37.719))*43758.5453,1)</f>
        <v>0</v>
      </c>
      <c r="N59" s="22">
        <f>"I"&amp;(MOD(54-1,3)+1)</f>
        <v>0</v>
      </c>
      <c r="O59" s="22">
        <f>IF(ISNUMBER($A59),IF(1&lt;=dias,COUNTIFS($M$6:$M$65,"&lt;"&amp;M59,$A$6:$A$65,"&gt;0")+1,""),"")</f>
        <v>0</v>
      </c>
      <c r="P59" s="28">
        <f>MOD(ABS(SIN(semilla*12.9898+54*78.233+2*37.719))*43758.5453,1)</f>
        <v>0</v>
      </c>
      <c r="Q59" s="22">
        <f>"I"&amp;(MOD(54-1,3)+1)</f>
        <v>0</v>
      </c>
      <c r="R59" s="22">
        <f>IF(ISNUMBER($A59),IF(2&lt;=dias,COUNTIFS($P$6:$P$65,"&lt;"&amp;P59,$A$6:$A$65,"&gt;0")+1,""),"")</f>
        <v>0</v>
      </c>
      <c r="S59" s="28">
        <f>MOD(ABS(SIN(semilla*12.9898+54*78.233+3*37.719))*43758.5453,1)</f>
        <v>0</v>
      </c>
      <c r="T59" s="22">
        <f>"I"&amp;(MOD(54-1,3)+1)</f>
        <v>0</v>
      </c>
      <c r="U59" s="22">
        <f>IF(ISNUMBER($A59),IF(3&lt;=dias,COUNTIFS($S$6:$S$65,"&lt;"&amp;S59,$A$6:$A$65,"&gt;0")+1,""),"")</f>
        <v>0</v>
      </c>
      <c r="V59" s="28">
        <f>MOD(ABS(SIN(semilla*12.9898+54*78.233+4*37.719))*43758.5453,1)</f>
        <v>0</v>
      </c>
      <c r="W59" s="22">
        <f>"I"&amp;(MOD(54-1,3)+1)</f>
        <v>0</v>
      </c>
      <c r="X59" s="22">
        <f>IF(ISNUMBER($A59),IF(4&lt;=dias,COUNTIFS($V$6:$V$65,"&lt;"&amp;V59,$A$6:$A$65,"&gt;0")+1,""),"")</f>
        <v>0</v>
      </c>
    </row>
    <row r="60" spans="1:24">
      <c r="A60" s="12">
        <f>IF(ISNUMBER(rpd),IF(55&lt;=3*rpd,55,""),"")</f>
        <v>0</v>
      </c>
      <c r="B60" s="18">
        <f>IF(ISNUMBER($A60),IF(1&lt;=dias,IFERROR(INDEX($N$6:$N$65,MATCH($A60,$O$6:$O$65,0)),""),"—"),"")</f>
        <v>0</v>
      </c>
      <c r="C60" s="19">
        <f>IF(OR(B60="",B60="—"),"",IF(INDEX(corrientes,MATCH(B60,{"I1","I2","I3"},0))="","",INDEX(corrientes,MATCH(B60,{"I1","I2","I3"},0))))</f>
        <v>0</v>
      </c>
      <c r="D60" s="18">
        <f>IF(ISNUMBER($A60),IF(2&lt;=dias,IFERROR(INDEX($Q$6:$Q$65,MATCH($A60,$R$6:$R$65,0)),""),"—"),"")</f>
        <v>0</v>
      </c>
      <c r="E60" s="19">
        <f>IF(OR(D60="",D60="—"),"",IF(INDEX(corrientes,MATCH(D60,{"I1","I2","I3"},0))="","",INDEX(corrientes,MATCH(D60,{"I1","I2","I3"},0))))</f>
        <v>0</v>
      </c>
      <c r="F60" s="18">
        <f>IF(ISNUMBER($A60),IF(3&lt;=dias,IFERROR(INDEX($T$6:$T$65,MATCH($A60,$U$6:$U$65,0)),""),"—"),"")</f>
        <v>0</v>
      </c>
      <c r="G60" s="19">
        <f>IF(OR(F60="",F60="—"),"",IF(INDEX(corrientes,MATCH(F60,{"I1","I2","I3"},0))="","",INDEX(corrientes,MATCH(F60,{"I1","I2","I3"},0))))</f>
        <v>0</v>
      </c>
      <c r="H60" s="18">
        <f>IF(ISNUMBER($A60),IF(4&lt;=dias,IFERROR(INDEX($W$6:$W$65,MATCH($A60,$X$6:$X$65,0)),""),"—"),"")</f>
        <v>0</v>
      </c>
      <c r="I60" s="19">
        <f>IF(OR(H60="",H60="—"),"",IF(INDEX(corrientes,MATCH(H60,{"I1","I2","I3"},0))="","",INDEX(corrientes,MATCH(H60,{"I1","I2","I3"},0))))</f>
        <v>0</v>
      </c>
      <c r="M60" s="28">
        <f>MOD(ABS(SIN(semilla*12.9898+55*78.233+1*37.719))*43758.5453,1)</f>
        <v>0</v>
      </c>
      <c r="N60" s="22">
        <f>"I"&amp;(MOD(55-1,3)+1)</f>
        <v>0</v>
      </c>
      <c r="O60" s="22">
        <f>IF(ISNUMBER($A60),IF(1&lt;=dias,COUNTIFS($M$6:$M$65,"&lt;"&amp;M60,$A$6:$A$65,"&gt;0")+1,""),"")</f>
        <v>0</v>
      </c>
      <c r="P60" s="28">
        <f>MOD(ABS(SIN(semilla*12.9898+55*78.233+2*37.719))*43758.5453,1)</f>
        <v>0</v>
      </c>
      <c r="Q60" s="22">
        <f>"I"&amp;(MOD(55-1,3)+1)</f>
        <v>0</v>
      </c>
      <c r="R60" s="22">
        <f>IF(ISNUMBER($A60),IF(2&lt;=dias,COUNTIFS($P$6:$P$65,"&lt;"&amp;P60,$A$6:$A$65,"&gt;0")+1,""),"")</f>
        <v>0</v>
      </c>
      <c r="S60" s="28">
        <f>MOD(ABS(SIN(semilla*12.9898+55*78.233+3*37.719))*43758.5453,1)</f>
        <v>0</v>
      </c>
      <c r="T60" s="22">
        <f>"I"&amp;(MOD(55-1,3)+1)</f>
        <v>0</v>
      </c>
      <c r="U60" s="22">
        <f>IF(ISNUMBER($A60),IF(3&lt;=dias,COUNTIFS($S$6:$S$65,"&lt;"&amp;S60,$A$6:$A$65,"&gt;0")+1,""),"")</f>
        <v>0</v>
      </c>
      <c r="V60" s="28">
        <f>MOD(ABS(SIN(semilla*12.9898+55*78.233+4*37.719))*43758.5453,1)</f>
        <v>0</v>
      </c>
      <c r="W60" s="22">
        <f>"I"&amp;(MOD(55-1,3)+1)</f>
        <v>0</v>
      </c>
      <c r="X60" s="22">
        <f>IF(ISNUMBER($A60),IF(4&lt;=dias,COUNTIFS($V$6:$V$65,"&lt;"&amp;V60,$A$6:$A$65,"&gt;0")+1,""),"")</f>
        <v>0</v>
      </c>
    </row>
    <row r="61" spans="1:24">
      <c r="A61" s="12">
        <f>IF(ISNUMBER(rpd),IF(56&lt;=3*rpd,56,""),"")</f>
        <v>0</v>
      </c>
      <c r="B61" s="18">
        <f>IF(ISNUMBER($A61),IF(1&lt;=dias,IFERROR(INDEX($N$6:$N$65,MATCH($A61,$O$6:$O$65,0)),""),"—"),"")</f>
        <v>0</v>
      </c>
      <c r="C61" s="19">
        <f>IF(OR(B61="",B61="—"),"",IF(INDEX(corrientes,MATCH(B61,{"I1","I2","I3"},0))="","",INDEX(corrientes,MATCH(B61,{"I1","I2","I3"},0))))</f>
        <v>0</v>
      </c>
      <c r="D61" s="18">
        <f>IF(ISNUMBER($A61),IF(2&lt;=dias,IFERROR(INDEX($Q$6:$Q$65,MATCH($A61,$R$6:$R$65,0)),""),"—"),"")</f>
        <v>0</v>
      </c>
      <c r="E61" s="19">
        <f>IF(OR(D61="",D61="—"),"",IF(INDEX(corrientes,MATCH(D61,{"I1","I2","I3"},0))="","",INDEX(corrientes,MATCH(D61,{"I1","I2","I3"},0))))</f>
        <v>0</v>
      </c>
      <c r="F61" s="18">
        <f>IF(ISNUMBER($A61),IF(3&lt;=dias,IFERROR(INDEX($T$6:$T$65,MATCH($A61,$U$6:$U$65,0)),""),"—"),"")</f>
        <v>0</v>
      </c>
      <c r="G61" s="19">
        <f>IF(OR(F61="",F61="—"),"",IF(INDEX(corrientes,MATCH(F61,{"I1","I2","I3"},0))="","",INDEX(corrientes,MATCH(F61,{"I1","I2","I3"},0))))</f>
        <v>0</v>
      </c>
      <c r="H61" s="18">
        <f>IF(ISNUMBER($A61),IF(4&lt;=dias,IFERROR(INDEX($W$6:$W$65,MATCH($A61,$X$6:$X$65,0)),""),"—"),"")</f>
        <v>0</v>
      </c>
      <c r="I61" s="19">
        <f>IF(OR(H61="",H61="—"),"",IF(INDEX(corrientes,MATCH(H61,{"I1","I2","I3"},0))="","",INDEX(corrientes,MATCH(H61,{"I1","I2","I3"},0))))</f>
        <v>0</v>
      </c>
      <c r="M61" s="28">
        <f>MOD(ABS(SIN(semilla*12.9898+56*78.233+1*37.719))*43758.5453,1)</f>
        <v>0</v>
      </c>
      <c r="N61" s="22">
        <f>"I"&amp;(MOD(56-1,3)+1)</f>
        <v>0</v>
      </c>
      <c r="O61" s="22">
        <f>IF(ISNUMBER($A61),IF(1&lt;=dias,COUNTIFS($M$6:$M$65,"&lt;"&amp;M61,$A$6:$A$65,"&gt;0")+1,""),"")</f>
        <v>0</v>
      </c>
      <c r="P61" s="28">
        <f>MOD(ABS(SIN(semilla*12.9898+56*78.233+2*37.719))*43758.5453,1)</f>
        <v>0</v>
      </c>
      <c r="Q61" s="22">
        <f>"I"&amp;(MOD(56-1,3)+1)</f>
        <v>0</v>
      </c>
      <c r="R61" s="22">
        <f>IF(ISNUMBER($A61),IF(2&lt;=dias,COUNTIFS($P$6:$P$65,"&lt;"&amp;P61,$A$6:$A$65,"&gt;0")+1,""),"")</f>
        <v>0</v>
      </c>
      <c r="S61" s="28">
        <f>MOD(ABS(SIN(semilla*12.9898+56*78.233+3*37.719))*43758.5453,1)</f>
        <v>0</v>
      </c>
      <c r="T61" s="22">
        <f>"I"&amp;(MOD(56-1,3)+1)</f>
        <v>0</v>
      </c>
      <c r="U61" s="22">
        <f>IF(ISNUMBER($A61),IF(3&lt;=dias,COUNTIFS($S$6:$S$65,"&lt;"&amp;S61,$A$6:$A$65,"&gt;0")+1,""),"")</f>
        <v>0</v>
      </c>
      <c r="V61" s="28">
        <f>MOD(ABS(SIN(semilla*12.9898+56*78.233+4*37.719))*43758.5453,1)</f>
        <v>0</v>
      </c>
      <c r="W61" s="22">
        <f>"I"&amp;(MOD(56-1,3)+1)</f>
        <v>0</v>
      </c>
      <c r="X61" s="22">
        <f>IF(ISNUMBER($A61),IF(4&lt;=dias,COUNTIFS($V$6:$V$65,"&lt;"&amp;V61,$A$6:$A$65,"&gt;0")+1,""),"")</f>
        <v>0</v>
      </c>
    </row>
    <row r="62" spans="1:24">
      <c r="A62" s="12">
        <f>IF(ISNUMBER(rpd),IF(57&lt;=3*rpd,57,""),"")</f>
        <v>0</v>
      </c>
      <c r="B62" s="18">
        <f>IF(ISNUMBER($A62),IF(1&lt;=dias,IFERROR(INDEX($N$6:$N$65,MATCH($A62,$O$6:$O$65,0)),""),"—"),"")</f>
        <v>0</v>
      </c>
      <c r="C62" s="19">
        <f>IF(OR(B62="",B62="—"),"",IF(INDEX(corrientes,MATCH(B62,{"I1","I2","I3"},0))="","",INDEX(corrientes,MATCH(B62,{"I1","I2","I3"},0))))</f>
        <v>0</v>
      </c>
      <c r="D62" s="18">
        <f>IF(ISNUMBER($A62),IF(2&lt;=dias,IFERROR(INDEX($Q$6:$Q$65,MATCH($A62,$R$6:$R$65,0)),""),"—"),"")</f>
        <v>0</v>
      </c>
      <c r="E62" s="19">
        <f>IF(OR(D62="",D62="—"),"",IF(INDEX(corrientes,MATCH(D62,{"I1","I2","I3"},0))="","",INDEX(corrientes,MATCH(D62,{"I1","I2","I3"},0))))</f>
        <v>0</v>
      </c>
      <c r="F62" s="18">
        <f>IF(ISNUMBER($A62),IF(3&lt;=dias,IFERROR(INDEX($T$6:$T$65,MATCH($A62,$U$6:$U$65,0)),""),"—"),"")</f>
        <v>0</v>
      </c>
      <c r="G62" s="19">
        <f>IF(OR(F62="",F62="—"),"",IF(INDEX(corrientes,MATCH(F62,{"I1","I2","I3"},0))="","",INDEX(corrientes,MATCH(F62,{"I1","I2","I3"},0))))</f>
        <v>0</v>
      </c>
      <c r="H62" s="18">
        <f>IF(ISNUMBER($A62),IF(4&lt;=dias,IFERROR(INDEX($W$6:$W$65,MATCH($A62,$X$6:$X$65,0)),""),"—"),"")</f>
        <v>0</v>
      </c>
      <c r="I62" s="19">
        <f>IF(OR(H62="",H62="—"),"",IF(INDEX(corrientes,MATCH(H62,{"I1","I2","I3"},0))="","",INDEX(corrientes,MATCH(H62,{"I1","I2","I3"},0))))</f>
        <v>0</v>
      </c>
      <c r="M62" s="28">
        <f>MOD(ABS(SIN(semilla*12.9898+57*78.233+1*37.719))*43758.5453,1)</f>
        <v>0</v>
      </c>
      <c r="N62" s="22">
        <f>"I"&amp;(MOD(57-1,3)+1)</f>
        <v>0</v>
      </c>
      <c r="O62" s="22">
        <f>IF(ISNUMBER($A62),IF(1&lt;=dias,COUNTIFS($M$6:$M$65,"&lt;"&amp;M62,$A$6:$A$65,"&gt;0")+1,""),"")</f>
        <v>0</v>
      </c>
      <c r="P62" s="28">
        <f>MOD(ABS(SIN(semilla*12.9898+57*78.233+2*37.719))*43758.5453,1)</f>
        <v>0</v>
      </c>
      <c r="Q62" s="22">
        <f>"I"&amp;(MOD(57-1,3)+1)</f>
        <v>0</v>
      </c>
      <c r="R62" s="22">
        <f>IF(ISNUMBER($A62),IF(2&lt;=dias,COUNTIFS($P$6:$P$65,"&lt;"&amp;P62,$A$6:$A$65,"&gt;0")+1,""),"")</f>
        <v>0</v>
      </c>
      <c r="S62" s="28">
        <f>MOD(ABS(SIN(semilla*12.9898+57*78.233+3*37.719))*43758.5453,1)</f>
        <v>0</v>
      </c>
      <c r="T62" s="22">
        <f>"I"&amp;(MOD(57-1,3)+1)</f>
        <v>0</v>
      </c>
      <c r="U62" s="22">
        <f>IF(ISNUMBER($A62),IF(3&lt;=dias,COUNTIFS($S$6:$S$65,"&lt;"&amp;S62,$A$6:$A$65,"&gt;0")+1,""),"")</f>
        <v>0</v>
      </c>
      <c r="V62" s="28">
        <f>MOD(ABS(SIN(semilla*12.9898+57*78.233+4*37.719))*43758.5453,1)</f>
        <v>0</v>
      </c>
      <c r="W62" s="22">
        <f>"I"&amp;(MOD(57-1,3)+1)</f>
        <v>0</v>
      </c>
      <c r="X62" s="22">
        <f>IF(ISNUMBER($A62),IF(4&lt;=dias,COUNTIFS($V$6:$V$65,"&lt;"&amp;V62,$A$6:$A$65,"&gt;0")+1,""),"")</f>
        <v>0</v>
      </c>
    </row>
    <row r="63" spans="1:24">
      <c r="A63" s="12">
        <f>IF(ISNUMBER(rpd),IF(58&lt;=3*rpd,58,""),"")</f>
        <v>0</v>
      </c>
      <c r="B63" s="18">
        <f>IF(ISNUMBER($A63),IF(1&lt;=dias,IFERROR(INDEX($N$6:$N$65,MATCH($A63,$O$6:$O$65,0)),""),"—"),"")</f>
        <v>0</v>
      </c>
      <c r="C63" s="19">
        <f>IF(OR(B63="",B63="—"),"",IF(INDEX(corrientes,MATCH(B63,{"I1","I2","I3"},0))="","",INDEX(corrientes,MATCH(B63,{"I1","I2","I3"},0))))</f>
        <v>0</v>
      </c>
      <c r="D63" s="18">
        <f>IF(ISNUMBER($A63),IF(2&lt;=dias,IFERROR(INDEX($Q$6:$Q$65,MATCH($A63,$R$6:$R$65,0)),""),"—"),"")</f>
        <v>0</v>
      </c>
      <c r="E63" s="19">
        <f>IF(OR(D63="",D63="—"),"",IF(INDEX(corrientes,MATCH(D63,{"I1","I2","I3"},0))="","",INDEX(corrientes,MATCH(D63,{"I1","I2","I3"},0))))</f>
        <v>0</v>
      </c>
      <c r="F63" s="18">
        <f>IF(ISNUMBER($A63),IF(3&lt;=dias,IFERROR(INDEX($T$6:$T$65,MATCH($A63,$U$6:$U$65,0)),""),"—"),"")</f>
        <v>0</v>
      </c>
      <c r="G63" s="19">
        <f>IF(OR(F63="",F63="—"),"",IF(INDEX(corrientes,MATCH(F63,{"I1","I2","I3"},0))="","",INDEX(corrientes,MATCH(F63,{"I1","I2","I3"},0))))</f>
        <v>0</v>
      </c>
      <c r="H63" s="18">
        <f>IF(ISNUMBER($A63),IF(4&lt;=dias,IFERROR(INDEX($W$6:$W$65,MATCH($A63,$X$6:$X$65,0)),""),"—"),"")</f>
        <v>0</v>
      </c>
      <c r="I63" s="19">
        <f>IF(OR(H63="",H63="—"),"",IF(INDEX(corrientes,MATCH(H63,{"I1","I2","I3"},0))="","",INDEX(corrientes,MATCH(H63,{"I1","I2","I3"},0))))</f>
        <v>0</v>
      </c>
      <c r="M63" s="28">
        <f>MOD(ABS(SIN(semilla*12.9898+58*78.233+1*37.719))*43758.5453,1)</f>
        <v>0</v>
      </c>
      <c r="N63" s="22">
        <f>"I"&amp;(MOD(58-1,3)+1)</f>
        <v>0</v>
      </c>
      <c r="O63" s="22">
        <f>IF(ISNUMBER($A63),IF(1&lt;=dias,COUNTIFS($M$6:$M$65,"&lt;"&amp;M63,$A$6:$A$65,"&gt;0")+1,""),"")</f>
        <v>0</v>
      </c>
      <c r="P63" s="28">
        <f>MOD(ABS(SIN(semilla*12.9898+58*78.233+2*37.719))*43758.5453,1)</f>
        <v>0</v>
      </c>
      <c r="Q63" s="22">
        <f>"I"&amp;(MOD(58-1,3)+1)</f>
        <v>0</v>
      </c>
      <c r="R63" s="22">
        <f>IF(ISNUMBER($A63),IF(2&lt;=dias,COUNTIFS($P$6:$P$65,"&lt;"&amp;P63,$A$6:$A$65,"&gt;0")+1,""),"")</f>
        <v>0</v>
      </c>
      <c r="S63" s="28">
        <f>MOD(ABS(SIN(semilla*12.9898+58*78.233+3*37.719))*43758.5453,1)</f>
        <v>0</v>
      </c>
      <c r="T63" s="22">
        <f>"I"&amp;(MOD(58-1,3)+1)</f>
        <v>0</v>
      </c>
      <c r="U63" s="22">
        <f>IF(ISNUMBER($A63),IF(3&lt;=dias,COUNTIFS($S$6:$S$65,"&lt;"&amp;S63,$A$6:$A$65,"&gt;0")+1,""),"")</f>
        <v>0</v>
      </c>
      <c r="V63" s="28">
        <f>MOD(ABS(SIN(semilla*12.9898+58*78.233+4*37.719))*43758.5453,1)</f>
        <v>0</v>
      </c>
      <c r="W63" s="22">
        <f>"I"&amp;(MOD(58-1,3)+1)</f>
        <v>0</v>
      </c>
      <c r="X63" s="22">
        <f>IF(ISNUMBER($A63),IF(4&lt;=dias,COUNTIFS($V$6:$V$65,"&lt;"&amp;V63,$A$6:$A$65,"&gt;0")+1,""),"")</f>
        <v>0</v>
      </c>
    </row>
    <row r="64" spans="1:24">
      <c r="A64" s="12">
        <f>IF(ISNUMBER(rpd),IF(59&lt;=3*rpd,59,""),"")</f>
        <v>0</v>
      </c>
      <c r="B64" s="18">
        <f>IF(ISNUMBER($A64),IF(1&lt;=dias,IFERROR(INDEX($N$6:$N$65,MATCH($A64,$O$6:$O$65,0)),""),"—"),"")</f>
        <v>0</v>
      </c>
      <c r="C64" s="19">
        <f>IF(OR(B64="",B64="—"),"",IF(INDEX(corrientes,MATCH(B64,{"I1","I2","I3"},0))="","",INDEX(corrientes,MATCH(B64,{"I1","I2","I3"},0))))</f>
        <v>0</v>
      </c>
      <c r="D64" s="18">
        <f>IF(ISNUMBER($A64),IF(2&lt;=dias,IFERROR(INDEX($Q$6:$Q$65,MATCH($A64,$R$6:$R$65,0)),""),"—"),"")</f>
        <v>0</v>
      </c>
      <c r="E64" s="19">
        <f>IF(OR(D64="",D64="—"),"",IF(INDEX(corrientes,MATCH(D64,{"I1","I2","I3"},0))="","",INDEX(corrientes,MATCH(D64,{"I1","I2","I3"},0))))</f>
        <v>0</v>
      </c>
      <c r="F64" s="18">
        <f>IF(ISNUMBER($A64),IF(3&lt;=dias,IFERROR(INDEX($T$6:$T$65,MATCH($A64,$U$6:$U$65,0)),""),"—"),"")</f>
        <v>0</v>
      </c>
      <c r="G64" s="19">
        <f>IF(OR(F64="",F64="—"),"",IF(INDEX(corrientes,MATCH(F64,{"I1","I2","I3"},0))="","",INDEX(corrientes,MATCH(F64,{"I1","I2","I3"},0))))</f>
        <v>0</v>
      </c>
      <c r="H64" s="18">
        <f>IF(ISNUMBER($A64),IF(4&lt;=dias,IFERROR(INDEX($W$6:$W$65,MATCH($A64,$X$6:$X$65,0)),""),"—"),"")</f>
        <v>0</v>
      </c>
      <c r="I64" s="19">
        <f>IF(OR(H64="",H64="—"),"",IF(INDEX(corrientes,MATCH(H64,{"I1","I2","I3"},0))="","",INDEX(corrientes,MATCH(H64,{"I1","I2","I3"},0))))</f>
        <v>0</v>
      </c>
      <c r="M64" s="28">
        <f>MOD(ABS(SIN(semilla*12.9898+59*78.233+1*37.719))*43758.5453,1)</f>
        <v>0</v>
      </c>
      <c r="N64" s="22">
        <f>"I"&amp;(MOD(59-1,3)+1)</f>
        <v>0</v>
      </c>
      <c r="O64" s="22">
        <f>IF(ISNUMBER($A64),IF(1&lt;=dias,COUNTIFS($M$6:$M$65,"&lt;"&amp;M64,$A$6:$A$65,"&gt;0")+1,""),"")</f>
        <v>0</v>
      </c>
      <c r="P64" s="28">
        <f>MOD(ABS(SIN(semilla*12.9898+59*78.233+2*37.719))*43758.5453,1)</f>
        <v>0</v>
      </c>
      <c r="Q64" s="22">
        <f>"I"&amp;(MOD(59-1,3)+1)</f>
        <v>0</v>
      </c>
      <c r="R64" s="22">
        <f>IF(ISNUMBER($A64),IF(2&lt;=dias,COUNTIFS($P$6:$P$65,"&lt;"&amp;P64,$A$6:$A$65,"&gt;0")+1,""),"")</f>
        <v>0</v>
      </c>
      <c r="S64" s="28">
        <f>MOD(ABS(SIN(semilla*12.9898+59*78.233+3*37.719))*43758.5453,1)</f>
        <v>0</v>
      </c>
      <c r="T64" s="22">
        <f>"I"&amp;(MOD(59-1,3)+1)</f>
        <v>0</v>
      </c>
      <c r="U64" s="22">
        <f>IF(ISNUMBER($A64),IF(3&lt;=dias,COUNTIFS($S$6:$S$65,"&lt;"&amp;S64,$A$6:$A$65,"&gt;0")+1,""),"")</f>
        <v>0</v>
      </c>
      <c r="V64" s="28">
        <f>MOD(ABS(SIN(semilla*12.9898+59*78.233+4*37.719))*43758.5453,1)</f>
        <v>0</v>
      </c>
      <c r="W64" s="22">
        <f>"I"&amp;(MOD(59-1,3)+1)</f>
        <v>0</v>
      </c>
      <c r="X64" s="22">
        <f>IF(ISNUMBER($A64),IF(4&lt;=dias,COUNTIFS($V$6:$V$65,"&lt;"&amp;V64,$A$6:$A$65,"&gt;0")+1,""),"")</f>
        <v>0</v>
      </c>
    </row>
    <row r="65" spans="1:24">
      <c r="A65" s="12">
        <f>IF(ISNUMBER(rpd),IF(60&lt;=3*rpd,60,""),"")</f>
        <v>0</v>
      </c>
      <c r="B65" s="18">
        <f>IF(ISNUMBER($A65),IF(1&lt;=dias,IFERROR(INDEX($N$6:$N$65,MATCH($A65,$O$6:$O$65,0)),""),"—"),"")</f>
        <v>0</v>
      </c>
      <c r="C65" s="19">
        <f>IF(OR(B65="",B65="—"),"",IF(INDEX(corrientes,MATCH(B65,{"I1","I2","I3"},0))="","",INDEX(corrientes,MATCH(B65,{"I1","I2","I3"},0))))</f>
        <v>0</v>
      </c>
      <c r="D65" s="18">
        <f>IF(ISNUMBER($A65),IF(2&lt;=dias,IFERROR(INDEX($Q$6:$Q$65,MATCH($A65,$R$6:$R$65,0)),""),"—"),"")</f>
        <v>0</v>
      </c>
      <c r="E65" s="19">
        <f>IF(OR(D65="",D65="—"),"",IF(INDEX(corrientes,MATCH(D65,{"I1","I2","I3"},0))="","",INDEX(corrientes,MATCH(D65,{"I1","I2","I3"},0))))</f>
        <v>0</v>
      </c>
      <c r="F65" s="18">
        <f>IF(ISNUMBER($A65),IF(3&lt;=dias,IFERROR(INDEX($T$6:$T$65,MATCH($A65,$U$6:$U$65,0)),""),"—"),"")</f>
        <v>0</v>
      </c>
      <c r="G65" s="19">
        <f>IF(OR(F65="",F65="—"),"",IF(INDEX(corrientes,MATCH(F65,{"I1","I2","I3"},0))="","",INDEX(corrientes,MATCH(F65,{"I1","I2","I3"},0))))</f>
        <v>0</v>
      </c>
      <c r="H65" s="18">
        <f>IF(ISNUMBER($A65),IF(4&lt;=dias,IFERROR(INDEX($W$6:$W$65,MATCH($A65,$X$6:$X$65,0)),""),"—"),"")</f>
        <v>0</v>
      </c>
      <c r="I65" s="19">
        <f>IF(OR(H65="",H65="—"),"",IF(INDEX(corrientes,MATCH(H65,{"I1","I2","I3"},0))="","",INDEX(corrientes,MATCH(H65,{"I1","I2","I3"},0))))</f>
        <v>0</v>
      </c>
      <c r="M65" s="28">
        <f>MOD(ABS(SIN(semilla*12.9898+60*78.233+1*37.719))*43758.5453,1)</f>
        <v>0</v>
      </c>
      <c r="N65" s="22">
        <f>"I"&amp;(MOD(60-1,3)+1)</f>
        <v>0</v>
      </c>
      <c r="O65" s="22">
        <f>IF(ISNUMBER($A65),IF(1&lt;=dias,COUNTIFS($M$6:$M$65,"&lt;"&amp;M65,$A$6:$A$65,"&gt;0")+1,""),"")</f>
        <v>0</v>
      </c>
      <c r="P65" s="28">
        <f>MOD(ABS(SIN(semilla*12.9898+60*78.233+2*37.719))*43758.5453,1)</f>
        <v>0</v>
      </c>
      <c r="Q65" s="22">
        <f>"I"&amp;(MOD(60-1,3)+1)</f>
        <v>0</v>
      </c>
      <c r="R65" s="22">
        <f>IF(ISNUMBER($A65),IF(2&lt;=dias,COUNTIFS($P$6:$P$65,"&lt;"&amp;P65,$A$6:$A$65,"&gt;0")+1,""),"")</f>
        <v>0</v>
      </c>
      <c r="S65" s="28">
        <f>MOD(ABS(SIN(semilla*12.9898+60*78.233+3*37.719))*43758.5453,1)</f>
        <v>0</v>
      </c>
      <c r="T65" s="22">
        <f>"I"&amp;(MOD(60-1,3)+1)</f>
        <v>0</v>
      </c>
      <c r="U65" s="22">
        <f>IF(ISNUMBER($A65),IF(3&lt;=dias,COUNTIFS($S$6:$S$65,"&lt;"&amp;S65,$A$6:$A$65,"&gt;0")+1,""),"")</f>
        <v>0</v>
      </c>
      <c r="V65" s="28">
        <f>MOD(ABS(SIN(semilla*12.9898+60*78.233+4*37.719))*43758.5453,1)</f>
        <v>0</v>
      </c>
      <c r="W65" s="22">
        <f>"I"&amp;(MOD(60-1,3)+1)</f>
        <v>0</v>
      </c>
      <c r="X65" s="22">
        <f>IF(ISNUMBER($A65),IF(4&lt;=dias,COUNTIFS($V$6:$V$65,"&lt;"&amp;V65,$A$6:$A$65,"&gt;0")+1,""),"")</f>
        <v>0</v>
      </c>
    </row>
  </sheetData>
  <mergeCells count="5">
    <mergeCell ref="A3:I3"/>
    <mergeCell ref="B4:C4"/>
    <mergeCell ref="D4:E4"/>
    <mergeCell ref="F4:G4"/>
    <mergeCell ref="H4:I4"/>
  </mergeCells>
  <conditionalFormatting sqref="B6:B65">
    <cfRule type="cellIs" dxfId="4" priority="1" operator="equal">
      <formula>"I1"</formula>
    </cfRule>
    <cfRule type="cellIs" dxfId="5" priority="2" operator="equal">
      <formula>"I2"</formula>
    </cfRule>
    <cfRule type="cellIs" dxfId="6" priority="3" operator="equal">
      <formula>"I3"</formula>
    </cfRule>
  </conditionalFormatting>
  <conditionalFormatting sqref="D6:D65">
    <cfRule type="cellIs" dxfId="4" priority="4" operator="equal">
      <formula>"I1"</formula>
    </cfRule>
    <cfRule type="cellIs" dxfId="5" priority="5" operator="equal">
      <formula>"I2"</formula>
    </cfRule>
    <cfRule type="cellIs" dxfId="6" priority="6" operator="equal">
      <formula>"I3"</formula>
    </cfRule>
  </conditionalFormatting>
  <conditionalFormatting sqref="F6:F65">
    <cfRule type="cellIs" dxfId="4" priority="7" operator="equal">
      <formula>"I1"</formula>
    </cfRule>
    <cfRule type="cellIs" dxfId="5" priority="8" operator="equal">
      <formula>"I2"</formula>
    </cfRule>
    <cfRule type="cellIs" dxfId="6" priority="9" operator="equal">
      <formula>"I3"</formula>
    </cfRule>
  </conditionalFormatting>
  <conditionalFormatting sqref="H6:H65">
    <cfRule type="cellIs" dxfId="4" priority="10" operator="equal">
      <formula>"I1"</formula>
    </cfRule>
    <cfRule type="cellIs" dxfId="5" priority="11" operator="equal">
      <formula>"I2"</formula>
    </cfRule>
    <cfRule type="cellIs" dxfId="6" priority="12" operator="equal">
      <formula>"I3"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outlineLevelCol="1"/>
  <cols>
    <col min="1" max="1" width="5.7109375" customWidth="1"/>
    <col min="2" max="4" width="9.7109375" customWidth="1"/>
    <col min="5" max="16" width="11.7109375" customWidth="1"/>
    <col min="18" max="21" width="10.7109375" hidden="1" customWidth="1" outlineLevel="1"/>
  </cols>
  <sheetData>
    <row r="1" spans="1:21">
      <c r="A1" s="1" t="s">
        <v>250</v>
      </c>
    </row>
    <row r="2" spans="1:21">
      <c r="A2" s="2" t="s">
        <v>251</v>
      </c>
    </row>
    <row r="4" spans="1:21" ht="42" customHeight="1">
      <c r="A4" s="6" t="s">
        <v>139</v>
      </c>
      <c r="B4" s="6" t="s">
        <v>140</v>
      </c>
      <c r="C4" s="6" t="s">
        <v>141</v>
      </c>
      <c r="D4" s="6" t="s">
        <v>146</v>
      </c>
      <c r="E4" s="6" t="s">
        <v>252</v>
      </c>
      <c r="F4" s="6" t="s">
        <v>253</v>
      </c>
      <c r="G4" s="6" t="s">
        <v>254</v>
      </c>
      <c r="H4" s="6" t="s">
        <v>148</v>
      </c>
      <c r="I4" s="6" t="s">
        <v>255</v>
      </c>
      <c r="J4" s="6" t="s">
        <v>256</v>
      </c>
      <c r="K4" s="6" t="s">
        <v>257</v>
      </c>
      <c r="L4" s="6" t="s">
        <v>258</v>
      </c>
      <c r="M4" s="6" t="s">
        <v>259</v>
      </c>
      <c r="N4" s="6" t="s">
        <v>260</v>
      </c>
      <c r="O4" s="6" t="s">
        <v>258</v>
      </c>
      <c r="P4" s="6" t="s">
        <v>261</v>
      </c>
      <c r="R4" s="6" t="s">
        <v>262</v>
      </c>
      <c r="S4" s="6" t="s">
        <v>263</v>
      </c>
      <c r="T4" s="6" t="s">
        <v>264</v>
      </c>
      <c r="U4" s="6" t="s">
        <v>265</v>
      </c>
    </row>
    <row r="5" spans="1:21">
      <c r="A5" s="12">
        <f>'Registro piloto'!A5</f>
        <v>0</v>
      </c>
      <c r="B5" s="18" t="s">
        <v>151</v>
      </c>
      <c r="C5" s="18">
        <f>'Registro piloto'!C5</f>
        <v>0</v>
      </c>
      <c r="D5" s="18">
        <f>'Registro piloto'!H5</f>
        <v>0</v>
      </c>
      <c r="E5" s="12">
        <f>'R01'!$M$2</f>
        <v>0</v>
      </c>
      <c r="F5" s="17">
        <f>IF('R01'!$M$2&gt;1,(MAX('R01'!$C$2:$C$301)-MIN('R01'!$C$2:$C$301))/('R01'!$M$2-1),"")</f>
        <v>0</v>
      </c>
      <c r="G5" s="12">
        <f>IF('R01'!$M$2&gt;0,'R01'!$M$16,"")</f>
        <v>0</v>
      </c>
      <c r="H5" s="16">
        <f>IFERROR('R01'!$M$12+0,"")</f>
        <v>0</v>
      </c>
      <c r="I5" s="17">
        <f>IF(ISNUMBER(H5),factor_forma*H5,"")</f>
        <v>0</v>
      </c>
      <c r="J5" s="17">
        <f>IF(ISNUMBER(H5),0.7071*H5,"")</f>
        <v>0</v>
      </c>
      <c r="K5" s="29">
        <v>18.64498413485211</v>
      </c>
      <c r="L5" s="29">
        <v>43038.48765439873</v>
      </c>
      <c r="M5" s="30">
        <v>0.2199942706964843</v>
      </c>
      <c r="N5" s="29">
        <v>29.8635664974917</v>
      </c>
      <c r="O5" s="29">
        <v>88871.47177539892</v>
      </c>
      <c r="P5" s="30">
        <v>0.2199945342173106</v>
      </c>
      <c r="R5" s="22">
        <f>IF(AND($D5="Sí",ISNUMBER(I5)),(I5-AVERAGEIFS($I$5:$I$19,$C$5:$C$19,$C5,$D$5:$D$19,"Sí"))^2,0)</f>
        <v>0</v>
      </c>
      <c r="S5" s="22">
        <f>IF(AND($D5="Sí",ISNUMBER(K5)),(K5-AVERAGEIFS($K$5:$K$19,$C$5:$C$19,$C5,$D$5:$D$19,"Sí"))^2,0)</f>
        <v>0</v>
      </c>
      <c r="T5" s="22">
        <f>IF(AND($D5="Sí",ISNUMBER(J5)),(J5-AVERAGEIFS($J$5:$J$19,$C$5:$C$19,$C5,$D$5:$D$19,"Sí"))^2,0)</f>
        <v>0</v>
      </c>
      <c r="U5" s="22">
        <f>IF(AND($D5="Sí",ISNUMBER(N5)),(N5-AVERAGEIFS($N$5:$N$19,$C$5:$C$19,$C5,$D$5:$D$19,"Sí"))^2,0)</f>
        <v>0</v>
      </c>
    </row>
    <row r="6" spans="1:21">
      <c r="A6" s="12">
        <f>'Registro piloto'!A6</f>
        <v>0</v>
      </c>
      <c r="B6" s="18" t="s">
        <v>154</v>
      </c>
      <c r="C6" s="18">
        <f>'Registro piloto'!C6</f>
        <v>0</v>
      </c>
      <c r="D6" s="18">
        <f>'Registro piloto'!H6</f>
        <v>0</v>
      </c>
      <c r="E6" s="12">
        <f>'R02'!$M$2</f>
        <v>0</v>
      </c>
      <c r="F6" s="17">
        <f>IF('R02'!$M$2&gt;1,(MAX('R02'!$C$2:$C$301)-MIN('R02'!$C$2:$C$301))/('R02'!$M$2-1),"")</f>
        <v>0</v>
      </c>
      <c r="G6" s="12">
        <f>IF('R02'!$M$2&gt;0,'R02'!$M$16,"")</f>
        <v>0</v>
      </c>
      <c r="H6" s="16">
        <f>IFERROR('R02'!$M$12+0,"")</f>
        <v>0</v>
      </c>
      <c r="I6" s="17">
        <f>IF(ISNUMBER(H6),factor_forma*H6,"")</f>
        <v>0</v>
      </c>
      <c r="J6" s="17">
        <f>IF(ISNUMBER(H6),0.7071*H6,"")</f>
        <v>0</v>
      </c>
      <c r="K6" s="29"/>
      <c r="L6" s="29"/>
      <c r="M6" s="29"/>
      <c r="N6" s="29"/>
      <c r="O6" s="29"/>
      <c r="P6" s="29"/>
      <c r="R6" s="22">
        <f>IF(AND($D6="Sí",ISNUMBER(I6)),(I6-AVERAGEIFS($I$5:$I$19,$C$5:$C$19,$C6,$D$5:$D$19,"Sí"))^2,0)</f>
        <v>0</v>
      </c>
      <c r="S6" s="22">
        <f>IF(AND($D6="Sí",ISNUMBER(K6)),(K6-AVERAGEIFS($K$5:$K$19,$C$5:$C$19,$C6,$D$5:$D$19,"Sí"))^2,0)</f>
        <v>0</v>
      </c>
      <c r="T6" s="22">
        <f>IF(AND($D6="Sí",ISNUMBER(J6)),(J6-AVERAGEIFS($J$5:$J$19,$C$5:$C$19,$C6,$D$5:$D$19,"Sí"))^2,0)</f>
        <v>0</v>
      </c>
      <c r="U6" s="22">
        <f>IF(AND($D6="Sí",ISNUMBER(N6)),(N6-AVERAGEIFS($N$5:$N$19,$C$5:$C$19,$C6,$D$5:$D$19,"Sí"))^2,0)</f>
        <v>0</v>
      </c>
    </row>
    <row r="7" spans="1:21">
      <c r="A7" s="12">
        <f>'Registro piloto'!A7</f>
        <v>0</v>
      </c>
      <c r="B7" s="18" t="s">
        <v>156</v>
      </c>
      <c r="C7" s="18">
        <f>'Registro piloto'!C7</f>
        <v>0</v>
      </c>
      <c r="D7" s="18">
        <f>'Registro piloto'!H7</f>
        <v>0</v>
      </c>
      <c r="E7" s="12">
        <f>'R03'!$M$2</f>
        <v>0</v>
      </c>
      <c r="F7" s="17">
        <f>IF('R03'!$M$2&gt;1,(MAX('R03'!$C$2:$C$301)-MIN('R03'!$C$2:$C$301))/('R03'!$M$2-1),"")</f>
        <v>0</v>
      </c>
      <c r="G7" s="12">
        <f>IF('R03'!$M$2&gt;0,'R03'!$M$16,"")</f>
        <v>0</v>
      </c>
      <c r="H7" s="16">
        <f>IFERROR('R03'!$M$12+0,"")</f>
        <v>0</v>
      </c>
      <c r="I7" s="17">
        <f>IF(ISNUMBER(H7),factor_forma*H7,"")</f>
        <v>0</v>
      </c>
      <c r="J7" s="17">
        <f>IF(ISNUMBER(H7),0.7071*H7,"")</f>
        <v>0</v>
      </c>
      <c r="K7" s="29"/>
      <c r="L7" s="29"/>
      <c r="M7" s="29"/>
      <c r="N7" s="29"/>
      <c r="O7" s="29"/>
      <c r="P7" s="29"/>
      <c r="R7" s="22">
        <f>IF(AND($D7="Sí",ISNUMBER(I7)),(I7-AVERAGEIFS($I$5:$I$19,$C$5:$C$19,$C7,$D$5:$D$19,"Sí"))^2,0)</f>
        <v>0</v>
      </c>
      <c r="S7" s="22">
        <f>IF(AND($D7="Sí",ISNUMBER(K7)),(K7-AVERAGEIFS($K$5:$K$19,$C$5:$C$19,$C7,$D$5:$D$19,"Sí"))^2,0)</f>
        <v>0</v>
      </c>
      <c r="T7" s="22">
        <f>IF(AND($D7="Sí",ISNUMBER(J7)),(J7-AVERAGEIFS($J$5:$J$19,$C$5:$C$19,$C7,$D$5:$D$19,"Sí"))^2,0)</f>
        <v>0</v>
      </c>
      <c r="U7" s="22">
        <f>IF(AND($D7="Sí",ISNUMBER(N7)),(N7-AVERAGEIFS($N$5:$N$19,$C$5:$C$19,$C7,$D$5:$D$19,"Sí"))^2,0)</f>
        <v>0</v>
      </c>
    </row>
    <row r="8" spans="1:21">
      <c r="A8" s="12">
        <f>'Registro piloto'!A8</f>
        <v>0</v>
      </c>
      <c r="B8" s="18" t="s">
        <v>157</v>
      </c>
      <c r="C8" s="18">
        <f>'Registro piloto'!C8</f>
        <v>0</v>
      </c>
      <c r="D8" s="18">
        <f>'Registro piloto'!H8</f>
        <v>0</v>
      </c>
      <c r="E8" s="12">
        <f>'R04'!$M$2</f>
        <v>0</v>
      </c>
      <c r="F8" s="17">
        <f>IF('R04'!$M$2&gt;1,(MAX('R04'!$C$2:$C$301)-MIN('R04'!$C$2:$C$301))/('R04'!$M$2-1),"")</f>
        <v>0</v>
      </c>
      <c r="G8" s="12">
        <f>IF('R04'!$M$2&gt;0,'R04'!$M$16,"")</f>
        <v>0</v>
      </c>
      <c r="H8" s="16">
        <f>IFERROR('R04'!$M$12+0,"")</f>
        <v>0</v>
      </c>
      <c r="I8" s="17">
        <f>IF(ISNUMBER(H8),factor_forma*H8,"")</f>
        <v>0</v>
      </c>
      <c r="J8" s="17">
        <f>IF(ISNUMBER(H8),0.7071*H8,"")</f>
        <v>0</v>
      </c>
      <c r="K8" s="29"/>
      <c r="L8" s="29"/>
      <c r="M8" s="29"/>
      <c r="N8" s="29"/>
      <c r="O8" s="29"/>
      <c r="P8" s="29"/>
      <c r="R8" s="22">
        <f>IF(AND($D8="Sí",ISNUMBER(I8)),(I8-AVERAGEIFS($I$5:$I$19,$C$5:$C$19,$C8,$D$5:$D$19,"Sí"))^2,0)</f>
        <v>0</v>
      </c>
      <c r="S8" s="22">
        <f>IF(AND($D8="Sí",ISNUMBER(K8)),(K8-AVERAGEIFS($K$5:$K$19,$C$5:$C$19,$C8,$D$5:$D$19,"Sí"))^2,0)</f>
        <v>0</v>
      </c>
      <c r="T8" s="22">
        <f>IF(AND($D8="Sí",ISNUMBER(J8)),(J8-AVERAGEIFS($J$5:$J$19,$C$5:$C$19,$C8,$D$5:$D$19,"Sí"))^2,0)</f>
        <v>0</v>
      </c>
      <c r="U8" s="22">
        <f>IF(AND($D8="Sí",ISNUMBER(N8)),(N8-AVERAGEIFS($N$5:$N$19,$C$5:$C$19,$C8,$D$5:$D$19,"Sí"))^2,0)</f>
        <v>0</v>
      </c>
    </row>
    <row r="9" spans="1:21">
      <c r="A9" s="12">
        <f>'Registro piloto'!A9</f>
        <v>0</v>
      </c>
      <c r="B9" s="18" t="s">
        <v>158</v>
      </c>
      <c r="C9" s="18">
        <f>'Registro piloto'!C9</f>
        <v>0</v>
      </c>
      <c r="D9" s="18">
        <f>'Registro piloto'!H9</f>
        <v>0</v>
      </c>
      <c r="E9" s="12">
        <f>'R05'!$M$2</f>
        <v>0</v>
      </c>
      <c r="F9" s="17">
        <f>IF('R05'!$M$2&gt;1,(MAX('R05'!$C$2:$C$301)-MIN('R05'!$C$2:$C$301))/('R05'!$M$2-1),"")</f>
        <v>0</v>
      </c>
      <c r="G9" s="12">
        <f>IF('R05'!$M$2&gt;0,'R05'!$M$16,"")</f>
        <v>0</v>
      </c>
      <c r="H9" s="16">
        <f>IFERROR('R05'!$M$12+0,"")</f>
        <v>0</v>
      </c>
      <c r="I9" s="17">
        <f>IF(ISNUMBER(H9),factor_forma*H9,"")</f>
        <v>0</v>
      </c>
      <c r="J9" s="17">
        <f>IF(ISNUMBER(H9),0.7071*H9,"")</f>
        <v>0</v>
      </c>
      <c r="K9" s="29"/>
      <c r="L9" s="29"/>
      <c r="M9" s="29"/>
      <c r="N9" s="29"/>
      <c r="O9" s="29"/>
      <c r="P9" s="29"/>
      <c r="R9" s="22">
        <f>IF(AND($D9="Sí",ISNUMBER(I9)),(I9-AVERAGEIFS($I$5:$I$19,$C$5:$C$19,$C9,$D$5:$D$19,"Sí"))^2,0)</f>
        <v>0</v>
      </c>
      <c r="S9" s="22">
        <f>IF(AND($D9="Sí",ISNUMBER(K9)),(K9-AVERAGEIFS($K$5:$K$19,$C$5:$C$19,$C9,$D$5:$D$19,"Sí"))^2,0)</f>
        <v>0</v>
      </c>
      <c r="T9" s="22">
        <f>IF(AND($D9="Sí",ISNUMBER(J9)),(J9-AVERAGEIFS($J$5:$J$19,$C$5:$C$19,$C9,$D$5:$D$19,"Sí"))^2,0)</f>
        <v>0</v>
      </c>
      <c r="U9" s="22">
        <f>IF(AND($D9="Sí",ISNUMBER(N9)),(N9-AVERAGEIFS($N$5:$N$19,$C$5:$C$19,$C9,$D$5:$D$19,"Sí"))^2,0)</f>
        <v>0</v>
      </c>
    </row>
    <row r="10" spans="1:21">
      <c r="A10" s="12">
        <f>'Registro piloto'!A10</f>
        <v>0</v>
      </c>
      <c r="B10" s="18" t="s">
        <v>159</v>
      </c>
      <c r="C10" s="18">
        <f>'Registro piloto'!C10</f>
        <v>0</v>
      </c>
      <c r="D10" s="18">
        <f>'Registro piloto'!H10</f>
        <v>0</v>
      </c>
      <c r="E10" s="12">
        <f>'R06'!$M$2</f>
        <v>0</v>
      </c>
      <c r="F10" s="17">
        <f>IF('R06'!$M$2&gt;1,(MAX('R06'!$C$2:$C$301)-MIN('R06'!$C$2:$C$301))/('R06'!$M$2-1),"")</f>
        <v>0</v>
      </c>
      <c r="G10" s="12">
        <f>IF('R06'!$M$2&gt;0,'R06'!$M$16,"")</f>
        <v>0</v>
      </c>
      <c r="H10" s="16">
        <f>IFERROR('R06'!$M$12+0,"")</f>
        <v>0</v>
      </c>
      <c r="I10" s="17">
        <f>IF(ISNUMBER(H10),factor_forma*H10,"")</f>
        <v>0</v>
      </c>
      <c r="J10" s="17">
        <f>IF(ISNUMBER(H10),0.7071*H10,"")</f>
        <v>0</v>
      </c>
      <c r="K10" s="29"/>
      <c r="L10" s="29"/>
      <c r="M10" s="29"/>
      <c r="N10" s="29"/>
      <c r="O10" s="29"/>
      <c r="P10" s="29"/>
      <c r="R10" s="22">
        <f>IF(AND($D10="Sí",ISNUMBER(I10)),(I10-AVERAGEIFS($I$5:$I$19,$C$5:$C$19,$C10,$D$5:$D$19,"Sí"))^2,0)</f>
        <v>0</v>
      </c>
      <c r="S10" s="22">
        <f>IF(AND($D10="Sí",ISNUMBER(K10)),(K10-AVERAGEIFS($K$5:$K$19,$C$5:$C$19,$C10,$D$5:$D$19,"Sí"))^2,0)</f>
        <v>0</v>
      </c>
      <c r="T10" s="22">
        <f>IF(AND($D10="Sí",ISNUMBER(J10)),(J10-AVERAGEIFS($J$5:$J$19,$C$5:$C$19,$C10,$D$5:$D$19,"Sí"))^2,0)</f>
        <v>0</v>
      </c>
      <c r="U10" s="22">
        <f>IF(AND($D10="Sí",ISNUMBER(N10)),(N10-AVERAGEIFS($N$5:$N$19,$C$5:$C$19,$C10,$D$5:$D$19,"Sí"))^2,0)</f>
        <v>0</v>
      </c>
    </row>
    <row r="11" spans="1:21">
      <c r="A11" s="12">
        <f>'Registro piloto'!A11</f>
        <v>0</v>
      </c>
      <c r="B11" s="18" t="s">
        <v>160</v>
      </c>
      <c r="C11" s="18">
        <f>'Registro piloto'!C11</f>
        <v>0</v>
      </c>
      <c r="D11" s="18">
        <f>'Registro piloto'!H11</f>
        <v>0</v>
      </c>
      <c r="E11" s="12">
        <f>'R07'!$M$2</f>
        <v>0</v>
      </c>
      <c r="F11" s="17">
        <f>IF('R07'!$M$2&gt;1,(MAX('R07'!$C$2:$C$301)-MIN('R07'!$C$2:$C$301))/('R07'!$M$2-1),"")</f>
        <v>0</v>
      </c>
      <c r="G11" s="12">
        <f>IF('R07'!$M$2&gt;0,'R07'!$M$16,"")</f>
        <v>0</v>
      </c>
      <c r="H11" s="16">
        <f>IFERROR('R07'!$M$12+0,"")</f>
        <v>0</v>
      </c>
      <c r="I11" s="17">
        <f>IF(ISNUMBER(H11),factor_forma*H11,"")</f>
        <v>0</v>
      </c>
      <c r="J11" s="17">
        <f>IF(ISNUMBER(H11),0.7071*H11,"")</f>
        <v>0</v>
      </c>
      <c r="K11" s="29"/>
      <c r="L11" s="29"/>
      <c r="M11" s="29"/>
      <c r="N11" s="29"/>
      <c r="O11" s="29"/>
      <c r="P11" s="29"/>
      <c r="R11" s="22">
        <f>IF(AND($D11="Sí",ISNUMBER(I11)),(I11-AVERAGEIFS($I$5:$I$19,$C$5:$C$19,$C11,$D$5:$D$19,"Sí"))^2,0)</f>
        <v>0</v>
      </c>
      <c r="S11" s="22">
        <f>IF(AND($D11="Sí",ISNUMBER(K11)),(K11-AVERAGEIFS($K$5:$K$19,$C$5:$C$19,$C11,$D$5:$D$19,"Sí"))^2,0)</f>
        <v>0</v>
      </c>
      <c r="T11" s="22">
        <f>IF(AND($D11="Sí",ISNUMBER(J11)),(J11-AVERAGEIFS($J$5:$J$19,$C$5:$C$19,$C11,$D$5:$D$19,"Sí"))^2,0)</f>
        <v>0</v>
      </c>
      <c r="U11" s="22">
        <f>IF(AND($D11="Sí",ISNUMBER(N11)),(N11-AVERAGEIFS($N$5:$N$19,$C$5:$C$19,$C11,$D$5:$D$19,"Sí"))^2,0)</f>
        <v>0</v>
      </c>
    </row>
    <row r="12" spans="1:21">
      <c r="A12" s="12">
        <f>'Registro piloto'!A12</f>
        <v>0</v>
      </c>
      <c r="B12" s="18" t="s">
        <v>161</v>
      </c>
      <c r="C12" s="18">
        <f>'Registro piloto'!C12</f>
        <v>0</v>
      </c>
      <c r="D12" s="18">
        <f>'Registro piloto'!H12</f>
        <v>0</v>
      </c>
      <c r="E12" s="12">
        <f>'R08'!$M$2</f>
        <v>0</v>
      </c>
      <c r="F12" s="17">
        <f>IF('R08'!$M$2&gt;1,(MAX('R08'!$C$2:$C$301)-MIN('R08'!$C$2:$C$301))/('R08'!$M$2-1),"")</f>
        <v>0</v>
      </c>
      <c r="G12" s="12">
        <f>IF('R08'!$M$2&gt;0,'R08'!$M$16,"")</f>
        <v>0</v>
      </c>
      <c r="H12" s="16">
        <f>IFERROR('R08'!$M$12+0,"")</f>
        <v>0</v>
      </c>
      <c r="I12" s="17">
        <f>IF(ISNUMBER(H12),factor_forma*H12,"")</f>
        <v>0</v>
      </c>
      <c r="J12" s="17">
        <f>IF(ISNUMBER(H12),0.7071*H12,"")</f>
        <v>0</v>
      </c>
      <c r="K12" s="29">
        <v>150.5551234172691</v>
      </c>
      <c r="L12" s="29">
        <v>2.512379574708755</v>
      </c>
      <c r="M12" s="30">
        <v>0.9982715739137539</v>
      </c>
      <c r="N12" s="29">
        <v>167.8586848011419</v>
      </c>
      <c r="O12" s="29">
        <v>1.632723854389092</v>
      </c>
      <c r="P12" s="30">
        <v>0.9993091219147489</v>
      </c>
      <c r="R12" s="22">
        <f>IF(AND($D12="Sí",ISNUMBER(I12)),(I12-AVERAGEIFS($I$5:$I$19,$C$5:$C$19,$C12,$D$5:$D$19,"Sí"))^2,0)</f>
        <v>0</v>
      </c>
      <c r="S12" s="22">
        <f>IF(AND($D12="Sí",ISNUMBER(K12)),(K12-AVERAGEIFS($K$5:$K$19,$C$5:$C$19,$C12,$D$5:$D$19,"Sí"))^2,0)</f>
        <v>0</v>
      </c>
      <c r="T12" s="22">
        <f>IF(AND($D12="Sí",ISNUMBER(J12)),(J12-AVERAGEIFS($J$5:$J$19,$C$5:$C$19,$C12,$D$5:$D$19,"Sí"))^2,0)</f>
        <v>0</v>
      </c>
      <c r="U12" s="22">
        <f>IF(AND($D12="Sí",ISNUMBER(N12)),(N12-AVERAGEIFS($N$5:$N$19,$C$5:$C$19,$C12,$D$5:$D$19,"Sí"))^2,0)</f>
        <v>0</v>
      </c>
    </row>
    <row r="13" spans="1:21">
      <c r="A13" s="12">
        <f>'Registro piloto'!A13</f>
        <v>0</v>
      </c>
      <c r="B13" s="18" t="s">
        <v>163</v>
      </c>
      <c r="C13" s="18">
        <f>'Registro piloto'!C13</f>
        <v>0</v>
      </c>
      <c r="D13" s="18">
        <f>'Registro piloto'!H13</f>
        <v>0</v>
      </c>
      <c r="E13" s="12">
        <f>'R09'!$M$2</f>
        <v>0</v>
      </c>
      <c r="F13" s="17">
        <f>IF('R09'!$M$2&gt;1,(MAX('R09'!$C$2:$C$301)-MIN('R09'!$C$2:$C$301))/('R09'!$M$2-1),"")</f>
        <v>0</v>
      </c>
      <c r="G13" s="12">
        <f>IF('R09'!$M$2&gt;0,'R09'!$M$16,"")</f>
        <v>0</v>
      </c>
      <c r="H13" s="16">
        <f>IFERROR('R09'!$M$12+0,"")</f>
        <v>0</v>
      </c>
      <c r="I13" s="17">
        <f>IF(ISNUMBER(H13),factor_forma*H13,"")</f>
        <v>0</v>
      </c>
      <c r="J13" s="17">
        <f>IF(ISNUMBER(H13),0.7071*H13,"")</f>
        <v>0</v>
      </c>
      <c r="K13" s="29">
        <v>200.8296923904076</v>
      </c>
      <c r="L13" s="29">
        <v>2.922962842492922</v>
      </c>
      <c r="M13" s="30">
        <v>0.9987464850270796</v>
      </c>
      <c r="N13" s="29">
        <v>222.3824544623685</v>
      </c>
      <c r="O13" s="29">
        <v>3.817164658838967</v>
      </c>
      <c r="P13" s="30">
        <v>0.9978875486348894</v>
      </c>
      <c r="R13" s="22">
        <f>IF(AND($D13="Sí",ISNUMBER(I13)),(I13-AVERAGEIFS($I$5:$I$19,$C$5:$C$19,$C13,$D$5:$D$19,"Sí"))^2,0)</f>
        <v>0</v>
      </c>
      <c r="S13" s="22">
        <f>IF(AND($D13="Sí",ISNUMBER(K13)),(K13-AVERAGEIFS($K$5:$K$19,$C$5:$C$19,$C13,$D$5:$D$19,"Sí"))^2,0)</f>
        <v>0</v>
      </c>
      <c r="T13" s="22">
        <f>IF(AND($D13="Sí",ISNUMBER(J13)),(J13-AVERAGEIFS($J$5:$J$19,$C$5:$C$19,$C13,$D$5:$D$19,"Sí"))^2,0)</f>
        <v>0</v>
      </c>
      <c r="U13" s="22">
        <f>IF(AND($D13="Sí",ISNUMBER(N13)),(N13-AVERAGEIFS($N$5:$N$19,$C$5:$C$19,$C13,$D$5:$D$19,"Sí"))^2,0)</f>
        <v>0</v>
      </c>
    </row>
    <row r="14" spans="1:21">
      <c r="A14" s="12">
        <f>'Registro piloto'!A14</f>
        <v>0</v>
      </c>
      <c r="B14" s="18" t="s">
        <v>164</v>
      </c>
      <c r="C14" s="18">
        <f>'Registro piloto'!C14</f>
        <v>0</v>
      </c>
      <c r="D14" s="18">
        <f>'Registro piloto'!H14</f>
        <v>0</v>
      </c>
      <c r="E14" s="12">
        <f>'R10'!$M$2</f>
        <v>0</v>
      </c>
      <c r="F14" s="17">
        <f>IF('R10'!$M$2&gt;1,(MAX('R10'!$C$2:$C$301)-MIN('R10'!$C$2:$C$301))/('R10'!$M$2-1),"")</f>
        <v>0</v>
      </c>
      <c r="G14" s="12">
        <f>IF('R10'!$M$2&gt;0,'R10'!$M$16,"")</f>
        <v>0</v>
      </c>
      <c r="H14" s="16">
        <f>IFERROR('R10'!$M$12+0,"")</f>
        <v>0</v>
      </c>
      <c r="I14" s="17">
        <f>IF(ISNUMBER(H14),factor_forma*H14,"")</f>
        <v>0</v>
      </c>
      <c r="J14" s="17">
        <f>IF(ISNUMBER(H14),0.7071*H14,"")</f>
        <v>0</v>
      </c>
      <c r="K14" s="29">
        <v>201.6354408000659</v>
      </c>
      <c r="L14" s="29">
        <v>3.043434131348982</v>
      </c>
      <c r="M14" s="30">
        <v>0.9986519202113273</v>
      </c>
      <c r="N14" s="29">
        <v>223.3156929387886</v>
      </c>
      <c r="O14" s="29">
        <v>4.103431884437021</v>
      </c>
      <c r="P14" s="30">
        <v>0.9975808340881176</v>
      </c>
      <c r="R14" s="22">
        <f>IF(AND($D14="Sí",ISNUMBER(I14)),(I14-AVERAGEIFS($I$5:$I$19,$C$5:$C$19,$C14,$D$5:$D$19,"Sí"))^2,0)</f>
        <v>0</v>
      </c>
      <c r="S14" s="22">
        <f>IF(AND($D14="Sí",ISNUMBER(K14)),(K14-AVERAGEIFS($K$5:$K$19,$C$5:$C$19,$C14,$D$5:$D$19,"Sí"))^2,0)</f>
        <v>0</v>
      </c>
      <c r="T14" s="22">
        <f>IF(AND($D14="Sí",ISNUMBER(J14)),(J14-AVERAGEIFS($J$5:$J$19,$C$5:$C$19,$C14,$D$5:$D$19,"Sí"))^2,0)</f>
        <v>0</v>
      </c>
      <c r="U14" s="22">
        <f>IF(AND($D14="Sí",ISNUMBER(N14)),(N14-AVERAGEIFS($N$5:$N$19,$C$5:$C$19,$C14,$D$5:$D$19,"Sí"))^2,0)</f>
        <v>0</v>
      </c>
    </row>
    <row r="15" spans="1:21">
      <c r="A15" s="12">
        <f>'Registro piloto'!A15</f>
        <v>0</v>
      </c>
      <c r="B15" s="18" t="s">
        <v>165</v>
      </c>
      <c r="C15" s="18">
        <f>'Registro piloto'!C15</f>
        <v>0</v>
      </c>
      <c r="D15" s="18">
        <f>'Registro piloto'!H15</f>
        <v>0</v>
      </c>
      <c r="E15" s="12">
        <f>'R11'!$M$2</f>
        <v>0</v>
      </c>
      <c r="F15" s="17">
        <f>IF('R11'!$M$2&gt;1,(MAX('R11'!$C$2:$C$301)-MIN('R11'!$C$2:$C$301))/('R11'!$M$2-1),"")</f>
        <v>0</v>
      </c>
      <c r="G15" s="12">
        <f>IF('R11'!$M$2&gt;0,'R11'!$M$16,"")</f>
        <v>0</v>
      </c>
      <c r="H15" s="16">
        <f>IFERROR('R11'!$M$12+0,"")</f>
        <v>0</v>
      </c>
      <c r="I15" s="17">
        <f>IF(ISNUMBER(H15),factor_forma*H15,"")</f>
        <v>0</v>
      </c>
      <c r="J15" s="17">
        <f>IF(ISNUMBER(H15),0.7071*H15,"")</f>
        <v>0</v>
      </c>
      <c r="K15" s="29">
        <v>198.4901557076821</v>
      </c>
      <c r="L15" s="29">
        <v>1.393706564428237</v>
      </c>
      <c r="M15" s="30">
        <v>0.9997065722143632</v>
      </c>
      <c r="N15" s="29">
        <v>220.0112904095147</v>
      </c>
      <c r="O15" s="29">
        <v>3.107076502987059</v>
      </c>
      <c r="P15" s="30">
        <v>0.9985657332887781</v>
      </c>
      <c r="R15" s="22">
        <f>IF(AND($D15="Sí",ISNUMBER(I15)),(I15-AVERAGEIFS($I$5:$I$19,$C$5:$C$19,$C15,$D$5:$D$19,"Sí"))^2,0)</f>
        <v>0</v>
      </c>
      <c r="S15" s="22">
        <f>IF(AND($D15="Sí",ISNUMBER(K15)),(K15-AVERAGEIFS($K$5:$K$19,$C$5:$C$19,$C15,$D$5:$D$19,"Sí"))^2,0)</f>
        <v>0</v>
      </c>
      <c r="T15" s="22">
        <f>IF(AND($D15="Sí",ISNUMBER(J15)),(J15-AVERAGEIFS($J$5:$J$19,$C$5:$C$19,$C15,$D$5:$D$19,"Sí"))^2,0)</f>
        <v>0</v>
      </c>
      <c r="U15" s="22">
        <f>IF(AND($D15="Sí",ISNUMBER(N15)),(N15-AVERAGEIFS($N$5:$N$19,$C$5:$C$19,$C15,$D$5:$D$19,"Sí"))^2,0)</f>
        <v>0</v>
      </c>
    </row>
    <row r="16" spans="1:21">
      <c r="A16" s="12">
        <f>'Registro piloto'!A16</f>
        <v>0</v>
      </c>
      <c r="B16" s="18" t="s">
        <v>166</v>
      </c>
      <c r="C16" s="18">
        <f>'Registro piloto'!C16</f>
        <v>0</v>
      </c>
      <c r="D16" s="18">
        <f>'Registro piloto'!H16</f>
        <v>0</v>
      </c>
      <c r="E16" s="12">
        <f>'R12'!$M$2</f>
        <v>0</v>
      </c>
      <c r="F16" s="17">
        <f>IF('R12'!$M$2&gt;1,(MAX('R12'!$C$2:$C$301)-MIN('R12'!$C$2:$C$301))/('R12'!$M$2-1),"")</f>
        <v>0</v>
      </c>
      <c r="G16" s="12">
        <f>IF('R12'!$M$2&gt;0,'R12'!$M$16,"")</f>
        <v>0</v>
      </c>
      <c r="H16" s="16">
        <f>IFERROR('R12'!$M$12+0,"")</f>
        <v>0</v>
      </c>
      <c r="I16" s="17">
        <f>IF(ISNUMBER(H16),factor_forma*H16,"")</f>
        <v>0</v>
      </c>
      <c r="J16" s="17">
        <f>IF(ISNUMBER(H16),0.7071*H16,"")</f>
        <v>0</v>
      </c>
      <c r="K16" s="29">
        <v>200.6174541071277</v>
      </c>
      <c r="L16" s="29">
        <v>1.041314384790456</v>
      </c>
      <c r="M16" s="30">
        <v>0.9997687295163457</v>
      </c>
      <c r="N16" s="29">
        <v>223.968887212432</v>
      </c>
      <c r="O16" s="29">
        <v>2.598317645932918</v>
      </c>
      <c r="P16" s="30">
        <v>0.9986393241408337</v>
      </c>
      <c r="R16" s="22">
        <f>IF(AND($D16="Sí",ISNUMBER(I16)),(I16-AVERAGEIFS($I$5:$I$19,$C$5:$C$19,$C16,$D$5:$D$19,"Sí"))^2,0)</f>
        <v>0</v>
      </c>
      <c r="S16" s="22">
        <f>IF(AND($D16="Sí",ISNUMBER(K16)),(K16-AVERAGEIFS($K$5:$K$19,$C$5:$C$19,$C16,$D$5:$D$19,"Sí"))^2,0)</f>
        <v>0</v>
      </c>
      <c r="T16" s="22">
        <f>IF(AND($D16="Sí",ISNUMBER(J16)),(J16-AVERAGEIFS($J$5:$J$19,$C$5:$C$19,$C16,$D$5:$D$19,"Sí"))^2,0)</f>
        <v>0</v>
      </c>
      <c r="U16" s="22">
        <f>IF(AND($D16="Sí",ISNUMBER(N16)),(N16-AVERAGEIFS($N$5:$N$19,$C$5:$C$19,$C16,$D$5:$D$19,"Sí"))^2,0)</f>
        <v>0</v>
      </c>
    </row>
    <row r="17" spans="1:21">
      <c r="A17" s="12">
        <f>'Registro piloto'!A17</f>
        <v>0</v>
      </c>
      <c r="B17" s="18" t="s">
        <v>167</v>
      </c>
      <c r="C17" s="18">
        <f>'Registro piloto'!C17</f>
        <v>0</v>
      </c>
      <c r="D17" s="18">
        <f>'Registro piloto'!H17</f>
        <v>0</v>
      </c>
      <c r="E17" s="12">
        <f>'R13'!$M$2</f>
        <v>0</v>
      </c>
      <c r="F17" s="17">
        <f>IF('R13'!$M$2&gt;1,(MAX('R13'!$C$2:$C$301)-MIN('R13'!$C$2:$C$301))/('R13'!$M$2-1),"")</f>
        <v>0</v>
      </c>
      <c r="G17" s="12">
        <f>IF('R13'!$M$2&gt;0,'R13'!$M$16,"")</f>
        <v>0</v>
      </c>
      <c r="H17" s="16">
        <f>IFERROR('R13'!$M$12+0,"")</f>
        <v>0</v>
      </c>
      <c r="I17" s="17">
        <f>IF(ISNUMBER(H17),factor_forma*H17,"")</f>
        <v>0</v>
      </c>
      <c r="J17" s="17">
        <f>IF(ISNUMBER(H17),0.7071*H17,"")</f>
        <v>0</v>
      </c>
      <c r="K17" s="29">
        <v>147.0702965986653</v>
      </c>
      <c r="L17" s="29">
        <v>1.536588925608</v>
      </c>
      <c r="M17" s="30">
        <v>0.9990587094966048</v>
      </c>
      <c r="N17" s="29">
        <v>164.7824441402556</v>
      </c>
      <c r="O17" s="29">
        <v>1.441610623535737</v>
      </c>
      <c r="P17" s="30">
        <v>0.9992375425652072</v>
      </c>
      <c r="R17" s="22">
        <f>IF(AND($D17="Sí",ISNUMBER(I17)),(I17-AVERAGEIFS($I$5:$I$19,$C$5:$C$19,$C17,$D$5:$D$19,"Sí"))^2,0)</f>
        <v>0</v>
      </c>
      <c r="S17" s="22">
        <f>IF(AND($D17="Sí",ISNUMBER(K17)),(K17-AVERAGEIFS($K$5:$K$19,$C$5:$C$19,$C17,$D$5:$D$19,"Sí"))^2,0)</f>
        <v>0</v>
      </c>
      <c r="T17" s="22">
        <f>IF(AND($D17="Sí",ISNUMBER(J17)),(J17-AVERAGEIFS($J$5:$J$19,$C$5:$C$19,$C17,$D$5:$D$19,"Sí"))^2,0)</f>
        <v>0</v>
      </c>
      <c r="U17" s="22">
        <f>IF(AND($D17="Sí",ISNUMBER(N17)),(N17-AVERAGEIFS($N$5:$N$19,$C$5:$C$19,$C17,$D$5:$D$19,"Sí"))^2,0)</f>
        <v>0</v>
      </c>
    </row>
    <row r="18" spans="1:21">
      <c r="A18" s="12">
        <f>'Registro piloto'!A18</f>
        <v>0</v>
      </c>
      <c r="B18" s="18" t="s">
        <v>168</v>
      </c>
      <c r="C18" s="18">
        <f>'Registro piloto'!C18</f>
        <v>0</v>
      </c>
      <c r="D18" s="18">
        <f>'Registro piloto'!H18</f>
        <v>0</v>
      </c>
      <c r="E18" s="12">
        <f>'R14'!$M$2</f>
        <v>0</v>
      </c>
      <c r="F18" s="17">
        <f>IF('R14'!$M$2&gt;1,(MAX('R14'!$C$2:$C$301)-MIN('R14'!$C$2:$C$301))/('R14'!$M$2-1),"")</f>
        <v>0</v>
      </c>
      <c r="G18" s="12">
        <f>IF('R14'!$M$2&gt;0,'R14'!$M$16,"")</f>
        <v>0</v>
      </c>
      <c r="H18" s="16">
        <f>IFERROR('R14'!$M$12+0,"")</f>
        <v>0</v>
      </c>
      <c r="I18" s="17">
        <f>IF(ISNUMBER(H18),factor_forma*H18,"")</f>
        <v>0</v>
      </c>
      <c r="J18" s="17">
        <f>IF(ISNUMBER(H18),0.7071*H18,"")</f>
        <v>0</v>
      </c>
      <c r="K18" s="29">
        <v>190.4922224087066</v>
      </c>
      <c r="L18" s="29">
        <v>4.821646451045529</v>
      </c>
      <c r="M18" s="30">
        <v>0.9945100736643457</v>
      </c>
      <c r="N18" s="29">
        <v>212.3479056394256</v>
      </c>
      <c r="O18" s="29">
        <v>4.802033814732812</v>
      </c>
      <c r="P18" s="30">
        <v>0.9948556426788007</v>
      </c>
      <c r="R18" s="22">
        <f>IF(AND($D18="Sí",ISNUMBER(I18)),(I18-AVERAGEIFS($I$5:$I$19,$C$5:$C$19,$C18,$D$5:$D$19,"Sí"))^2,0)</f>
        <v>0</v>
      </c>
      <c r="S18" s="22">
        <f>IF(AND($D18="Sí",ISNUMBER(K18)),(K18-AVERAGEIFS($K$5:$K$19,$C$5:$C$19,$C18,$D$5:$D$19,"Sí"))^2,0)</f>
        <v>0</v>
      </c>
      <c r="T18" s="22">
        <f>IF(AND($D18="Sí",ISNUMBER(J18)),(J18-AVERAGEIFS($J$5:$J$19,$C$5:$C$19,$C18,$D$5:$D$19,"Sí"))^2,0)</f>
        <v>0</v>
      </c>
      <c r="U18" s="22">
        <f>IF(AND($D18="Sí",ISNUMBER(N18)),(N18-AVERAGEIFS($N$5:$N$19,$C$5:$C$19,$C18,$D$5:$D$19,"Sí"))^2,0)</f>
        <v>0</v>
      </c>
    </row>
    <row r="19" spans="1:21">
      <c r="A19" s="12">
        <f>'Registro piloto'!A19</f>
        <v>0</v>
      </c>
      <c r="B19" s="18" t="s">
        <v>169</v>
      </c>
      <c r="C19" s="18">
        <f>'Registro piloto'!C19</f>
        <v>0</v>
      </c>
      <c r="D19" s="18">
        <f>'Registro piloto'!H19</f>
        <v>0</v>
      </c>
      <c r="E19" s="12">
        <f>'R15'!$M$2</f>
        <v>0</v>
      </c>
      <c r="F19" s="17">
        <f>IF('R15'!$M$2&gt;1,(MAX('R15'!$C$2:$C$301)-MIN('R15'!$C$2:$C$301))/('R15'!$M$2-1),"")</f>
        <v>0</v>
      </c>
      <c r="G19" s="12">
        <f>IF('R15'!$M$2&gt;0,'R15'!$M$16,"")</f>
        <v>0</v>
      </c>
      <c r="H19" s="16">
        <f>IFERROR('R15'!$M$12+0,"")</f>
        <v>0</v>
      </c>
      <c r="I19" s="17">
        <f>IF(ISNUMBER(H19),factor_forma*H19,"")</f>
        <v>0</v>
      </c>
      <c r="J19" s="17">
        <f>IF(ISNUMBER(H19),0.7071*H19,"")</f>
        <v>0</v>
      </c>
      <c r="K19" s="29">
        <v>144.1397471417934</v>
      </c>
      <c r="L19" s="29">
        <v>2.150973206689533</v>
      </c>
      <c r="M19" s="30">
        <v>0.9980829749659262</v>
      </c>
      <c r="N19" s="29">
        <v>161.2004892614913</v>
      </c>
      <c r="O19" s="29">
        <v>2.061905512359056</v>
      </c>
      <c r="P19" s="30">
        <v>0.998374057532175</v>
      </c>
      <c r="R19" s="22">
        <f>IF(AND($D19="Sí",ISNUMBER(I19)),(I19-AVERAGEIFS($I$5:$I$19,$C$5:$C$19,$C19,$D$5:$D$19,"Sí"))^2,0)</f>
        <v>0</v>
      </c>
      <c r="S19" s="22">
        <f>IF(AND($D19="Sí",ISNUMBER(K19)),(K19-AVERAGEIFS($K$5:$K$19,$C$5:$C$19,$C19,$D$5:$D$19,"Sí"))^2,0)</f>
        <v>0</v>
      </c>
      <c r="T19" s="22">
        <f>IF(AND($D19="Sí",ISNUMBER(J19)),(J19-AVERAGEIFS($J$5:$J$19,$C$5:$C$19,$C19,$D$5:$D$19,"Sí"))^2,0)</f>
        <v>0</v>
      </c>
      <c r="U19" s="22">
        <f>IF(AND($D19="Sí",ISNUMBER(N19)),(N19-AVERAGEIFS($N$5:$N$19,$C$5:$C$19,$C19,$D$5:$D$19,"Sí"))^2,0)</f>
        <v>0</v>
      </c>
    </row>
    <row r="21" spans="1:21">
      <c r="A21" s="7" t="s">
        <v>266</v>
      </c>
    </row>
    <row r="22" spans="1:21" ht="30" customHeight="1">
      <c r="A22" s="6" t="s">
        <v>141</v>
      </c>
      <c r="B22" s="6" t="s">
        <v>267</v>
      </c>
      <c r="C22" s="6" t="s">
        <v>188</v>
      </c>
      <c r="D22" s="6" t="s">
        <v>268</v>
      </c>
      <c r="E22" s="6" t="s">
        <v>269</v>
      </c>
      <c r="F22" s="6" t="s">
        <v>270</v>
      </c>
      <c r="G22" s="6" t="s">
        <v>269</v>
      </c>
      <c r="H22" s="6" t="s">
        <v>271</v>
      </c>
      <c r="I22" s="6" t="s">
        <v>269</v>
      </c>
      <c r="J22" s="6" t="s">
        <v>272</v>
      </c>
      <c r="K22" s="6" t="s">
        <v>269</v>
      </c>
    </row>
    <row r="23" spans="1:21">
      <c r="A23" s="7" t="s">
        <v>57</v>
      </c>
      <c r="B23" s="16">
        <f>tau0_1</f>
        <v>0</v>
      </c>
      <c r="C23" s="12">
        <f>COUNTIFS($C$5:$C$19,A23,$D$5:$D$19,"Sí",$I$5:$I$19,"&gt;0")</f>
        <v>0</v>
      </c>
      <c r="D23" s="23">
        <f>IF(C23=0,"",AVERAGEIFS($I$5:$I$19,$C$5:$C$19,A23,$D$5:$D$19,"Sí"))</f>
        <v>0</v>
      </c>
      <c r="E23" s="17">
        <f>IF(C23&lt;2,"",SQRT(SUMIFS($R$5:$R$19,$C$5:$C$19,A23,$D$5:$D$19,"Sí")/(C23-1)))</f>
        <v>0</v>
      </c>
      <c r="F23" s="23">
        <f>IF(C23=0,"",AVERAGEIFS($K$5:$K$19,$C$5:$C$19,A23,$D$5:$D$19,"Sí"))</f>
        <v>0</v>
      </c>
      <c r="G23" s="17">
        <f>IF(C23&lt;2,"",SQRT(SUMIFS($S$5:$S$19,$C$5:$C$19,A23,$D$5:$D$19,"Sí")/(C23-1)))</f>
        <v>0</v>
      </c>
      <c r="H23" s="23">
        <f>IF(C23=0,"",AVERAGEIFS($J$5:$J$19,$C$5:$C$19,A23,$D$5:$D$19,"Sí"))</f>
        <v>0</v>
      </c>
      <c r="I23" s="17">
        <f>IF(C23&lt;2,"",SQRT(SUMIFS($T$5:$T$19,$C$5:$C$19,A23,$D$5:$D$19,"Sí")/(C23-1)))</f>
        <v>0</v>
      </c>
      <c r="J23" s="23">
        <f>IF(C23=0,"",AVERAGEIFS($N$5:$N$19,$C$5:$C$19,A23,$D$5:$D$19,"Sí"))</f>
        <v>0</v>
      </c>
      <c r="K23" s="17">
        <f>IF(C23&lt;2,"",SQRT(SUMIFS($U$5:$U$19,$C$5:$C$19,A23,$D$5:$D$19,"Sí")/(C23-1)))</f>
        <v>0</v>
      </c>
    </row>
    <row r="24" spans="1:21">
      <c r="A24" s="7" t="s">
        <v>58</v>
      </c>
      <c r="B24" s="16">
        <f>tau0_2</f>
        <v>0</v>
      </c>
      <c r="C24" s="12">
        <f>COUNTIFS($C$5:$C$19,A24,$D$5:$D$19,"Sí",$I$5:$I$19,"&gt;0")</f>
        <v>0</v>
      </c>
      <c r="D24" s="23">
        <f>IF(C24=0,"",AVERAGEIFS($I$5:$I$19,$C$5:$C$19,A24,$D$5:$D$19,"Sí"))</f>
        <v>0</v>
      </c>
      <c r="E24" s="17">
        <f>IF(C24&lt;2,"",SQRT(SUMIFS($R$5:$R$19,$C$5:$C$19,A24,$D$5:$D$19,"Sí")/(C24-1)))</f>
        <v>0</v>
      </c>
      <c r="F24" s="23">
        <f>IF(C24=0,"",AVERAGEIFS($K$5:$K$19,$C$5:$C$19,A24,$D$5:$D$19,"Sí"))</f>
        <v>0</v>
      </c>
      <c r="G24" s="17">
        <f>IF(C24&lt;2,"",SQRT(SUMIFS($S$5:$S$19,$C$5:$C$19,A24,$D$5:$D$19,"Sí")/(C24-1)))</f>
        <v>0</v>
      </c>
      <c r="H24" s="23">
        <f>IF(C24=0,"",AVERAGEIFS($J$5:$J$19,$C$5:$C$19,A24,$D$5:$D$19,"Sí"))</f>
        <v>0</v>
      </c>
      <c r="I24" s="17">
        <f>IF(C24&lt;2,"",SQRT(SUMIFS($T$5:$T$19,$C$5:$C$19,A24,$D$5:$D$19,"Sí")/(C24-1)))</f>
        <v>0</v>
      </c>
      <c r="J24" s="23">
        <f>IF(C24=0,"",AVERAGEIFS($N$5:$N$19,$C$5:$C$19,A24,$D$5:$D$19,"Sí"))</f>
        <v>0</v>
      </c>
      <c r="K24" s="17">
        <f>IF(C24&lt;2,"",SQRT(SUMIFS($U$5:$U$19,$C$5:$C$19,A24,$D$5:$D$19,"Sí")/(C24-1)))</f>
        <v>0</v>
      </c>
    </row>
    <row r="25" spans="1:21">
      <c r="A25" s="7" t="s">
        <v>59</v>
      </c>
      <c r="B25" s="16">
        <f>tau0_3</f>
        <v>0</v>
      </c>
      <c r="C25" s="12">
        <f>COUNTIFS($C$5:$C$19,A25,$D$5:$D$19,"Sí",$I$5:$I$19,"&gt;0")</f>
        <v>0</v>
      </c>
      <c r="D25" s="23">
        <f>IF(C25=0,"",AVERAGEIFS($I$5:$I$19,$C$5:$C$19,A25,$D$5:$D$19,"Sí"))</f>
        <v>0</v>
      </c>
      <c r="E25" s="17">
        <f>IF(C25&lt;2,"",SQRT(SUMIFS($R$5:$R$19,$C$5:$C$19,A25,$D$5:$D$19,"Sí")/(C25-1)))</f>
        <v>0</v>
      </c>
      <c r="F25" s="23">
        <f>IF(C25=0,"",AVERAGEIFS($K$5:$K$19,$C$5:$C$19,A25,$D$5:$D$19,"Sí"))</f>
        <v>0</v>
      </c>
      <c r="G25" s="17">
        <f>IF(C25&lt;2,"",SQRT(SUMIFS($S$5:$S$19,$C$5:$C$19,A25,$D$5:$D$19,"Sí")/(C25-1)))</f>
        <v>0</v>
      </c>
      <c r="H25" s="23">
        <f>IF(C25=0,"",AVERAGEIFS($J$5:$J$19,$C$5:$C$19,A25,$D$5:$D$19,"Sí"))</f>
        <v>0</v>
      </c>
      <c r="I25" s="17">
        <f>IF(C25&lt;2,"",SQRT(SUMIFS($T$5:$T$19,$C$5:$C$19,A25,$D$5:$D$19,"Sí")/(C25-1)))</f>
        <v>0</v>
      </c>
      <c r="J25" s="23">
        <f>IF(C25=0,"",AVERAGEIFS($N$5:$N$19,$C$5:$C$19,A25,$D$5:$D$19,"Sí"))</f>
        <v>0</v>
      </c>
      <c r="K25" s="17">
        <f>IF(C25&lt;2,"",SQRT(SUMIFS($U$5:$U$19,$C$5:$C$19,A25,$D$5:$D$19,"Sí")/(C25-1)))</f>
        <v>0</v>
      </c>
    </row>
    <row r="27" spans="1:21">
      <c r="A27" s="10" t="s">
        <v>273</v>
      </c>
    </row>
  </sheetData>
  <hyperlinks>
    <hyperlink ref="B5" location="'R01'!A1" display="R01"/>
    <hyperlink ref="B6" location="'R02'!A1" display="R02"/>
    <hyperlink ref="B7" location="'R03'!A1" display="R03"/>
    <hyperlink ref="B8" location="'R04'!A1" display="R04"/>
    <hyperlink ref="B9" location="'R05'!A1" display="R05"/>
    <hyperlink ref="B10" location="'R06'!A1" display="R06"/>
    <hyperlink ref="B11" location="'R07'!A1" display="R07"/>
    <hyperlink ref="B12" location="'R08'!A1" display="R08"/>
    <hyperlink ref="B13" location="'R09'!A1" display="R09"/>
    <hyperlink ref="B14" location="'R10'!A1" display="R10"/>
    <hyperlink ref="B15" location="'R11'!A1" display="R11"/>
    <hyperlink ref="B16" location="'R12'!A1" display="R12"/>
    <hyperlink ref="B17" location="'R13'!A1" display="R13"/>
    <hyperlink ref="B18" location="'R14'!A1" display="R14"/>
    <hyperlink ref="B19" location="'R15'!A1" display="R1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117</v>
      </c>
      <c r="M1" s="6">
        <f>"Corriente "&amp;IFERROR(INDEX('Registro piloto'!$C$5:$C$19,1),"")</f>
        <v>0</v>
      </c>
    </row>
    <row r="2" spans="1:13">
      <c r="A2" s="11">
        <v>0</v>
      </c>
      <c r="B2" s="11">
        <v>1E-06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1E-06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1E-06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4E-06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1.1193E-06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1.9623E-06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4.0636E-06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1.499E-06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2.468E-06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2.901E-06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2.172E-06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1.065E-06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3.504E-06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2.06E-06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8.660000000000001E-07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2.796E-07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1E-07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170</v>
      </c>
      <c r="B19" s="11">
        <v>0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120</v>
      </c>
      <c r="M1" s="6">
        <f>"Corriente "&amp;IFERROR(INDEX('Registro piloto'!$C$5:$C$19,2),"")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1.997E-08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2.097E-07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1.359E-06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3.868E-06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9.488E-06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1.502E-05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2.798E-05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3.346E-05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1.755E-05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9.515E-06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2.604E-06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1.398E-07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-1.398E-07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-1.398E-07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-1.119E-07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5.593E-08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121</v>
      </c>
      <c r="M1" s="6">
        <f>"Corriente "&amp;IFERROR(INDEX('Registro piloto'!$C$5:$C$19,3),"")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-8.389000000000001E-08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1.258E-07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1.372E-06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3.587E-06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1.186E-05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2.638E-05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3.493E-05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3.271E-05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1.973E-05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7.048E-06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8.389E-07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0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-1.275E-07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-3.817E-07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-3.534E-07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-1.419E-07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122</v>
      </c>
      <c r="M1" s="6">
        <f>"Corriente "&amp;IFERROR(INDEX('Registro piloto'!$C$5:$C$19,4),"")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1.419E-07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6.193999999999999E-07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1.502E-06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3.129E-06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1.168E-05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2.052E-05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3.11E-05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2.869E-05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1.714E-05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8.297999999999999E-06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1.907E-06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8.991E-07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2.669E-07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-5.593E-08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-1.119E-07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-5.593E-08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123</v>
      </c>
      <c r="M1" s="6">
        <f>"Corriente "&amp;IFERROR(INDEX('Registro piloto'!$C$5:$C$19,5),"")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6.214E-08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2.656E-07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1.247E-06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3.546E-06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1.206E-05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2.81E-05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3.712E-05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3.323E-05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2.06E-05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6.966E-06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1.837E-06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7.156E-07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2.101E-07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0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6.991E-08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3.076E-07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124</v>
      </c>
      <c r="M1" s="6">
        <f>"Corriente "&amp;IFERROR(INDEX('Registro piloto'!$C$5:$C$19,6),"")</f>
        <v>0</v>
      </c>
    </row>
    <row r="2" spans="1:13">
      <c r="A2" s="11">
        <v>0</v>
      </c>
      <c r="B2" s="11">
        <v>-4.079E-06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-9.944E-07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4.08E-07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1.122E-06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3.197E-06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7.36E-06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1.971E-05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2.784E-05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2.617E-05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1.358E-05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7.177E-06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2.159E-06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9.540000000000001E-07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2.527E-07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-2.775E-08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-1.538E-07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-1.957E-07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125</v>
      </c>
      <c r="M1" s="6">
        <f>"Corriente "&amp;IFERROR(INDEX('Registro piloto'!$C$5:$C$19,7),"")</f>
        <v>0</v>
      </c>
    </row>
    <row r="2" spans="1:13">
      <c r="A2" s="11">
        <v>0</v>
      </c>
      <c r="B2" s="11">
        <v>-8.389000000000001E-08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1.462E-08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2.671E-07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1.024E-06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3.098E-06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1.043E-05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1.996E-05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126</v>
      </c>
      <c r="M1" s="6">
        <f>"Corriente "&amp;IFERROR(INDEX('Registro piloto'!$C$5:$C$19,8),"")</f>
        <v>0</v>
      </c>
    </row>
    <row r="2" spans="1:13">
      <c r="A2" s="11">
        <v>0</v>
      </c>
      <c r="B2" s="11">
        <v>1.398E-07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2.517E-07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6.991E-07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2.521E-06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6.602E-06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2.033E-05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3.533E-05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4.015E-05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3.067E-05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1.458E-05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4.329E-06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1.682E-06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4.194E-07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1.398E-07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1.398E-07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2.796E-07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5.313E-07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127</v>
      </c>
      <c r="M1" s="6">
        <f>"Corriente "&amp;IFERROR(INDEX('Registro piloto'!$C$5:$C$19,9),"")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4.614E-07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1.626E-06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3.783E-06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7.974E-06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1.491E-05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2.229E-05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2.307E-05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1.961E-05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1.274E-05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7.133E-06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3.153E-06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1.163E-06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2.796E-07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-1.54E-07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-2.957E-07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-4.216E-07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128</v>
      </c>
      <c r="M1" s="6">
        <f>"Corriente "&amp;IFERROR(INDEX('Registro piloto'!$C$5:$C$19,10),"")</f>
        <v>0</v>
      </c>
    </row>
    <row r="2" spans="1:13">
      <c r="A2" s="11">
        <v>0</v>
      </c>
      <c r="B2" s="11">
        <v>0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5.046E-07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1.808E-06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3.897E-06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8.718E-06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1.568E-05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2.146E-05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2.357E-05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1.989E-05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1.162E-05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7.008E-06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2.761E-06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1.107E-06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6.991E-08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-2.656E-07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-4.356E-07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-5.614E-07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129</v>
      </c>
      <c r="M1" s="6">
        <f>"Corriente "&amp;IFERROR(INDEX('Registro piloto'!$C$5:$C$19,11),"")</f>
        <v>0</v>
      </c>
    </row>
    <row r="2" spans="1:13">
      <c r="A2" s="11">
        <v>0</v>
      </c>
      <c r="B2" s="11">
        <v>-5.593E-08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5.472E-07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1.584E-06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4.093E-06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8.704E-06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1.494E-05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2.179E-05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2.35E-05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1.922E-05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1.214E-05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6.027E-06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2.663E-06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9.809E-07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1.398E-07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-2.656E-07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-4.216E-07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-5.614E-07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130</v>
      </c>
      <c r="M1" s="6">
        <f>"Corriente "&amp;IFERROR(INDEX('Registro piloto'!$C$5:$C$19,12),"")</f>
        <v>0</v>
      </c>
    </row>
    <row r="2" spans="1:13">
      <c r="A2" s="11">
        <v>0</v>
      </c>
      <c r="B2" s="11">
        <v>-5.894E-07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-5.334000000000001E-07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-4.635E-07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-4.356E-07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-2.796E-07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-1.258E-07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4.904E-07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1.682E-06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4.191E-06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8.914E-06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1.547E-05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2.233E-05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2.345E-05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1.927E-05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1.21E-05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6.195E-06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2.621E-06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170</v>
      </c>
      <c r="B19" s="11">
        <v>1.023E-06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A20" s="11">
        <v>180</v>
      </c>
      <c r="B20" s="11">
        <v>1.398E-07</v>
      </c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A21" s="11">
        <v>190</v>
      </c>
      <c r="B21" s="11">
        <v>-3.08E-07</v>
      </c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A22" s="11">
        <v>200</v>
      </c>
      <c r="B22" s="11">
        <v>-4.635E-07</v>
      </c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A23" s="11">
        <v>210</v>
      </c>
      <c r="B23" s="11">
        <v>-5.334000000000001E-07</v>
      </c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131</v>
      </c>
      <c r="M1" s="6">
        <f>"Corriente "&amp;IFERROR(INDEX('Registro piloto'!$C$5:$C$19,13),"")</f>
        <v>0</v>
      </c>
    </row>
    <row r="2" spans="1:13">
      <c r="A2" s="11">
        <v>0</v>
      </c>
      <c r="B2" s="11">
        <v>-2.796E-07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-8.389000000000001E-08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5.593E-08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0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-1.538E-07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-2.796E-07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-1.398E-07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4.194E-07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2.409E-06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7.399E-06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2.017E-05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3.574E-05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3.978E-05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2.893E-05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1.177E-05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3.951E-06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9.783E-07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170</v>
      </c>
      <c r="B19" s="11">
        <v>0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A20" s="11">
        <v>180</v>
      </c>
      <c r="B20" s="11">
        <v>-2.796E-07</v>
      </c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A21" s="11">
        <v>190</v>
      </c>
      <c r="B21" s="11">
        <v>-2.796E-07</v>
      </c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A22" s="11">
        <v>200</v>
      </c>
      <c r="B22" s="11">
        <v>-1.398E-07</v>
      </c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A23" s="11">
        <v>210</v>
      </c>
      <c r="B23" s="11">
        <v>4.194E-08</v>
      </c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132</v>
      </c>
      <c r="M1" s="6">
        <f>"Corriente "&amp;IFERROR(INDEX('Registro piloto'!$C$5:$C$19,14),"")</f>
        <v>0</v>
      </c>
    </row>
    <row r="2" spans="1:13">
      <c r="A2" s="11">
        <v>0</v>
      </c>
      <c r="B2" s="11">
        <v>1.398E-08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5.59E-08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0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1.538E-07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1.678E-07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5.754E-07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1.079E-06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2.201E-06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4.345E-06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8.661999999999999E-06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1.611E-05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2.244E-05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2.47E-05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1.992E-05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1.308E-05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6.027E-06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3.21E-07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170</v>
      </c>
      <c r="B19" s="11">
        <v>1.696E-06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A20" s="11">
        <v>180</v>
      </c>
      <c r="B20" s="11">
        <v>7.152000000000001E-07</v>
      </c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A21" s="11">
        <v>190</v>
      </c>
      <c r="B21" s="11">
        <v>2.938E-07</v>
      </c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A22" s="11">
        <v>200</v>
      </c>
      <c r="B22" s="11">
        <v>6.991E-08</v>
      </c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A23" s="11">
        <v>210</v>
      </c>
      <c r="B23" s="11">
        <v>2.796E-08</v>
      </c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3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133</v>
      </c>
      <c r="M1" s="6">
        <f>"Corriente "&amp;IFERROR(INDEX('Registro piloto'!$C$5:$C$19,15),"")</f>
        <v>0</v>
      </c>
    </row>
    <row r="2" spans="1:13">
      <c r="A2" s="11">
        <v>0</v>
      </c>
      <c r="B2" s="11">
        <v>-1.4E-08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</row>
    <row r="3" spans="1:13">
      <c r="A3" s="11">
        <v>10</v>
      </c>
      <c r="B3" s="11">
        <v>-1.398E-08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</row>
    <row r="4" spans="1:13">
      <c r="A4" s="11">
        <v>20</v>
      </c>
      <c r="B4" s="11">
        <v>0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</row>
    <row r="5" spans="1:13">
      <c r="A5" s="11">
        <v>30</v>
      </c>
      <c r="B5" s="11">
        <v>0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</row>
    <row r="6" spans="1:13">
      <c r="A6" s="11">
        <v>40</v>
      </c>
      <c r="B6" s="11">
        <v>-1.398E-08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</row>
    <row r="7" spans="1:13">
      <c r="A7" s="11">
        <v>50</v>
      </c>
      <c r="B7" s="11">
        <v>0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</row>
    <row r="8" spans="1:13">
      <c r="A8" s="11">
        <v>60</v>
      </c>
      <c r="B8" s="11">
        <v>2.796E-07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</row>
    <row r="9" spans="1:13">
      <c r="A9" s="11">
        <v>70</v>
      </c>
      <c r="B9" s="11">
        <v>9.809E-07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</row>
    <row r="10" spans="1:13">
      <c r="A10" s="11">
        <v>80</v>
      </c>
      <c r="B10" s="11">
        <v>1.949E-06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3">
      <c r="A11" s="11">
        <v>90</v>
      </c>
      <c r="B11" s="11">
        <v>5.002E-06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3">
      <c r="A12" s="11">
        <v>100</v>
      </c>
      <c r="B12" s="11">
        <v>1.794E-05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3">
      <c r="A13" s="11">
        <v>110</v>
      </c>
      <c r="B13" s="11">
        <v>3.075E-05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3">
      <c r="A14" s="11">
        <v>120</v>
      </c>
      <c r="B14" s="11">
        <v>3.37E-05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3">
      <c r="A15" s="11">
        <v>130</v>
      </c>
      <c r="B15" s="11">
        <v>2.324E-05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3">
      <c r="A16" s="11">
        <v>140</v>
      </c>
      <c r="B16" s="11">
        <v>1.002E-05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150</v>
      </c>
      <c r="B17" s="11">
        <v>3.194E-06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160</v>
      </c>
      <c r="B18" s="11">
        <v>1.498E-06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170</v>
      </c>
      <c r="B19" s="11">
        <v>5.614E-07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A20" s="11">
        <v>180</v>
      </c>
      <c r="B20" s="11">
        <v>1.398E-07</v>
      </c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A21" s="11">
        <v>190</v>
      </c>
      <c r="B21" s="11">
        <v>-1.398E-08</v>
      </c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A22" s="11">
        <v>200</v>
      </c>
      <c r="B22" s="11">
        <v>-4.194E-08</v>
      </c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A23" s="11">
        <v>210</v>
      </c>
      <c r="B23" s="11">
        <v>0</v>
      </c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A6A6A6"/>
    <pageSetUpPr fitToPage="1"/>
  </sheetPr>
  <dimension ref="A1:Q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11" customWidth="1"/>
    <col min="3" max="5" width="12.7109375" customWidth="1"/>
    <col min="6" max="8" width="9.7109375" customWidth="1"/>
    <col min="9" max="10" width="11.7109375" customWidth="1"/>
    <col min="11" max="11" width="7.7109375" customWidth="1"/>
    <col min="12" max="12" width="40.7109375" customWidth="1"/>
    <col min="13" max="13" width="14.7109375" customWidth="1"/>
  </cols>
  <sheetData>
    <row r="1" spans="1:17" ht="42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134</v>
      </c>
      <c r="M1" s="6">
        <f>"Ejemplo"</f>
        <v>0</v>
      </c>
    </row>
    <row r="2" spans="1:17">
      <c r="A2" s="11">
        <v>12463</v>
      </c>
      <c r="B2" s="11">
        <v>7.03E-07</v>
      </c>
      <c r="C2" s="22">
        <f>IF(ISNUMBER(A2),A2*conv,"")</f>
        <v>0</v>
      </c>
      <c r="D2" s="28">
        <f>IF(ISNUMBER(B2),AVERAGE(INDEX($B$2:$B$301,MAX(1,1-semi)):INDEX($B$2:$B$301,MIN($M$2,1+semi))),"")</f>
        <v>0</v>
      </c>
      <c r="E2" s="28">
        <f>IF(AND(ISNUMBER(D2),ISNUMBER($M$4)),(D2-$M$4)/($M$5-$M$4),"")</f>
        <v>0</v>
      </c>
      <c r="F2" s="22">
        <f>IF(AND(ISNUMBER(E2),ISNUMBER(E3),ISNUMBER($M$6)),IF(AND(2&lt;$M$6,E2&lt;0.5,E3&gt;=0.5),2,""),"")</f>
        <v>0</v>
      </c>
      <c r="G2" s="22">
        <f>IF(AND(ISNUMBER(E2),ISNUMBER(E3),ISNUMBER($M$6)),IF(AND(2&gt;=$M$6,E2&gt;=0.5,E3&lt;0.5),2,""),"")</f>
        <v>0</v>
      </c>
      <c r="H2" s="22">
        <f>IF(OR(ISNUMBER(F2),ISNUMBER(G2)),C2+(0.5-E2)*(C3-C2)/(E3-E2),"")</f>
        <v>0</v>
      </c>
      <c r="I2" s="22">
        <f>IF(AND(ISNUMBER(E2),ISNUMBER($M$15)),C2-$M$15,NA())</f>
        <v>0</v>
      </c>
      <c r="J2" s="28">
        <f>IF(ISNUMBER(E2),E2,NA())</f>
        <v>0</v>
      </c>
      <c r="K2" s="22">
        <f>IF(AND(ISNUMBER(C2),ISNUMBER(C3)),SIGN(C3-C2),"")</f>
        <v>0</v>
      </c>
      <c r="L2" s="8" t="s">
        <v>99</v>
      </c>
      <c r="M2" s="12">
        <f>COUNT($A$2:$A$301)</f>
        <v>0</v>
      </c>
      <c r="N2" s="10" t="s">
        <v>135</v>
      </c>
      <c r="O2" s="10"/>
      <c r="P2" s="10"/>
      <c r="Q2" s="10"/>
    </row>
    <row r="3" spans="1:17">
      <c r="A3" s="11">
        <v>12475</v>
      </c>
      <c r="B3" s="11">
        <v>7.32E-07</v>
      </c>
      <c r="C3" s="22">
        <f>IF(ISNUMBER(A3),A3*conv,"")</f>
        <v>0</v>
      </c>
      <c r="D3" s="28">
        <f>IF(ISNUMBER(B3),AVERAGE(INDEX($B$2:$B$301,MAX(1,2-semi)):INDEX($B$2:$B$301,MIN($M$2,2+semi))),"")</f>
        <v>0</v>
      </c>
      <c r="E3" s="28">
        <f>IF(AND(ISNUMBER(D3),ISNUMBER($M$4)),(D3-$M$4)/($M$5-$M$4),"")</f>
        <v>0</v>
      </c>
      <c r="F3" s="22">
        <f>IF(AND(ISNUMBER(E3),ISNUMBER(E4),ISNUMBER($M$6)),IF(AND(3&lt;$M$6,E3&lt;0.5,E4&gt;=0.5),3,""),"")</f>
        <v>0</v>
      </c>
      <c r="G3" s="22">
        <f>IF(AND(ISNUMBER(E3),ISNUMBER(E4),ISNUMBER($M$6)),IF(AND(3&gt;=$M$6,E3&gt;=0.5,E4&lt;0.5),3,""),"")</f>
        <v>0</v>
      </c>
      <c r="H3" s="22">
        <f>IF(OR(ISNUMBER(F3),ISNUMBER(G3)),C3+(0.5-E3)*(C4-C3)/(E4-E3),"")</f>
        <v>0</v>
      </c>
      <c r="I3" s="22">
        <f>IF(AND(ISNUMBER(E3),ISNUMBER($M$15)),C3-$M$15,NA())</f>
        <v>0</v>
      </c>
      <c r="J3" s="28">
        <f>IF(ISNUMBER(E3),E3,NA())</f>
        <v>0</v>
      </c>
      <c r="K3" s="22">
        <f>IF(AND(ISNUMBER(C3),ISNUMBER(C4)),SIGN(C4-C3),"")</f>
        <v>0</v>
      </c>
      <c r="L3" s="8" t="s">
        <v>100</v>
      </c>
      <c r="M3" s="12">
        <f>COUNT($B$2:$B$301)</f>
        <v>0</v>
      </c>
      <c r="N3" s="10"/>
      <c r="O3" s="10"/>
      <c r="P3" s="10"/>
      <c r="Q3" s="10"/>
    </row>
    <row r="4" spans="1:17">
      <c r="A4" s="11">
        <v>12485</v>
      </c>
      <c r="B4" s="11">
        <v>2.067E-06</v>
      </c>
      <c r="C4" s="22">
        <f>IF(ISNUMBER(A4),A4*conv,"")</f>
        <v>0</v>
      </c>
      <c r="D4" s="28">
        <f>IF(ISNUMBER(B4),AVERAGE(INDEX($B$2:$B$301,MAX(1,3-semi)):INDEX($B$2:$B$301,MIN($M$2,3+semi))),"")</f>
        <v>0</v>
      </c>
      <c r="E4" s="28">
        <f>IF(AND(ISNUMBER(D4),ISNUMBER($M$4)),(D4-$M$4)/($M$5-$M$4),"")</f>
        <v>0</v>
      </c>
      <c r="F4" s="22">
        <f>IF(AND(ISNUMBER(E4),ISNUMBER(E5),ISNUMBER($M$6)),IF(AND(4&lt;$M$6,E4&lt;0.5,E5&gt;=0.5),4,""),"")</f>
        <v>0</v>
      </c>
      <c r="G4" s="22">
        <f>IF(AND(ISNUMBER(E4),ISNUMBER(E5),ISNUMBER($M$6)),IF(AND(4&gt;=$M$6,E4&gt;=0.5,E5&lt;0.5),4,""),"")</f>
        <v>0</v>
      </c>
      <c r="H4" s="22">
        <f>IF(OR(ISNUMBER(F4),ISNUMBER(G4)),C4+(0.5-E4)*(C5-C4)/(E5-E4),"")</f>
        <v>0</v>
      </c>
      <c r="I4" s="22">
        <f>IF(AND(ISNUMBER(E4),ISNUMBER($M$15)),C4-$M$15,NA())</f>
        <v>0</v>
      </c>
      <c r="J4" s="28">
        <f>IF(ISNUMBER(E4),E4,NA())</f>
        <v>0</v>
      </c>
      <c r="K4" s="22">
        <f>IF(AND(ISNUMBER(C4),ISNUMBER(C5)),SIGN(C5-C4),"")</f>
        <v>0</v>
      </c>
      <c r="L4" s="8" t="s">
        <v>101</v>
      </c>
      <c r="M4" s="31">
        <f>IF($M$3&lt;2*n_fondo,"",(AVERAGE(INDEX($B$2:$B$301,1):INDEX($B$2:$B$301,n_fondo))+AVERAGE(INDEX($B$2:$B$301,$M$3-n_fondo+1):INDEX($B$2:$B$301,$M$3)))/2)</f>
        <v>0</v>
      </c>
      <c r="N4" s="10"/>
      <c r="O4" s="10"/>
      <c r="P4" s="10"/>
      <c r="Q4" s="10"/>
    </row>
    <row r="5" spans="1:17">
      <c r="A5" s="11">
        <v>12487</v>
      </c>
      <c r="B5" s="11">
        <v>3.397E-06</v>
      </c>
      <c r="C5" s="22">
        <f>IF(ISNUMBER(A5),A5*conv,"")</f>
        <v>0</v>
      </c>
      <c r="D5" s="28">
        <f>IF(ISNUMBER(B5),AVERAGE(INDEX($B$2:$B$301,MAX(1,4-semi)):INDEX($B$2:$B$301,MIN($M$2,4+semi))),"")</f>
        <v>0</v>
      </c>
      <c r="E5" s="28">
        <f>IF(AND(ISNUMBER(D5),ISNUMBER($M$4)),(D5-$M$4)/($M$5-$M$4),"")</f>
        <v>0</v>
      </c>
      <c r="F5" s="22">
        <f>IF(AND(ISNUMBER(E5),ISNUMBER(E6),ISNUMBER($M$6)),IF(AND(5&lt;$M$6,E5&lt;0.5,E6&gt;=0.5),5,""),"")</f>
        <v>0</v>
      </c>
      <c r="G5" s="22">
        <f>IF(AND(ISNUMBER(E5),ISNUMBER(E6),ISNUMBER($M$6)),IF(AND(5&gt;=$M$6,E5&gt;=0.5,E6&lt;0.5),5,""),"")</f>
        <v>0</v>
      </c>
      <c r="H5" s="22">
        <f>IF(OR(ISNUMBER(F5),ISNUMBER(G5)),C5+(0.5-E5)*(C6-C5)/(E6-E5),"")</f>
        <v>0</v>
      </c>
      <c r="I5" s="22">
        <f>IF(AND(ISNUMBER(E5),ISNUMBER($M$15)),C5-$M$15,NA())</f>
        <v>0</v>
      </c>
      <c r="J5" s="28">
        <f>IF(ISNUMBER(E5),E5,NA())</f>
        <v>0</v>
      </c>
      <c r="K5" s="22">
        <f>IF(AND(ISNUMBER(C5),ISNUMBER(C6)),SIGN(C6-C5),"")</f>
        <v>0</v>
      </c>
      <c r="L5" s="8" t="s">
        <v>102</v>
      </c>
      <c r="M5" s="31">
        <f>IF($M$3&lt;2*n_fondo,"",MAX($D$2:$D$301))</f>
        <v>0</v>
      </c>
      <c r="N5" s="10"/>
      <c r="O5" s="10"/>
      <c r="P5" s="10"/>
      <c r="Q5" s="10"/>
    </row>
    <row r="6" spans="1:17">
      <c r="A6" s="11">
        <v>12489</v>
      </c>
      <c r="B6" s="11">
        <v>5.705E-06</v>
      </c>
      <c r="C6" s="22">
        <f>IF(ISNUMBER(A6),A6*conv,"")</f>
        <v>0</v>
      </c>
      <c r="D6" s="28">
        <f>IF(ISNUMBER(B6),AVERAGE(INDEX($B$2:$B$301,MAX(1,5-semi)):INDEX($B$2:$B$301,MIN($M$2,5+semi))),"")</f>
        <v>0</v>
      </c>
      <c r="E6" s="28">
        <f>IF(AND(ISNUMBER(D6),ISNUMBER($M$4)),(D6-$M$4)/($M$5-$M$4),"")</f>
        <v>0</v>
      </c>
      <c r="F6" s="22">
        <f>IF(AND(ISNUMBER(E6),ISNUMBER(E7),ISNUMBER($M$6)),IF(AND(6&lt;$M$6,E6&lt;0.5,E7&gt;=0.5),6,""),"")</f>
        <v>0</v>
      </c>
      <c r="G6" s="22">
        <f>IF(AND(ISNUMBER(E6),ISNUMBER(E7),ISNUMBER($M$6)),IF(AND(6&gt;=$M$6,E6&gt;=0.5,E7&lt;0.5),6,""),"")</f>
        <v>0</v>
      </c>
      <c r="H6" s="22">
        <f>IF(OR(ISNUMBER(F6),ISNUMBER(G6)),C6+(0.5-E6)*(C7-C6)/(E7-E6),"")</f>
        <v>0</v>
      </c>
      <c r="I6" s="22">
        <f>IF(AND(ISNUMBER(E6),ISNUMBER($M$15)),C6-$M$15,NA())</f>
        <v>0</v>
      </c>
      <c r="J6" s="28">
        <f>IF(ISNUMBER(E6),E6,NA())</f>
        <v>0</v>
      </c>
      <c r="K6" s="22">
        <f>IF(AND(ISNUMBER(C6),ISNUMBER(C7)),SIGN(C7-C6),"")</f>
        <v>0</v>
      </c>
      <c r="L6" s="8" t="s">
        <v>103</v>
      </c>
      <c r="M6" s="12">
        <f>IFERROR(MATCH($M$5,$D$2:$D$301,0)+1,"")</f>
        <v>0</v>
      </c>
      <c r="N6" s="10"/>
      <c r="O6" s="10"/>
      <c r="P6" s="10"/>
      <c r="Q6" s="10"/>
    </row>
    <row r="7" spans="1:17">
      <c r="A7" s="11">
        <v>12491</v>
      </c>
      <c r="B7" s="11">
        <v>9.724999999999999E-06</v>
      </c>
      <c r="C7" s="22">
        <f>IF(ISNUMBER(A7),A7*conv,"")</f>
        <v>0</v>
      </c>
      <c r="D7" s="28">
        <f>IF(ISNUMBER(B7),AVERAGE(INDEX($B$2:$B$301,MAX(1,6-semi)):INDEX($B$2:$B$301,MIN($M$2,6+semi))),"")</f>
        <v>0</v>
      </c>
      <c r="E7" s="28">
        <f>IF(AND(ISNUMBER(D7),ISNUMBER($M$4)),(D7-$M$4)/($M$5-$M$4),"")</f>
        <v>0</v>
      </c>
      <c r="F7" s="22">
        <f>IF(AND(ISNUMBER(E7),ISNUMBER(E8),ISNUMBER($M$6)),IF(AND(7&lt;$M$6,E7&lt;0.5,E8&gt;=0.5),7,""),"")</f>
        <v>0</v>
      </c>
      <c r="G7" s="22">
        <f>IF(AND(ISNUMBER(E7),ISNUMBER(E8),ISNUMBER($M$6)),IF(AND(7&gt;=$M$6,E7&gt;=0.5,E8&lt;0.5),7,""),"")</f>
        <v>0</v>
      </c>
      <c r="H7" s="22">
        <f>IF(OR(ISNUMBER(F7),ISNUMBER(G7)),C7+(0.5-E7)*(C8-C7)/(E8-E7),"")</f>
        <v>0</v>
      </c>
      <c r="I7" s="22">
        <f>IF(AND(ISNUMBER(E7),ISNUMBER($M$15)),C7-$M$15,NA())</f>
        <v>0</v>
      </c>
      <c r="J7" s="28">
        <f>IF(ISNUMBER(E7),E7,NA())</f>
        <v>0</v>
      </c>
      <c r="K7" s="22">
        <f>IF(AND(ISNUMBER(C7),ISNUMBER(C8)),SIGN(C8-C7),"")</f>
        <v>0</v>
      </c>
      <c r="L7" s="8" t="s">
        <v>104</v>
      </c>
      <c r="M7" s="17">
        <f>IFERROR(INDEX($C$1:$C$301,$M$6),"")</f>
        <v>0</v>
      </c>
      <c r="N7" s="10"/>
      <c r="O7" s="10"/>
      <c r="P7" s="10"/>
      <c r="Q7" s="10"/>
    </row>
    <row r="8" spans="1:17">
      <c r="A8" s="11">
        <v>12493</v>
      </c>
      <c r="B8" s="11">
        <v>1.5852E-05</v>
      </c>
      <c r="C8" s="22">
        <f>IF(ISNUMBER(A8),A8*conv,"")</f>
        <v>0</v>
      </c>
      <c r="D8" s="28">
        <f>IF(ISNUMBER(B8),AVERAGE(INDEX($B$2:$B$301,MAX(1,7-semi)):INDEX($B$2:$B$301,MIN($M$2,7+semi))),"")</f>
        <v>0</v>
      </c>
      <c r="E8" s="28">
        <f>IF(AND(ISNUMBER(D8),ISNUMBER($M$4)),(D8-$M$4)/($M$5-$M$4),"")</f>
        <v>0</v>
      </c>
      <c r="F8" s="22">
        <f>IF(AND(ISNUMBER(E8),ISNUMBER(E9),ISNUMBER($M$6)),IF(AND(8&lt;$M$6,E8&lt;0.5,E9&gt;=0.5),8,""),"")</f>
        <v>0</v>
      </c>
      <c r="G8" s="22">
        <f>IF(AND(ISNUMBER(E8),ISNUMBER(E9),ISNUMBER($M$6)),IF(AND(8&gt;=$M$6,E8&gt;=0.5,E9&lt;0.5),8,""),"")</f>
        <v>0</v>
      </c>
      <c r="H8" s="22">
        <f>IF(OR(ISNUMBER(F8),ISNUMBER(G8)),C8+(0.5-E8)*(C9-C8)/(E9-E8),"")</f>
        <v>0</v>
      </c>
      <c r="I8" s="22">
        <f>IF(AND(ISNUMBER(E8),ISNUMBER($M$15)),C8-$M$15,NA())</f>
        <v>0</v>
      </c>
      <c r="J8" s="28">
        <f>IF(ISNUMBER(E8),E8,NA())</f>
        <v>0</v>
      </c>
      <c r="K8" s="22">
        <f>IF(AND(ISNUMBER(C8),ISNUMBER(C9)),SIGN(C9-C8),"")</f>
        <v>0</v>
      </c>
      <c r="L8" s="8" t="s">
        <v>105</v>
      </c>
      <c r="M8" s="12">
        <f>MAX($F$2:$F$301)</f>
        <v>0</v>
      </c>
      <c r="N8" s="10"/>
      <c r="O8" s="10"/>
      <c r="P8" s="10"/>
      <c r="Q8" s="10"/>
    </row>
    <row r="9" spans="1:17">
      <c r="A9" s="11">
        <v>12495</v>
      </c>
      <c r="B9" s="11">
        <v>2.2751E-05</v>
      </c>
      <c r="C9" s="22">
        <f>IF(ISNUMBER(A9),A9*conv,"")</f>
        <v>0</v>
      </c>
      <c r="D9" s="28">
        <f>IF(ISNUMBER(B9),AVERAGE(INDEX($B$2:$B$301,MAX(1,8-semi)):INDEX($B$2:$B$301,MIN($M$2,8+semi))),"")</f>
        <v>0</v>
      </c>
      <c r="E9" s="28">
        <f>IF(AND(ISNUMBER(D9),ISNUMBER($M$4)),(D9-$M$4)/($M$5-$M$4),"")</f>
        <v>0</v>
      </c>
      <c r="F9" s="22">
        <f>IF(AND(ISNUMBER(E9),ISNUMBER(E10),ISNUMBER($M$6)),IF(AND(9&lt;$M$6,E9&lt;0.5,E10&gt;=0.5),9,""),"")</f>
        <v>0</v>
      </c>
      <c r="G9" s="22">
        <f>IF(AND(ISNUMBER(E9),ISNUMBER(E10),ISNUMBER($M$6)),IF(AND(9&gt;=$M$6,E9&gt;=0.5,E10&lt;0.5),9,""),"")</f>
        <v>0</v>
      </c>
      <c r="H9" s="22">
        <f>IF(OR(ISNUMBER(F9),ISNUMBER(G9)),C9+(0.5-E9)*(C10-C9)/(E10-E9),"")</f>
        <v>0</v>
      </c>
      <c r="I9" s="22">
        <f>IF(AND(ISNUMBER(E9),ISNUMBER($M$15)),C9-$M$15,NA())</f>
        <v>0</v>
      </c>
      <c r="J9" s="28">
        <f>IF(ISNUMBER(E9),E9,NA())</f>
        <v>0</v>
      </c>
      <c r="K9" s="22">
        <f>IF(AND(ISNUMBER(C9),ISNUMBER(C10)),SIGN(C10-C9),"")</f>
        <v>0</v>
      </c>
      <c r="L9" s="8" t="s">
        <v>106</v>
      </c>
      <c r="M9" s="12">
        <f>MIN($G$2:$G$301)</f>
        <v>0</v>
      </c>
      <c r="N9" s="10"/>
      <c r="O9" s="10"/>
      <c r="P9" s="10"/>
      <c r="Q9" s="10"/>
    </row>
    <row r="10" spans="1:17">
      <c r="A10" s="11">
        <v>12497</v>
      </c>
      <c r="B10" s="11">
        <v>3.0005E-05</v>
      </c>
      <c r="C10" s="22">
        <f>IF(ISNUMBER(A10),A10*conv,"")</f>
        <v>0</v>
      </c>
      <c r="D10" s="28">
        <f>IF(ISNUMBER(B10),AVERAGE(INDEX($B$2:$B$301,MAX(1,9-semi)):INDEX($B$2:$B$301,MIN($M$2,9+semi))),"")</f>
        <v>0</v>
      </c>
      <c r="E10" s="28">
        <f>IF(AND(ISNUMBER(D10),ISNUMBER($M$4)),(D10-$M$4)/($M$5-$M$4),"")</f>
        <v>0</v>
      </c>
      <c r="F10" s="22">
        <f>IF(AND(ISNUMBER(E10),ISNUMBER(E11),ISNUMBER($M$6)),IF(AND(10&lt;$M$6,E10&lt;0.5,E11&gt;=0.5),10,""),"")</f>
        <v>0</v>
      </c>
      <c r="G10" s="22">
        <f>IF(AND(ISNUMBER(E10),ISNUMBER(E11),ISNUMBER($M$6)),IF(AND(10&gt;=$M$6,E10&gt;=0.5,E11&lt;0.5),10,""),"")</f>
        <v>0</v>
      </c>
      <c r="H10" s="22">
        <f>IF(OR(ISNUMBER(F10),ISNUMBER(G10)),C10+(0.5-E10)*(C11-C10)/(E11-E10),"")</f>
        <v>0</v>
      </c>
      <c r="I10" s="22">
        <f>IF(AND(ISNUMBER(E10),ISNUMBER($M$15)),C10-$M$15,NA())</f>
        <v>0</v>
      </c>
      <c r="J10" s="28">
        <f>IF(ISNUMBER(E10),E10,NA())</f>
        <v>0</v>
      </c>
      <c r="K10" s="22">
        <f>IF(AND(ISNUMBER(C10),ISNUMBER(C11)),SIGN(C11-C10),"")</f>
        <v>0</v>
      </c>
      <c r="L10" s="8" t="s">
        <v>107</v>
      </c>
      <c r="M10" s="17">
        <f>IF($M$8&gt;0,INDEX($H$1:$H$301,$M$8),"")</f>
        <v>0</v>
      </c>
    </row>
    <row r="11" spans="1:17">
      <c r="A11" s="11">
        <v>12499</v>
      </c>
      <c r="B11" s="11">
        <v>3.5301E-05</v>
      </c>
      <c r="C11" s="22">
        <f>IF(ISNUMBER(A11),A11*conv,"")</f>
        <v>0</v>
      </c>
      <c r="D11" s="28">
        <f>IF(ISNUMBER(B11),AVERAGE(INDEX($B$2:$B$301,MAX(1,10-semi)):INDEX($B$2:$B$301,MIN($M$2,10+semi))),"")</f>
        <v>0</v>
      </c>
      <c r="E11" s="28">
        <f>IF(AND(ISNUMBER(D11),ISNUMBER($M$4)),(D11-$M$4)/($M$5-$M$4),"")</f>
        <v>0</v>
      </c>
      <c r="F11" s="22">
        <f>IF(AND(ISNUMBER(E11),ISNUMBER(E12),ISNUMBER($M$6)),IF(AND(11&lt;$M$6,E11&lt;0.5,E12&gt;=0.5),11,""),"")</f>
        <v>0</v>
      </c>
      <c r="G11" s="22">
        <f>IF(AND(ISNUMBER(E11),ISNUMBER(E12),ISNUMBER($M$6)),IF(AND(11&gt;=$M$6,E11&gt;=0.5,E12&lt;0.5),11,""),"")</f>
        <v>0</v>
      </c>
      <c r="H11" s="22">
        <f>IF(OR(ISNUMBER(F11),ISNUMBER(G11)),C11+(0.5-E11)*(C12-C11)/(E12-E11),"")</f>
        <v>0</v>
      </c>
      <c r="I11" s="22">
        <f>IF(AND(ISNUMBER(E11),ISNUMBER($M$15)),C11-$M$15,NA())</f>
        <v>0</v>
      </c>
      <c r="J11" s="28">
        <f>IF(ISNUMBER(E11),E11,NA())</f>
        <v>0</v>
      </c>
      <c r="K11" s="22">
        <f>IF(AND(ISNUMBER(C11),ISNUMBER(C12)),SIGN(C12-C11),"")</f>
        <v>0</v>
      </c>
      <c r="L11" s="8" t="s">
        <v>108</v>
      </c>
      <c r="M11" s="17">
        <f>IF($M$9&gt;0,INDEX($H$1:$H$301,$M$9),"")</f>
        <v>0</v>
      </c>
    </row>
    <row r="12" spans="1:17">
      <c r="A12" s="11">
        <v>12501</v>
      </c>
      <c r="B12" s="11">
        <v>3.5231E-05</v>
      </c>
      <c r="C12" s="22">
        <f>IF(ISNUMBER(A12),A12*conv,"")</f>
        <v>0</v>
      </c>
      <c r="D12" s="28">
        <f>IF(ISNUMBER(B12),AVERAGE(INDEX($B$2:$B$301,MAX(1,11-semi)):INDEX($B$2:$B$301,MIN($M$2,11+semi))),"")</f>
        <v>0</v>
      </c>
      <c r="E12" s="28">
        <f>IF(AND(ISNUMBER(D12),ISNUMBER($M$4)),(D12-$M$4)/($M$5-$M$4),"")</f>
        <v>0</v>
      </c>
      <c r="F12" s="22">
        <f>IF(AND(ISNUMBER(E12),ISNUMBER(E13),ISNUMBER($M$6)),IF(AND(12&lt;$M$6,E12&lt;0.5,E13&gt;=0.5),12,""),"")</f>
        <v>0</v>
      </c>
      <c r="G12" s="22">
        <f>IF(AND(ISNUMBER(E12),ISNUMBER(E13),ISNUMBER($M$6)),IF(AND(12&gt;=$M$6,E12&gt;=0.5,E13&lt;0.5),12,""),"")</f>
        <v>0</v>
      </c>
      <c r="H12" s="22">
        <f>IF(OR(ISNUMBER(F12),ISNUMBER(G12)),C12+(0.5-E12)*(C13-C12)/(E13-E12),"")</f>
        <v>0</v>
      </c>
      <c r="I12" s="22">
        <f>IF(AND(ISNUMBER(E12),ISNUMBER($M$15)),C12-$M$15,NA())</f>
        <v>0</v>
      </c>
      <c r="J12" s="28">
        <f>IF(ISNUMBER(E12),E12,NA())</f>
        <v>0</v>
      </c>
      <c r="K12" s="22">
        <f>IF(AND(ISNUMBER(C12),ISNUMBER(C13)),SIGN(C13-C12),"")</f>
        <v>0</v>
      </c>
      <c r="L12" s="8" t="s">
        <v>109</v>
      </c>
      <c r="M12" s="23">
        <f>IF(AND($M$8&gt;0,$M$9&gt;0),ABS($M$11-$M$10),"")</f>
        <v>0</v>
      </c>
    </row>
    <row r="13" spans="1:17">
      <c r="A13" s="11">
        <v>12503</v>
      </c>
      <c r="B13" s="11">
        <v>3.0335E-05</v>
      </c>
      <c r="C13" s="22">
        <f>IF(ISNUMBER(A13),A13*conv,"")</f>
        <v>0</v>
      </c>
      <c r="D13" s="28">
        <f>IF(ISNUMBER(B13),AVERAGE(INDEX($B$2:$B$301,MAX(1,12-semi)):INDEX($B$2:$B$301,MIN($M$2,12+semi))),"")</f>
        <v>0</v>
      </c>
      <c r="E13" s="28">
        <f>IF(AND(ISNUMBER(D13),ISNUMBER($M$4)),(D13-$M$4)/($M$5-$M$4),"")</f>
        <v>0</v>
      </c>
      <c r="F13" s="22">
        <f>IF(AND(ISNUMBER(E13),ISNUMBER(E14),ISNUMBER($M$6)),IF(AND(13&lt;$M$6,E13&lt;0.5,E14&gt;=0.5),13,""),"")</f>
        <v>0</v>
      </c>
      <c r="G13" s="22">
        <f>IF(AND(ISNUMBER(E13),ISNUMBER(E14),ISNUMBER($M$6)),IF(AND(13&gt;=$M$6,E13&gt;=0.5,E14&lt;0.5),13,""),"")</f>
        <v>0</v>
      </c>
      <c r="H13" s="22">
        <f>IF(OR(ISNUMBER(F13),ISNUMBER(G13)),C13+(0.5-E13)*(C14-C13)/(E14-E13),"")</f>
        <v>0</v>
      </c>
      <c r="I13" s="22">
        <f>IF(AND(ISNUMBER(E13),ISNUMBER($M$15)),C13-$M$15,NA())</f>
        <v>0</v>
      </c>
      <c r="J13" s="28">
        <f>IF(ISNUMBER(E13),E13,NA())</f>
        <v>0</v>
      </c>
      <c r="K13" s="22">
        <f>IF(AND(ISNUMBER(C13),ISNUMBER(C14)),SIGN(C14-C13),"")</f>
        <v>0</v>
      </c>
      <c r="L13" s="8" t="s">
        <v>110</v>
      </c>
      <c r="M13" s="23">
        <f>IF(ISNUMBER($M$12),factor_forma*$M$12,"")</f>
        <v>0</v>
      </c>
    </row>
    <row r="14" spans="1:17">
      <c r="A14" s="11">
        <v>12505</v>
      </c>
      <c r="B14" s="11">
        <v>2.26E-05</v>
      </c>
      <c r="C14" s="22">
        <f>IF(ISNUMBER(A14),A14*conv,"")</f>
        <v>0</v>
      </c>
      <c r="D14" s="28">
        <f>IF(ISNUMBER(B14),AVERAGE(INDEX($B$2:$B$301,MAX(1,13-semi)):INDEX($B$2:$B$301,MIN($M$2,13+semi))),"")</f>
        <v>0</v>
      </c>
      <c r="E14" s="28">
        <f>IF(AND(ISNUMBER(D14),ISNUMBER($M$4)),(D14-$M$4)/($M$5-$M$4),"")</f>
        <v>0</v>
      </c>
      <c r="F14" s="22">
        <f>IF(AND(ISNUMBER(E14),ISNUMBER(E15),ISNUMBER($M$6)),IF(AND(14&lt;$M$6,E14&lt;0.5,E15&gt;=0.5),14,""),"")</f>
        <v>0</v>
      </c>
      <c r="G14" s="22">
        <f>IF(AND(ISNUMBER(E14),ISNUMBER(E15),ISNUMBER($M$6)),IF(AND(14&gt;=$M$6,E14&gt;=0.5,E15&lt;0.5),14,""),"")</f>
        <v>0</v>
      </c>
      <c r="H14" s="22">
        <f>IF(OR(ISNUMBER(F14),ISNUMBER(G14)),C14+(0.5-E14)*(C15-C14)/(E15-E14),"")</f>
        <v>0</v>
      </c>
      <c r="I14" s="22">
        <f>IF(AND(ISNUMBER(E14),ISNUMBER($M$15)),C14-$M$15,NA())</f>
        <v>0</v>
      </c>
      <c r="J14" s="28">
        <f>IF(ISNUMBER(E14),E14,NA())</f>
        <v>0</v>
      </c>
      <c r="K14" s="22">
        <f>IF(AND(ISNUMBER(C14),ISNUMBER(C15)),SIGN(C15-C14),"")</f>
        <v>0</v>
      </c>
      <c r="L14" s="8" t="s">
        <v>111</v>
      </c>
      <c r="M14" s="17">
        <f>IF(ISNUMBER($M$12),0.7071*$M$12,"")</f>
        <v>0</v>
      </c>
    </row>
    <row r="15" spans="1:17">
      <c r="A15" s="11">
        <v>12507</v>
      </c>
      <c r="B15" s="11">
        <v>1.5533E-05</v>
      </c>
      <c r="C15" s="22">
        <f>IF(ISNUMBER(A15),A15*conv,"")</f>
        <v>0</v>
      </c>
      <c r="D15" s="28">
        <f>IF(ISNUMBER(B15),AVERAGE(INDEX($B$2:$B$301,MAX(1,14-semi)):INDEX($B$2:$B$301,MIN($M$2,14+semi))),"")</f>
        <v>0</v>
      </c>
      <c r="E15" s="28">
        <f>IF(AND(ISNUMBER(D15),ISNUMBER($M$4)),(D15-$M$4)/($M$5-$M$4),"")</f>
        <v>0</v>
      </c>
      <c r="F15" s="22">
        <f>IF(AND(ISNUMBER(E15),ISNUMBER(E16),ISNUMBER($M$6)),IF(AND(15&lt;$M$6,E15&lt;0.5,E16&gt;=0.5),15,""),"")</f>
        <v>0</v>
      </c>
      <c r="G15" s="22">
        <f>IF(AND(ISNUMBER(E15),ISNUMBER(E16),ISNUMBER($M$6)),IF(AND(15&gt;=$M$6,E15&gt;=0.5,E16&lt;0.5),15,""),"")</f>
        <v>0</v>
      </c>
      <c r="H15" s="22">
        <f>IF(OR(ISNUMBER(F15),ISNUMBER(G15)),C15+(0.5-E15)*(C16-C15)/(E16-E15),"")</f>
        <v>0</v>
      </c>
      <c r="I15" s="22">
        <f>IF(AND(ISNUMBER(E15),ISNUMBER($M$15)),C15-$M$15,NA())</f>
        <v>0</v>
      </c>
      <c r="J15" s="28">
        <f>IF(ISNUMBER(E15),E15,NA())</f>
        <v>0</v>
      </c>
      <c r="K15" s="22">
        <f>IF(AND(ISNUMBER(C15),ISNUMBER(C16)),SIGN(C16-C15),"")</f>
        <v>0</v>
      </c>
      <c r="L15" s="8" t="s">
        <v>112</v>
      </c>
      <c r="M15" s="17">
        <f>IF(ISNUMBER($M$12),($M$10+$M$11)/2,$M$7)</f>
        <v>0</v>
      </c>
    </row>
    <row r="16" spans="1:17">
      <c r="A16" s="11">
        <v>12509</v>
      </c>
      <c r="B16" s="11">
        <v>9.818E-06</v>
      </c>
      <c r="C16" s="22">
        <f>IF(ISNUMBER(A16),A16*conv,"")</f>
        <v>0</v>
      </c>
      <c r="D16" s="28">
        <f>IF(ISNUMBER(B16),AVERAGE(INDEX($B$2:$B$301,MAX(1,15-semi)):INDEX($B$2:$B$301,MIN($M$2,15+semi))),"")</f>
        <v>0</v>
      </c>
      <c r="E16" s="28">
        <f>IF(AND(ISNUMBER(D16),ISNUMBER($M$4)),(D16-$M$4)/($M$5-$M$4),"")</f>
        <v>0</v>
      </c>
      <c r="F16" s="22">
        <f>IF(AND(ISNUMBER(E16),ISNUMBER(E17),ISNUMBER($M$6)),IF(AND(16&lt;$M$6,E16&lt;0.5,E17&gt;=0.5),16,""),"")</f>
        <v>0</v>
      </c>
      <c r="G16" s="22">
        <f>IF(AND(ISNUMBER(E16),ISNUMBER(E17),ISNUMBER($M$6)),IF(AND(16&gt;=$M$6,E16&gt;=0.5,E17&lt;0.5),16,""),"")</f>
        <v>0</v>
      </c>
      <c r="H16" s="22">
        <f>IF(OR(ISNUMBER(F16),ISNUMBER(G16)),C16+(0.5-E16)*(C17-C16)/(E17-E16),"")</f>
        <v>0</v>
      </c>
      <c r="I16" s="22">
        <f>IF(AND(ISNUMBER(E16),ISNUMBER($M$15)),C16-$M$15,NA())</f>
        <v>0</v>
      </c>
      <c r="J16" s="28">
        <f>IF(ISNUMBER(E16),E16,NA())</f>
        <v>0</v>
      </c>
      <c r="K16" s="22">
        <f>IF(AND(ISNUMBER(C16),ISNUMBER(C17)),SIGN(C17-C16),"")</f>
        <v>0</v>
      </c>
      <c r="L16" s="8" t="s">
        <v>82</v>
      </c>
      <c r="M16" s="12">
        <f>COUNTIF($E$2:$E$301,"&gt;=0.5")</f>
        <v>0</v>
      </c>
    </row>
    <row r="17" spans="1:13">
      <c r="A17" s="11">
        <v>12511</v>
      </c>
      <c r="B17" s="11">
        <v>5.675E-06</v>
      </c>
      <c r="C17" s="22">
        <f>IF(ISNUMBER(A17),A17*conv,"")</f>
        <v>0</v>
      </c>
      <c r="D17" s="28">
        <f>IF(ISNUMBER(B17),AVERAGE(INDEX($B$2:$B$301,MAX(1,16-semi)):INDEX($B$2:$B$301,MIN($M$2,16+semi))),"")</f>
        <v>0</v>
      </c>
      <c r="E17" s="28">
        <f>IF(AND(ISNUMBER(D17),ISNUMBER($M$4)),(D17-$M$4)/($M$5-$M$4),"")</f>
        <v>0</v>
      </c>
      <c r="F17" s="22">
        <f>IF(AND(ISNUMBER(E17),ISNUMBER(E18),ISNUMBER($M$6)),IF(AND(17&lt;$M$6,E17&lt;0.5,E18&gt;=0.5),17,""),"")</f>
        <v>0</v>
      </c>
      <c r="G17" s="22">
        <f>IF(AND(ISNUMBER(E17),ISNUMBER(E18),ISNUMBER($M$6)),IF(AND(17&gt;=$M$6,E17&gt;=0.5,E18&lt;0.5),17,""),"")</f>
        <v>0</v>
      </c>
      <c r="H17" s="22">
        <f>IF(OR(ISNUMBER(F17),ISNUMBER(G17)),C17+(0.5-E17)*(C18-C17)/(E18-E17),"")</f>
        <v>0</v>
      </c>
      <c r="I17" s="22">
        <f>IF(AND(ISNUMBER(E17),ISNUMBER($M$15)),C17-$M$15,NA())</f>
        <v>0</v>
      </c>
      <c r="J17" s="28">
        <f>IF(ISNUMBER(E17),E17,NA())</f>
        <v>0</v>
      </c>
      <c r="K17" s="22">
        <f>IF(AND(ISNUMBER(C17),ISNUMBER(C18)),SIGN(C18-C17),"")</f>
        <v>0</v>
      </c>
      <c r="L17" s="8" t="s">
        <v>113</v>
      </c>
      <c r="M17" s="17">
        <f>IFERROR($M$15-MIN($C$2:$C$301),"")</f>
        <v>0</v>
      </c>
    </row>
    <row r="18" spans="1:13">
      <c r="A18" s="11">
        <v>12513</v>
      </c>
      <c r="B18" s="11">
        <v>3.397E-06</v>
      </c>
      <c r="C18" s="22">
        <f>IF(ISNUMBER(A18),A18*conv,"")</f>
        <v>0</v>
      </c>
      <c r="D18" s="28">
        <f>IF(ISNUMBER(B18),AVERAGE(INDEX($B$2:$B$301,MAX(1,17-semi)):INDEX($B$2:$B$301,MIN($M$2,17+semi))),"")</f>
        <v>0</v>
      </c>
      <c r="E18" s="28">
        <f>IF(AND(ISNUMBER(D18),ISNUMBER($M$4)),(D18-$M$4)/($M$5-$M$4),"")</f>
        <v>0</v>
      </c>
      <c r="F18" s="22">
        <f>IF(AND(ISNUMBER(E18),ISNUMBER(E19),ISNUMBER($M$6)),IF(AND(18&lt;$M$6,E18&lt;0.5,E19&gt;=0.5),18,""),"")</f>
        <v>0</v>
      </c>
      <c r="G18" s="22">
        <f>IF(AND(ISNUMBER(E18),ISNUMBER(E19),ISNUMBER($M$6)),IF(AND(18&gt;=$M$6,E18&gt;=0.5,E19&lt;0.5),18,""),"")</f>
        <v>0</v>
      </c>
      <c r="H18" s="22">
        <f>IF(OR(ISNUMBER(F18),ISNUMBER(G18)),C18+(0.5-E18)*(C19-C18)/(E19-E18),"")</f>
        <v>0</v>
      </c>
      <c r="I18" s="22">
        <f>IF(AND(ISNUMBER(E18),ISNUMBER($M$15)),C18-$M$15,NA())</f>
        <v>0</v>
      </c>
      <c r="J18" s="28">
        <f>IF(ISNUMBER(E18),E18,NA())</f>
        <v>0</v>
      </c>
      <c r="K18" s="22">
        <f>IF(AND(ISNUMBER(C18),ISNUMBER(C19)),SIGN(C19-C18),"")</f>
        <v>0</v>
      </c>
      <c r="L18" s="8" t="s">
        <v>114</v>
      </c>
      <c r="M18" s="17">
        <f>IFERROR(MAX($C$2:$C$301)-$M$15,"")</f>
        <v>0</v>
      </c>
    </row>
    <row r="19" spans="1:13">
      <c r="A19" s="11">
        <v>12515</v>
      </c>
      <c r="B19" s="11">
        <v>2.035E-06</v>
      </c>
      <c r="C19" s="22">
        <f>IF(ISNUMBER(A19),A19*conv,"")</f>
        <v>0</v>
      </c>
      <c r="D19" s="28">
        <f>IF(ISNUMBER(B19),AVERAGE(INDEX($B$2:$B$301,MAX(1,18-semi)):INDEX($B$2:$B$301,MIN($M$2,18+semi))),"")</f>
        <v>0</v>
      </c>
      <c r="E19" s="28">
        <f>IF(AND(ISNUMBER(D19),ISNUMBER($M$4)),(D19-$M$4)/($M$5-$M$4),"")</f>
        <v>0</v>
      </c>
      <c r="F19" s="22">
        <f>IF(AND(ISNUMBER(E19),ISNUMBER(E20),ISNUMBER($M$6)),IF(AND(19&lt;$M$6,E19&lt;0.5,E20&gt;=0.5),19,""),"")</f>
        <v>0</v>
      </c>
      <c r="G19" s="22">
        <f>IF(AND(ISNUMBER(E19),ISNUMBER(E20),ISNUMBER($M$6)),IF(AND(19&gt;=$M$6,E19&gt;=0.5,E20&lt;0.5),19,""),"")</f>
        <v>0</v>
      </c>
      <c r="H19" s="22">
        <f>IF(OR(ISNUMBER(F19),ISNUMBER(G19)),C19+(0.5-E19)*(C20-C19)/(E20-E19),"")</f>
        <v>0</v>
      </c>
      <c r="I19" s="22">
        <f>IF(AND(ISNUMBER(E19),ISNUMBER($M$15)),C19-$M$15,NA())</f>
        <v>0</v>
      </c>
      <c r="J19" s="28">
        <f>IF(ISNUMBER(E19),E19,NA())</f>
        <v>0</v>
      </c>
      <c r="K19" s="22">
        <f>IF(AND(ISNUMBER(C19),ISNUMBER(C20)),SIGN(C20-C19),"")</f>
        <v>0</v>
      </c>
      <c r="L19" s="8" t="s">
        <v>115</v>
      </c>
      <c r="M19" s="8">
        <f>IF(COUNTIF($K$2:$K$301,0)&gt;0,"No: posición repetida",IF(AND(COUNTIF($K$2:$K$301,1)&gt;0,COUNTIF($K$2:$K$301,-1)&gt;0),"No","Sí"))</f>
        <v>0</v>
      </c>
    </row>
    <row r="20" spans="1:13">
      <c r="A20" s="11">
        <v>12525</v>
      </c>
      <c r="B20" s="11">
        <v>7.21E-07</v>
      </c>
      <c r="C20" s="22">
        <f>IF(ISNUMBER(A20),A20*conv,"")</f>
        <v>0</v>
      </c>
      <c r="D20" s="28">
        <f>IF(ISNUMBER(B20),AVERAGE(INDEX($B$2:$B$301,MAX(1,19-semi)):INDEX($B$2:$B$301,MIN($M$2,19+semi))),"")</f>
        <v>0</v>
      </c>
      <c r="E20" s="28">
        <f>IF(AND(ISNUMBER(D20),ISNUMBER($M$4)),(D20-$M$4)/($M$5-$M$4),"")</f>
        <v>0</v>
      </c>
      <c r="F20" s="22">
        <f>IF(AND(ISNUMBER(E20),ISNUMBER(E21),ISNUMBER($M$6)),IF(AND(20&lt;$M$6,E20&lt;0.5,E21&gt;=0.5),20,""),"")</f>
        <v>0</v>
      </c>
      <c r="G20" s="22">
        <f>IF(AND(ISNUMBER(E20),ISNUMBER(E21),ISNUMBER($M$6)),IF(AND(20&gt;=$M$6,E20&gt;=0.5,E21&lt;0.5),20,""),"")</f>
        <v>0</v>
      </c>
      <c r="H20" s="22">
        <f>IF(OR(ISNUMBER(F20),ISNUMBER(G20)),C20+(0.5-E20)*(C21-C20)/(E21-E20),"")</f>
        <v>0</v>
      </c>
      <c r="I20" s="22">
        <f>IF(AND(ISNUMBER(E20),ISNUMBER($M$15)),C20-$M$15,NA())</f>
        <v>0</v>
      </c>
      <c r="J20" s="28">
        <f>IF(ISNUMBER(E20),E20,NA())</f>
        <v>0</v>
      </c>
      <c r="K20" s="22">
        <f>IF(AND(ISNUMBER(C20),ISNUMBER(C21)),SIGN(C21-C20),"")</f>
        <v>0</v>
      </c>
      <c r="L20" s="8" t="s">
        <v>116</v>
      </c>
      <c r="M20" s="32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0</v>
      </c>
    </row>
    <row r="21" spans="1:13">
      <c r="A21" s="11">
        <v>12538</v>
      </c>
      <c r="B21" s="11">
        <v>6.81E-07</v>
      </c>
      <c r="C21" s="22">
        <f>IF(ISNUMBER(A21),A21*conv,"")</f>
        <v>0</v>
      </c>
      <c r="D21" s="28">
        <f>IF(ISNUMBER(B21),AVERAGE(INDEX($B$2:$B$301,MAX(1,20-semi)):INDEX($B$2:$B$301,MIN($M$2,20+semi))),"")</f>
        <v>0</v>
      </c>
      <c r="E21" s="28">
        <f>IF(AND(ISNUMBER(D21),ISNUMBER($M$4)),(D21-$M$4)/($M$5-$M$4),"")</f>
        <v>0</v>
      </c>
      <c r="F21" s="22">
        <f>IF(AND(ISNUMBER(E21),ISNUMBER(E22),ISNUMBER($M$6)),IF(AND(21&lt;$M$6,E21&lt;0.5,E22&gt;=0.5),21,""),"")</f>
        <v>0</v>
      </c>
      <c r="G21" s="22">
        <f>IF(AND(ISNUMBER(E21),ISNUMBER(E22),ISNUMBER($M$6)),IF(AND(21&gt;=$M$6,E21&gt;=0.5,E22&lt;0.5),21,""),"")</f>
        <v>0</v>
      </c>
      <c r="H21" s="22">
        <f>IF(OR(ISNUMBER(F21),ISNUMBER(G21)),C21+(0.5-E21)*(C22-C21)/(E22-E21),"")</f>
        <v>0</v>
      </c>
      <c r="I21" s="22">
        <f>IF(AND(ISNUMBER(E21),ISNUMBER($M$15)),C21-$M$15,NA())</f>
        <v>0</v>
      </c>
      <c r="J21" s="28">
        <f>IF(ISNUMBER(E21),E21,NA())</f>
        <v>0</v>
      </c>
      <c r="K21" s="22">
        <f>IF(AND(ISNUMBER(C21),ISNUMBER(C22)),SIGN(C22-C21),"")</f>
        <v>0</v>
      </c>
    </row>
    <row r="22" spans="1:13">
      <c r="C22" s="22">
        <f>IF(ISNUMBER(A22),A22*conv,"")</f>
        <v>0</v>
      </c>
      <c r="D22" s="28">
        <f>IF(ISNUMBER(B22),AVERAGE(INDEX($B$2:$B$301,MAX(1,21-semi)):INDEX($B$2:$B$301,MIN($M$2,21+semi))),"")</f>
        <v>0</v>
      </c>
      <c r="E22" s="28">
        <f>IF(AND(ISNUMBER(D22),ISNUMBER($M$4)),(D22-$M$4)/($M$5-$M$4),"")</f>
        <v>0</v>
      </c>
      <c r="F22" s="22">
        <f>IF(AND(ISNUMBER(E22),ISNUMBER(E23),ISNUMBER($M$6)),IF(AND(22&lt;$M$6,E22&lt;0.5,E23&gt;=0.5),22,""),"")</f>
        <v>0</v>
      </c>
      <c r="G22" s="22">
        <f>IF(AND(ISNUMBER(E22),ISNUMBER(E23),ISNUMBER($M$6)),IF(AND(22&gt;=$M$6,E22&gt;=0.5,E23&lt;0.5),22,""),"")</f>
        <v>0</v>
      </c>
      <c r="H22" s="22">
        <f>IF(OR(ISNUMBER(F22),ISNUMBER(G22)),C22+(0.5-E22)*(C23-C22)/(E23-E22),"")</f>
        <v>0</v>
      </c>
      <c r="I22" s="22">
        <f>IF(AND(ISNUMBER(E22),ISNUMBER($M$15)),C22-$M$15,NA())</f>
        <v>0</v>
      </c>
      <c r="J22" s="28">
        <f>IF(ISNUMBER(E22),E22,NA())</f>
        <v>0</v>
      </c>
      <c r="K22" s="22">
        <f>IF(AND(ISNUMBER(C22),ISNUMBER(C23)),SIGN(C23-C22),"")</f>
        <v>0</v>
      </c>
      <c r="L22" s="2" t="s">
        <v>118</v>
      </c>
    </row>
    <row r="23" spans="1:13">
      <c r="C23" s="22">
        <f>IF(ISNUMBER(A23),A23*conv,"")</f>
        <v>0</v>
      </c>
      <c r="D23" s="28">
        <f>IF(ISNUMBER(B23),AVERAGE(INDEX($B$2:$B$301,MAX(1,22-semi)):INDEX($B$2:$B$301,MIN($M$2,22+semi))),"")</f>
        <v>0</v>
      </c>
      <c r="E23" s="28">
        <f>IF(AND(ISNUMBER(D23),ISNUMBER($M$4)),(D23-$M$4)/($M$5-$M$4),"")</f>
        <v>0</v>
      </c>
      <c r="F23" s="22">
        <f>IF(AND(ISNUMBER(E23),ISNUMBER(E24),ISNUMBER($M$6)),IF(AND(23&lt;$M$6,E23&lt;0.5,E24&gt;=0.5),23,""),"")</f>
        <v>0</v>
      </c>
      <c r="G23" s="22">
        <f>IF(AND(ISNUMBER(E23),ISNUMBER(E24),ISNUMBER($M$6)),IF(AND(23&gt;=$M$6,E23&gt;=0.5,E24&lt;0.5),23,""),"")</f>
        <v>0</v>
      </c>
      <c r="H23" s="22">
        <f>IF(OR(ISNUMBER(F23),ISNUMBER(G23)),C23+(0.5-E23)*(C24-C23)/(E24-E23),"")</f>
        <v>0</v>
      </c>
      <c r="I23" s="22">
        <f>IF(AND(ISNUMBER(E23),ISNUMBER($M$15)),C23-$M$15,NA())</f>
        <v>0</v>
      </c>
      <c r="J23" s="28">
        <f>IF(ISNUMBER(E23),E23,NA())</f>
        <v>0</v>
      </c>
      <c r="K23" s="22">
        <f>IF(AND(ISNUMBER(C23),ISNUMBER(C24)),SIGN(C24-C23),"")</f>
        <v>0</v>
      </c>
      <c r="L23" s="22">
        <f>IF(ISNUMBER($M$12),$M$10-$M$15,NA())</f>
        <v>0</v>
      </c>
      <c r="M23" s="22">
        <f>IF(ISNUMBER($M$12),0.5,NA())</f>
        <v>0</v>
      </c>
    </row>
    <row r="24" spans="1:13">
      <c r="C24" s="22">
        <f>IF(ISNUMBER(A24),A24*conv,"")</f>
        <v>0</v>
      </c>
      <c r="D24" s="28">
        <f>IF(ISNUMBER(B24),AVERAGE(INDEX($B$2:$B$301,MAX(1,23-semi)):INDEX($B$2:$B$301,MIN($M$2,23+semi))),"")</f>
        <v>0</v>
      </c>
      <c r="E24" s="28">
        <f>IF(AND(ISNUMBER(D24),ISNUMBER($M$4)),(D24-$M$4)/($M$5-$M$4),"")</f>
        <v>0</v>
      </c>
      <c r="F24" s="22">
        <f>IF(AND(ISNUMBER(E24),ISNUMBER(E25),ISNUMBER($M$6)),IF(AND(24&lt;$M$6,E24&lt;0.5,E25&gt;=0.5),24,""),"")</f>
        <v>0</v>
      </c>
      <c r="G24" s="22">
        <f>IF(AND(ISNUMBER(E24),ISNUMBER(E25),ISNUMBER($M$6)),IF(AND(24&gt;=$M$6,E24&gt;=0.5,E25&lt;0.5),24,""),"")</f>
        <v>0</v>
      </c>
      <c r="H24" s="22">
        <f>IF(OR(ISNUMBER(F24),ISNUMBER(G24)),C24+(0.5-E24)*(C25-C24)/(E25-E24),"")</f>
        <v>0</v>
      </c>
      <c r="I24" s="22">
        <f>IF(AND(ISNUMBER(E24),ISNUMBER($M$15)),C24-$M$15,NA())</f>
        <v>0</v>
      </c>
      <c r="J24" s="28">
        <f>IF(ISNUMBER(E24),E24,NA())</f>
        <v>0</v>
      </c>
      <c r="K24" s="22">
        <f>IF(AND(ISNUMBER(C24),ISNUMBER(C25)),SIGN(C25-C24),"")</f>
        <v>0</v>
      </c>
      <c r="L24" s="22">
        <f>IF(ISNUMBER($M$12),$M$11-$M$15,NA())</f>
        <v>0</v>
      </c>
      <c r="M24" s="22">
        <f>IF(ISNUMBER($M$12),0.5,NA())</f>
        <v>0</v>
      </c>
    </row>
    <row r="25" spans="1:13">
      <c r="C25" s="22">
        <f>IF(ISNUMBER(A25),A25*conv,"")</f>
        <v>0</v>
      </c>
      <c r="D25" s="28">
        <f>IF(ISNUMBER(B25),AVERAGE(INDEX($B$2:$B$301,MAX(1,24-semi)):INDEX($B$2:$B$301,MIN($M$2,24+semi))),"")</f>
        <v>0</v>
      </c>
      <c r="E25" s="28">
        <f>IF(AND(ISNUMBER(D25),ISNUMBER($M$4)),(D25-$M$4)/($M$5-$M$4),"")</f>
        <v>0</v>
      </c>
      <c r="F25" s="22">
        <f>IF(AND(ISNUMBER(E25),ISNUMBER(E26),ISNUMBER($M$6)),IF(AND(25&lt;$M$6,E25&lt;0.5,E26&gt;=0.5),25,""),"")</f>
        <v>0</v>
      </c>
      <c r="G25" s="22">
        <f>IF(AND(ISNUMBER(E25),ISNUMBER(E26),ISNUMBER($M$6)),IF(AND(25&gt;=$M$6,E25&gt;=0.5,E26&lt;0.5),25,""),"")</f>
        <v>0</v>
      </c>
      <c r="H25" s="22">
        <f>IF(OR(ISNUMBER(F25),ISNUMBER(G25)),C25+(0.5-E25)*(C26-C25)/(E26-E25),"")</f>
        <v>0</v>
      </c>
      <c r="I25" s="22">
        <f>IF(AND(ISNUMBER(E25),ISNUMBER($M$15)),C25-$M$15,NA())</f>
        <v>0</v>
      </c>
      <c r="J25" s="28">
        <f>IF(ISNUMBER(E25),E25,NA())</f>
        <v>0</v>
      </c>
      <c r="K25" s="22">
        <f>IF(AND(ISNUMBER(C25),ISNUMBER(C26)),SIGN(C26-C25),"")</f>
        <v>0</v>
      </c>
    </row>
    <row r="26" spans="1:13">
      <c r="C26" s="22">
        <f>IF(ISNUMBER(A26),A26*conv,"")</f>
        <v>0</v>
      </c>
      <c r="D26" s="28">
        <f>IF(ISNUMBER(B26),AVERAGE(INDEX($B$2:$B$301,MAX(1,25-semi)):INDEX($B$2:$B$301,MIN($M$2,25+semi))),"")</f>
        <v>0</v>
      </c>
      <c r="E26" s="28">
        <f>IF(AND(ISNUMBER(D26),ISNUMBER($M$4)),(D26-$M$4)/($M$5-$M$4),"")</f>
        <v>0</v>
      </c>
      <c r="F26" s="22">
        <f>IF(AND(ISNUMBER(E26),ISNUMBER(E27),ISNUMBER($M$6)),IF(AND(26&lt;$M$6,E26&lt;0.5,E27&gt;=0.5),26,""),"")</f>
        <v>0</v>
      </c>
      <c r="G26" s="22">
        <f>IF(AND(ISNUMBER(E26),ISNUMBER(E27),ISNUMBER($M$6)),IF(AND(26&gt;=$M$6,E26&gt;=0.5,E27&lt;0.5),26,""),"")</f>
        <v>0</v>
      </c>
      <c r="H26" s="22">
        <f>IF(OR(ISNUMBER(F26),ISNUMBER(G26)),C26+(0.5-E26)*(C27-C26)/(E27-E26),"")</f>
        <v>0</v>
      </c>
      <c r="I26" s="22">
        <f>IF(AND(ISNUMBER(E26),ISNUMBER($M$15)),C26-$M$15,NA())</f>
        <v>0</v>
      </c>
      <c r="J26" s="28">
        <f>IF(ISNUMBER(E26),E26,NA())</f>
        <v>0</v>
      </c>
      <c r="K26" s="22">
        <f>IF(AND(ISNUMBER(C26),ISNUMBER(C27)),SIGN(C27-C26),"")</f>
        <v>0</v>
      </c>
      <c r="L26" s="10" t="s">
        <v>119</v>
      </c>
    </row>
    <row r="27" spans="1:13">
      <c r="C27" s="22">
        <f>IF(ISNUMBER(A27),A27*conv,"")</f>
        <v>0</v>
      </c>
      <c r="D27" s="28">
        <f>IF(ISNUMBER(B27),AVERAGE(INDEX($B$2:$B$301,MAX(1,26-semi)):INDEX($B$2:$B$301,MIN($M$2,26+semi))),"")</f>
        <v>0</v>
      </c>
      <c r="E27" s="28">
        <f>IF(AND(ISNUMBER(D27),ISNUMBER($M$4)),(D27-$M$4)/($M$5-$M$4),"")</f>
        <v>0</v>
      </c>
      <c r="F27" s="22">
        <f>IF(AND(ISNUMBER(E27),ISNUMBER(E28),ISNUMBER($M$6)),IF(AND(27&lt;$M$6,E27&lt;0.5,E28&gt;=0.5),27,""),"")</f>
        <v>0</v>
      </c>
      <c r="G27" s="22">
        <f>IF(AND(ISNUMBER(E27),ISNUMBER(E28),ISNUMBER($M$6)),IF(AND(27&gt;=$M$6,E27&gt;=0.5,E28&lt;0.5),27,""),"")</f>
        <v>0</v>
      </c>
      <c r="H27" s="22">
        <f>IF(OR(ISNUMBER(F27),ISNUMBER(G27)),C27+(0.5-E27)*(C28-C27)/(E28-E27),"")</f>
        <v>0</v>
      </c>
      <c r="I27" s="22">
        <f>IF(AND(ISNUMBER(E27),ISNUMBER($M$15)),C27-$M$15,NA())</f>
        <v>0</v>
      </c>
      <c r="J27" s="28">
        <f>IF(ISNUMBER(E27),E27,NA())</f>
        <v>0</v>
      </c>
      <c r="K27" s="22">
        <f>IF(AND(ISNUMBER(C27),ISNUMBER(C28)),SIGN(C28-C27),"")</f>
        <v>0</v>
      </c>
    </row>
    <row r="28" spans="1:13">
      <c r="C28" s="22">
        <f>IF(ISNUMBER(A28),A28*conv,"")</f>
        <v>0</v>
      </c>
      <c r="D28" s="28">
        <f>IF(ISNUMBER(B28),AVERAGE(INDEX($B$2:$B$301,MAX(1,27-semi)):INDEX($B$2:$B$301,MIN($M$2,27+semi))),"")</f>
        <v>0</v>
      </c>
      <c r="E28" s="28">
        <f>IF(AND(ISNUMBER(D28),ISNUMBER($M$4)),(D28-$M$4)/($M$5-$M$4),"")</f>
        <v>0</v>
      </c>
      <c r="F28" s="22">
        <f>IF(AND(ISNUMBER(E28),ISNUMBER(E29),ISNUMBER($M$6)),IF(AND(28&lt;$M$6,E28&lt;0.5,E29&gt;=0.5),28,""),"")</f>
        <v>0</v>
      </c>
      <c r="G28" s="22">
        <f>IF(AND(ISNUMBER(E28),ISNUMBER(E29),ISNUMBER($M$6)),IF(AND(28&gt;=$M$6,E28&gt;=0.5,E29&lt;0.5),28,""),"")</f>
        <v>0</v>
      </c>
      <c r="H28" s="22">
        <f>IF(OR(ISNUMBER(F28),ISNUMBER(G28)),C28+(0.5-E28)*(C29-C28)/(E29-E28),"")</f>
        <v>0</v>
      </c>
      <c r="I28" s="22">
        <f>IF(AND(ISNUMBER(E28),ISNUMBER($M$15)),C28-$M$15,NA())</f>
        <v>0</v>
      </c>
      <c r="J28" s="28">
        <f>IF(ISNUMBER(E28),E28,NA())</f>
        <v>0</v>
      </c>
      <c r="K28" s="22">
        <f>IF(AND(ISNUMBER(C28),ISNUMBER(C29)),SIGN(C29-C28),"")</f>
        <v>0</v>
      </c>
    </row>
    <row r="29" spans="1:13">
      <c r="C29" s="22">
        <f>IF(ISNUMBER(A29),A29*conv,"")</f>
        <v>0</v>
      </c>
      <c r="D29" s="28">
        <f>IF(ISNUMBER(B29),AVERAGE(INDEX($B$2:$B$301,MAX(1,28-semi)):INDEX($B$2:$B$301,MIN($M$2,28+semi))),"")</f>
        <v>0</v>
      </c>
      <c r="E29" s="28">
        <f>IF(AND(ISNUMBER(D29),ISNUMBER($M$4)),(D29-$M$4)/($M$5-$M$4),"")</f>
        <v>0</v>
      </c>
      <c r="F29" s="22">
        <f>IF(AND(ISNUMBER(E29),ISNUMBER(E30),ISNUMBER($M$6)),IF(AND(29&lt;$M$6,E29&lt;0.5,E30&gt;=0.5),29,""),"")</f>
        <v>0</v>
      </c>
      <c r="G29" s="22">
        <f>IF(AND(ISNUMBER(E29),ISNUMBER(E30),ISNUMBER($M$6)),IF(AND(29&gt;=$M$6,E29&gt;=0.5,E30&lt;0.5),29,""),"")</f>
        <v>0</v>
      </c>
      <c r="H29" s="22">
        <f>IF(OR(ISNUMBER(F29),ISNUMBER(G29)),C29+(0.5-E29)*(C30-C29)/(E30-E29),"")</f>
        <v>0</v>
      </c>
      <c r="I29" s="22">
        <f>IF(AND(ISNUMBER(E29),ISNUMBER($M$15)),C29-$M$15,NA())</f>
        <v>0</v>
      </c>
      <c r="J29" s="28">
        <f>IF(ISNUMBER(E29),E29,NA())</f>
        <v>0</v>
      </c>
      <c r="K29" s="22">
        <f>IF(AND(ISNUMBER(C29),ISNUMBER(C30)),SIGN(C30-C29),"")</f>
        <v>0</v>
      </c>
    </row>
    <row r="30" spans="1:13">
      <c r="C30" s="22">
        <f>IF(ISNUMBER(A30),A30*conv,"")</f>
        <v>0</v>
      </c>
      <c r="D30" s="28">
        <f>IF(ISNUMBER(B30),AVERAGE(INDEX($B$2:$B$301,MAX(1,29-semi)):INDEX($B$2:$B$301,MIN($M$2,29+semi))),"")</f>
        <v>0</v>
      </c>
      <c r="E30" s="28">
        <f>IF(AND(ISNUMBER(D30),ISNUMBER($M$4)),(D30-$M$4)/($M$5-$M$4),"")</f>
        <v>0</v>
      </c>
      <c r="F30" s="22">
        <f>IF(AND(ISNUMBER(E30),ISNUMBER(E31),ISNUMBER($M$6)),IF(AND(30&lt;$M$6,E30&lt;0.5,E31&gt;=0.5),30,""),"")</f>
        <v>0</v>
      </c>
      <c r="G30" s="22">
        <f>IF(AND(ISNUMBER(E30),ISNUMBER(E31),ISNUMBER($M$6)),IF(AND(30&gt;=$M$6,E30&gt;=0.5,E31&lt;0.5),30,""),"")</f>
        <v>0</v>
      </c>
      <c r="H30" s="22">
        <f>IF(OR(ISNUMBER(F30),ISNUMBER(G30)),C30+(0.5-E30)*(C31-C30)/(E31-E30),"")</f>
        <v>0</v>
      </c>
      <c r="I30" s="22">
        <f>IF(AND(ISNUMBER(E30),ISNUMBER($M$15)),C30-$M$15,NA())</f>
        <v>0</v>
      </c>
      <c r="J30" s="28">
        <f>IF(ISNUMBER(E30),E30,NA())</f>
        <v>0</v>
      </c>
      <c r="K30" s="22">
        <f>IF(AND(ISNUMBER(C30),ISNUMBER(C31)),SIGN(C31-C30),"")</f>
        <v>0</v>
      </c>
    </row>
    <row r="31" spans="1:13">
      <c r="C31" s="22">
        <f>IF(ISNUMBER(A31),A31*conv,"")</f>
        <v>0</v>
      </c>
      <c r="D31" s="28">
        <f>IF(ISNUMBER(B31),AVERAGE(INDEX($B$2:$B$301,MAX(1,30-semi)):INDEX($B$2:$B$301,MIN($M$2,30+semi))),"")</f>
        <v>0</v>
      </c>
      <c r="E31" s="28">
        <f>IF(AND(ISNUMBER(D31),ISNUMBER($M$4)),(D31-$M$4)/($M$5-$M$4),"")</f>
        <v>0</v>
      </c>
      <c r="F31" s="22">
        <f>IF(AND(ISNUMBER(E31),ISNUMBER(E32),ISNUMBER($M$6)),IF(AND(31&lt;$M$6,E31&lt;0.5,E32&gt;=0.5),31,""),"")</f>
        <v>0</v>
      </c>
      <c r="G31" s="22">
        <f>IF(AND(ISNUMBER(E31),ISNUMBER(E32),ISNUMBER($M$6)),IF(AND(31&gt;=$M$6,E31&gt;=0.5,E32&lt;0.5),31,""),"")</f>
        <v>0</v>
      </c>
      <c r="H31" s="22">
        <f>IF(OR(ISNUMBER(F31),ISNUMBER(G31)),C31+(0.5-E31)*(C32-C31)/(E32-E31),"")</f>
        <v>0</v>
      </c>
      <c r="I31" s="22">
        <f>IF(AND(ISNUMBER(E31),ISNUMBER($M$15)),C31-$M$15,NA())</f>
        <v>0</v>
      </c>
      <c r="J31" s="28">
        <f>IF(ISNUMBER(E31),E31,NA())</f>
        <v>0</v>
      </c>
      <c r="K31" s="22">
        <f>IF(AND(ISNUMBER(C31),ISNUMBER(C32)),SIGN(C32-C31),"")</f>
        <v>0</v>
      </c>
    </row>
    <row r="32" spans="1:13">
      <c r="C32" s="22">
        <f>IF(ISNUMBER(A32),A32*conv,"")</f>
        <v>0</v>
      </c>
      <c r="D32" s="28">
        <f>IF(ISNUMBER(B32),AVERAGE(INDEX($B$2:$B$301,MAX(1,31-semi)):INDEX($B$2:$B$301,MIN($M$2,31+semi))),"")</f>
        <v>0</v>
      </c>
      <c r="E32" s="28">
        <f>IF(AND(ISNUMBER(D32),ISNUMBER($M$4)),(D32-$M$4)/($M$5-$M$4),"")</f>
        <v>0</v>
      </c>
      <c r="F32" s="22">
        <f>IF(AND(ISNUMBER(E32),ISNUMBER(E33),ISNUMBER($M$6)),IF(AND(32&lt;$M$6,E32&lt;0.5,E33&gt;=0.5),32,""),"")</f>
        <v>0</v>
      </c>
      <c r="G32" s="22">
        <f>IF(AND(ISNUMBER(E32),ISNUMBER(E33),ISNUMBER($M$6)),IF(AND(32&gt;=$M$6,E32&gt;=0.5,E33&lt;0.5),32,""),"")</f>
        <v>0</v>
      </c>
      <c r="H32" s="22">
        <f>IF(OR(ISNUMBER(F32),ISNUMBER(G32)),C32+(0.5-E32)*(C33-C32)/(E33-E32),"")</f>
        <v>0</v>
      </c>
      <c r="I32" s="22">
        <f>IF(AND(ISNUMBER(E32),ISNUMBER($M$15)),C32-$M$15,NA())</f>
        <v>0</v>
      </c>
      <c r="J32" s="28">
        <f>IF(ISNUMBER(E32),E32,NA())</f>
        <v>0</v>
      </c>
      <c r="K32" s="22">
        <f>IF(AND(ISNUMBER(C32),ISNUMBER(C33)),SIGN(C33-C32),"")</f>
        <v>0</v>
      </c>
    </row>
    <row r="33" spans="3:11">
      <c r="C33" s="22">
        <f>IF(ISNUMBER(A33),A33*conv,"")</f>
        <v>0</v>
      </c>
      <c r="D33" s="28">
        <f>IF(ISNUMBER(B33),AVERAGE(INDEX($B$2:$B$301,MAX(1,32-semi)):INDEX($B$2:$B$301,MIN($M$2,32+semi))),"")</f>
        <v>0</v>
      </c>
      <c r="E33" s="28">
        <f>IF(AND(ISNUMBER(D33),ISNUMBER($M$4)),(D33-$M$4)/($M$5-$M$4),"")</f>
        <v>0</v>
      </c>
      <c r="F33" s="22">
        <f>IF(AND(ISNUMBER(E33),ISNUMBER(E34),ISNUMBER($M$6)),IF(AND(33&lt;$M$6,E33&lt;0.5,E34&gt;=0.5),33,""),"")</f>
        <v>0</v>
      </c>
      <c r="G33" s="22">
        <f>IF(AND(ISNUMBER(E33),ISNUMBER(E34),ISNUMBER($M$6)),IF(AND(33&gt;=$M$6,E33&gt;=0.5,E34&lt;0.5),33,""),"")</f>
        <v>0</v>
      </c>
      <c r="H33" s="22">
        <f>IF(OR(ISNUMBER(F33),ISNUMBER(G33)),C33+(0.5-E33)*(C34-C33)/(E34-E33),"")</f>
        <v>0</v>
      </c>
      <c r="I33" s="22">
        <f>IF(AND(ISNUMBER(E33),ISNUMBER($M$15)),C33-$M$15,NA())</f>
        <v>0</v>
      </c>
      <c r="J33" s="28">
        <f>IF(ISNUMBER(E33),E33,NA())</f>
        <v>0</v>
      </c>
      <c r="K33" s="22">
        <f>IF(AND(ISNUMBER(C33),ISNUMBER(C34)),SIGN(C34-C33),"")</f>
        <v>0</v>
      </c>
    </row>
    <row r="34" spans="3:11">
      <c r="C34" s="22">
        <f>IF(ISNUMBER(A34),A34*conv,"")</f>
        <v>0</v>
      </c>
      <c r="D34" s="28">
        <f>IF(ISNUMBER(B34),AVERAGE(INDEX($B$2:$B$301,MAX(1,33-semi)):INDEX($B$2:$B$301,MIN($M$2,33+semi))),"")</f>
        <v>0</v>
      </c>
      <c r="E34" s="28">
        <f>IF(AND(ISNUMBER(D34),ISNUMBER($M$4)),(D34-$M$4)/($M$5-$M$4),"")</f>
        <v>0</v>
      </c>
      <c r="F34" s="22">
        <f>IF(AND(ISNUMBER(E34),ISNUMBER(E35),ISNUMBER($M$6)),IF(AND(34&lt;$M$6,E34&lt;0.5,E35&gt;=0.5),34,""),"")</f>
        <v>0</v>
      </c>
      <c r="G34" s="22">
        <f>IF(AND(ISNUMBER(E34),ISNUMBER(E35),ISNUMBER($M$6)),IF(AND(34&gt;=$M$6,E34&gt;=0.5,E35&lt;0.5),34,""),"")</f>
        <v>0</v>
      </c>
      <c r="H34" s="22">
        <f>IF(OR(ISNUMBER(F34),ISNUMBER(G34)),C34+(0.5-E34)*(C35-C34)/(E35-E34),"")</f>
        <v>0</v>
      </c>
      <c r="I34" s="22">
        <f>IF(AND(ISNUMBER(E34),ISNUMBER($M$15)),C34-$M$15,NA())</f>
        <v>0</v>
      </c>
      <c r="J34" s="28">
        <f>IF(ISNUMBER(E34),E34,NA())</f>
        <v>0</v>
      </c>
      <c r="K34" s="22">
        <f>IF(AND(ISNUMBER(C34),ISNUMBER(C35)),SIGN(C35-C34),"")</f>
        <v>0</v>
      </c>
    </row>
    <row r="35" spans="3:11">
      <c r="C35" s="22">
        <f>IF(ISNUMBER(A35),A35*conv,"")</f>
        <v>0</v>
      </c>
      <c r="D35" s="28">
        <f>IF(ISNUMBER(B35),AVERAGE(INDEX($B$2:$B$301,MAX(1,34-semi)):INDEX($B$2:$B$301,MIN($M$2,34+semi))),"")</f>
        <v>0</v>
      </c>
      <c r="E35" s="28">
        <f>IF(AND(ISNUMBER(D35),ISNUMBER($M$4)),(D35-$M$4)/($M$5-$M$4),"")</f>
        <v>0</v>
      </c>
      <c r="F35" s="22">
        <f>IF(AND(ISNUMBER(E35),ISNUMBER(E36),ISNUMBER($M$6)),IF(AND(35&lt;$M$6,E35&lt;0.5,E36&gt;=0.5),35,""),"")</f>
        <v>0</v>
      </c>
      <c r="G35" s="22">
        <f>IF(AND(ISNUMBER(E35),ISNUMBER(E36),ISNUMBER($M$6)),IF(AND(35&gt;=$M$6,E35&gt;=0.5,E36&lt;0.5),35,""),"")</f>
        <v>0</v>
      </c>
      <c r="H35" s="22">
        <f>IF(OR(ISNUMBER(F35),ISNUMBER(G35)),C35+(0.5-E35)*(C36-C35)/(E36-E35),"")</f>
        <v>0</v>
      </c>
      <c r="I35" s="22">
        <f>IF(AND(ISNUMBER(E35),ISNUMBER($M$15)),C35-$M$15,NA())</f>
        <v>0</v>
      </c>
      <c r="J35" s="28">
        <f>IF(ISNUMBER(E35),E35,NA())</f>
        <v>0</v>
      </c>
      <c r="K35" s="22">
        <f>IF(AND(ISNUMBER(C35),ISNUMBER(C36)),SIGN(C36-C35),"")</f>
        <v>0</v>
      </c>
    </row>
    <row r="36" spans="3:11">
      <c r="C36" s="22">
        <f>IF(ISNUMBER(A36),A36*conv,"")</f>
        <v>0</v>
      </c>
      <c r="D36" s="28">
        <f>IF(ISNUMBER(B36),AVERAGE(INDEX($B$2:$B$301,MAX(1,35-semi)):INDEX($B$2:$B$301,MIN($M$2,35+semi))),"")</f>
        <v>0</v>
      </c>
      <c r="E36" s="28">
        <f>IF(AND(ISNUMBER(D36),ISNUMBER($M$4)),(D36-$M$4)/($M$5-$M$4),"")</f>
        <v>0</v>
      </c>
      <c r="F36" s="22">
        <f>IF(AND(ISNUMBER(E36),ISNUMBER(E37),ISNUMBER($M$6)),IF(AND(36&lt;$M$6,E36&lt;0.5,E37&gt;=0.5),36,""),"")</f>
        <v>0</v>
      </c>
      <c r="G36" s="22">
        <f>IF(AND(ISNUMBER(E36),ISNUMBER(E37),ISNUMBER($M$6)),IF(AND(36&gt;=$M$6,E36&gt;=0.5,E37&lt;0.5),36,""),"")</f>
        <v>0</v>
      </c>
      <c r="H36" s="22">
        <f>IF(OR(ISNUMBER(F36),ISNUMBER(G36)),C36+(0.5-E36)*(C37-C36)/(E37-E36),"")</f>
        <v>0</v>
      </c>
      <c r="I36" s="22">
        <f>IF(AND(ISNUMBER(E36),ISNUMBER($M$15)),C36-$M$15,NA())</f>
        <v>0</v>
      </c>
      <c r="J36" s="28">
        <f>IF(ISNUMBER(E36),E36,NA())</f>
        <v>0</v>
      </c>
      <c r="K36" s="22">
        <f>IF(AND(ISNUMBER(C36),ISNUMBER(C37)),SIGN(C37-C36),"")</f>
        <v>0</v>
      </c>
    </row>
    <row r="37" spans="3:11">
      <c r="C37" s="22">
        <f>IF(ISNUMBER(A37),A37*conv,"")</f>
        <v>0</v>
      </c>
      <c r="D37" s="28">
        <f>IF(ISNUMBER(B37),AVERAGE(INDEX($B$2:$B$301,MAX(1,36-semi)):INDEX($B$2:$B$301,MIN($M$2,36+semi))),"")</f>
        <v>0</v>
      </c>
      <c r="E37" s="28">
        <f>IF(AND(ISNUMBER(D37),ISNUMBER($M$4)),(D37-$M$4)/($M$5-$M$4),"")</f>
        <v>0</v>
      </c>
      <c r="F37" s="22">
        <f>IF(AND(ISNUMBER(E37),ISNUMBER(E38),ISNUMBER($M$6)),IF(AND(37&lt;$M$6,E37&lt;0.5,E38&gt;=0.5),37,""),"")</f>
        <v>0</v>
      </c>
      <c r="G37" s="22">
        <f>IF(AND(ISNUMBER(E37),ISNUMBER(E38),ISNUMBER($M$6)),IF(AND(37&gt;=$M$6,E37&gt;=0.5,E38&lt;0.5),37,""),"")</f>
        <v>0</v>
      </c>
      <c r="H37" s="22">
        <f>IF(OR(ISNUMBER(F37),ISNUMBER(G37)),C37+(0.5-E37)*(C38-C37)/(E38-E37),"")</f>
        <v>0</v>
      </c>
      <c r="I37" s="22">
        <f>IF(AND(ISNUMBER(E37),ISNUMBER($M$15)),C37-$M$15,NA())</f>
        <v>0</v>
      </c>
      <c r="J37" s="28">
        <f>IF(ISNUMBER(E37),E37,NA())</f>
        <v>0</v>
      </c>
      <c r="K37" s="22">
        <f>IF(AND(ISNUMBER(C37),ISNUMBER(C38)),SIGN(C38-C37),"")</f>
        <v>0</v>
      </c>
    </row>
    <row r="38" spans="3:11">
      <c r="C38" s="22">
        <f>IF(ISNUMBER(A38),A38*conv,"")</f>
        <v>0</v>
      </c>
      <c r="D38" s="28">
        <f>IF(ISNUMBER(B38),AVERAGE(INDEX($B$2:$B$301,MAX(1,37-semi)):INDEX($B$2:$B$301,MIN($M$2,37+semi))),"")</f>
        <v>0</v>
      </c>
      <c r="E38" s="28">
        <f>IF(AND(ISNUMBER(D38),ISNUMBER($M$4)),(D38-$M$4)/($M$5-$M$4),"")</f>
        <v>0</v>
      </c>
      <c r="F38" s="22">
        <f>IF(AND(ISNUMBER(E38),ISNUMBER(E39),ISNUMBER($M$6)),IF(AND(38&lt;$M$6,E38&lt;0.5,E39&gt;=0.5),38,""),"")</f>
        <v>0</v>
      </c>
      <c r="G38" s="22">
        <f>IF(AND(ISNUMBER(E38),ISNUMBER(E39),ISNUMBER($M$6)),IF(AND(38&gt;=$M$6,E38&gt;=0.5,E39&lt;0.5),38,""),"")</f>
        <v>0</v>
      </c>
      <c r="H38" s="22">
        <f>IF(OR(ISNUMBER(F38),ISNUMBER(G38)),C38+(0.5-E38)*(C39-C38)/(E39-E38),"")</f>
        <v>0</v>
      </c>
      <c r="I38" s="22">
        <f>IF(AND(ISNUMBER(E38),ISNUMBER($M$15)),C38-$M$15,NA())</f>
        <v>0</v>
      </c>
      <c r="J38" s="28">
        <f>IF(ISNUMBER(E38),E38,NA())</f>
        <v>0</v>
      </c>
      <c r="K38" s="22">
        <f>IF(AND(ISNUMBER(C38),ISNUMBER(C39)),SIGN(C39-C38),"")</f>
        <v>0</v>
      </c>
    </row>
    <row r="39" spans="3:11">
      <c r="C39" s="22">
        <f>IF(ISNUMBER(A39),A39*conv,"")</f>
        <v>0</v>
      </c>
      <c r="D39" s="28">
        <f>IF(ISNUMBER(B39),AVERAGE(INDEX($B$2:$B$301,MAX(1,38-semi)):INDEX($B$2:$B$301,MIN($M$2,38+semi))),"")</f>
        <v>0</v>
      </c>
      <c r="E39" s="28">
        <f>IF(AND(ISNUMBER(D39),ISNUMBER($M$4)),(D39-$M$4)/($M$5-$M$4),"")</f>
        <v>0</v>
      </c>
      <c r="F39" s="22">
        <f>IF(AND(ISNUMBER(E39),ISNUMBER(E40),ISNUMBER($M$6)),IF(AND(39&lt;$M$6,E39&lt;0.5,E40&gt;=0.5),39,""),"")</f>
        <v>0</v>
      </c>
      <c r="G39" s="22">
        <f>IF(AND(ISNUMBER(E39),ISNUMBER(E40),ISNUMBER($M$6)),IF(AND(39&gt;=$M$6,E39&gt;=0.5,E40&lt;0.5),39,""),"")</f>
        <v>0</v>
      </c>
      <c r="H39" s="22">
        <f>IF(OR(ISNUMBER(F39),ISNUMBER(G39)),C39+(0.5-E39)*(C40-C39)/(E40-E39),"")</f>
        <v>0</v>
      </c>
      <c r="I39" s="22">
        <f>IF(AND(ISNUMBER(E39),ISNUMBER($M$15)),C39-$M$15,NA())</f>
        <v>0</v>
      </c>
      <c r="J39" s="28">
        <f>IF(ISNUMBER(E39),E39,NA())</f>
        <v>0</v>
      </c>
      <c r="K39" s="22">
        <f>IF(AND(ISNUMBER(C39),ISNUMBER(C40)),SIGN(C40-C39),"")</f>
        <v>0</v>
      </c>
    </row>
    <row r="40" spans="3:11">
      <c r="C40" s="22">
        <f>IF(ISNUMBER(A40),A40*conv,"")</f>
        <v>0</v>
      </c>
      <c r="D40" s="28">
        <f>IF(ISNUMBER(B40),AVERAGE(INDEX($B$2:$B$301,MAX(1,39-semi)):INDEX($B$2:$B$301,MIN($M$2,39+semi))),"")</f>
        <v>0</v>
      </c>
      <c r="E40" s="28">
        <f>IF(AND(ISNUMBER(D40),ISNUMBER($M$4)),(D40-$M$4)/($M$5-$M$4),"")</f>
        <v>0</v>
      </c>
      <c r="F40" s="22">
        <f>IF(AND(ISNUMBER(E40),ISNUMBER(E41),ISNUMBER($M$6)),IF(AND(40&lt;$M$6,E40&lt;0.5,E41&gt;=0.5),40,""),"")</f>
        <v>0</v>
      </c>
      <c r="G40" s="22">
        <f>IF(AND(ISNUMBER(E40),ISNUMBER(E41),ISNUMBER($M$6)),IF(AND(40&gt;=$M$6,E40&gt;=0.5,E41&lt;0.5),40,""),"")</f>
        <v>0</v>
      </c>
      <c r="H40" s="22">
        <f>IF(OR(ISNUMBER(F40),ISNUMBER(G40)),C40+(0.5-E40)*(C41-C40)/(E41-E40),"")</f>
        <v>0</v>
      </c>
      <c r="I40" s="22">
        <f>IF(AND(ISNUMBER(E40),ISNUMBER($M$15)),C40-$M$15,NA())</f>
        <v>0</v>
      </c>
      <c r="J40" s="28">
        <f>IF(ISNUMBER(E40),E40,NA())</f>
        <v>0</v>
      </c>
      <c r="K40" s="22">
        <f>IF(AND(ISNUMBER(C40),ISNUMBER(C41)),SIGN(C41-C40),"")</f>
        <v>0</v>
      </c>
    </row>
    <row r="41" spans="3:11">
      <c r="C41" s="22">
        <f>IF(ISNUMBER(A41),A41*conv,"")</f>
        <v>0</v>
      </c>
      <c r="D41" s="28">
        <f>IF(ISNUMBER(B41),AVERAGE(INDEX($B$2:$B$301,MAX(1,40-semi)):INDEX($B$2:$B$301,MIN($M$2,40+semi))),"")</f>
        <v>0</v>
      </c>
      <c r="E41" s="28">
        <f>IF(AND(ISNUMBER(D41),ISNUMBER($M$4)),(D41-$M$4)/($M$5-$M$4),"")</f>
        <v>0</v>
      </c>
      <c r="F41" s="22">
        <f>IF(AND(ISNUMBER(E41),ISNUMBER(E42),ISNUMBER($M$6)),IF(AND(41&lt;$M$6,E41&lt;0.5,E42&gt;=0.5),41,""),"")</f>
        <v>0</v>
      </c>
      <c r="G41" s="22">
        <f>IF(AND(ISNUMBER(E41),ISNUMBER(E42),ISNUMBER($M$6)),IF(AND(41&gt;=$M$6,E41&gt;=0.5,E42&lt;0.5),41,""),"")</f>
        <v>0</v>
      </c>
      <c r="H41" s="22">
        <f>IF(OR(ISNUMBER(F41),ISNUMBER(G41)),C41+(0.5-E41)*(C42-C41)/(E42-E41),"")</f>
        <v>0</v>
      </c>
      <c r="I41" s="22">
        <f>IF(AND(ISNUMBER(E41),ISNUMBER($M$15)),C41-$M$15,NA())</f>
        <v>0</v>
      </c>
      <c r="J41" s="28">
        <f>IF(ISNUMBER(E41),E41,NA())</f>
        <v>0</v>
      </c>
      <c r="K41" s="22">
        <f>IF(AND(ISNUMBER(C41),ISNUMBER(C42)),SIGN(C42-C41),"")</f>
        <v>0</v>
      </c>
    </row>
    <row r="42" spans="3:11">
      <c r="C42" s="22">
        <f>IF(ISNUMBER(A42),A42*conv,"")</f>
        <v>0</v>
      </c>
      <c r="D42" s="28">
        <f>IF(ISNUMBER(B42),AVERAGE(INDEX($B$2:$B$301,MAX(1,41-semi)):INDEX($B$2:$B$301,MIN($M$2,41+semi))),"")</f>
        <v>0</v>
      </c>
      <c r="E42" s="28">
        <f>IF(AND(ISNUMBER(D42),ISNUMBER($M$4)),(D42-$M$4)/($M$5-$M$4),"")</f>
        <v>0</v>
      </c>
      <c r="F42" s="22">
        <f>IF(AND(ISNUMBER(E42),ISNUMBER(E43),ISNUMBER($M$6)),IF(AND(42&lt;$M$6,E42&lt;0.5,E43&gt;=0.5),42,""),"")</f>
        <v>0</v>
      </c>
      <c r="G42" s="22">
        <f>IF(AND(ISNUMBER(E42),ISNUMBER(E43),ISNUMBER($M$6)),IF(AND(42&gt;=$M$6,E42&gt;=0.5,E43&lt;0.5),42,""),"")</f>
        <v>0</v>
      </c>
      <c r="H42" s="22">
        <f>IF(OR(ISNUMBER(F42),ISNUMBER(G42)),C42+(0.5-E42)*(C43-C42)/(E43-E42),"")</f>
        <v>0</v>
      </c>
      <c r="I42" s="22">
        <f>IF(AND(ISNUMBER(E42),ISNUMBER($M$15)),C42-$M$15,NA())</f>
        <v>0</v>
      </c>
      <c r="J42" s="28">
        <f>IF(ISNUMBER(E42),E42,NA())</f>
        <v>0</v>
      </c>
      <c r="K42" s="22">
        <f>IF(AND(ISNUMBER(C42),ISNUMBER(C43)),SIGN(C43-C42),"")</f>
        <v>0</v>
      </c>
    </row>
    <row r="43" spans="3:11">
      <c r="C43" s="22">
        <f>IF(ISNUMBER(A43),A43*conv,"")</f>
        <v>0</v>
      </c>
      <c r="D43" s="28">
        <f>IF(ISNUMBER(B43),AVERAGE(INDEX($B$2:$B$301,MAX(1,42-semi)):INDEX($B$2:$B$301,MIN($M$2,42+semi))),"")</f>
        <v>0</v>
      </c>
      <c r="E43" s="28">
        <f>IF(AND(ISNUMBER(D43),ISNUMBER($M$4)),(D43-$M$4)/($M$5-$M$4),"")</f>
        <v>0</v>
      </c>
      <c r="F43" s="22">
        <f>IF(AND(ISNUMBER(E43),ISNUMBER(E44),ISNUMBER($M$6)),IF(AND(43&lt;$M$6,E43&lt;0.5,E44&gt;=0.5),43,""),"")</f>
        <v>0</v>
      </c>
      <c r="G43" s="22">
        <f>IF(AND(ISNUMBER(E43),ISNUMBER(E44),ISNUMBER($M$6)),IF(AND(43&gt;=$M$6,E43&gt;=0.5,E44&lt;0.5),43,""),"")</f>
        <v>0</v>
      </c>
      <c r="H43" s="22">
        <f>IF(OR(ISNUMBER(F43),ISNUMBER(G43)),C43+(0.5-E43)*(C44-C43)/(E44-E43),"")</f>
        <v>0</v>
      </c>
      <c r="I43" s="22">
        <f>IF(AND(ISNUMBER(E43),ISNUMBER($M$15)),C43-$M$15,NA())</f>
        <v>0</v>
      </c>
      <c r="J43" s="28">
        <f>IF(ISNUMBER(E43),E43,NA())</f>
        <v>0</v>
      </c>
      <c r="K43" s="22">
        <f>IF(AND(ISNUMBER(C43),ISNUMBER(C44)),SIGN(C44-C43),"")</f>
        <v>0</v>
      </c>
    </row>
    <row r="44" spans="3:11">
      <c r="C44" s="22">
        <f>IF(ISNUMBER(A44),A44*conv,"")</f>
        <v>0</v>
      </c>
      <c r="D44" s="28">
        <f>IF(ISNUMBER(B44),AVERAGE(INDEX($B$2:$B$301,MAX(1,43-semi)):INDEX($B$2:$B$301,MIN($M$2,43+semi))),"")</f>
        <v>0</v>
      </c>
      <c r="E44" s="28">
        <f>IF(AND(ISNUMBER(D44),ISNUMBER($M$4)),(D44-$M$4)/($M$5-$M$4),"")</f>
        <v>0</v>
      </c>
      <c r="F44" s="22">
        <f>IF(AND(ISNUMBER(E44),ISNUMBER(E45),ISNUMBER($M$6)),IF(AND(44&lt;$M$6,E44&lt;0.5,E45&gt;=0.5),44,""),"")</f>
        <v>0</v>
      </c>
      <c r="G44" s="22">
        <f>IF(AND(ISNUMBER(E44),ISNUMBER(E45),ISNUMBER($M$6)),IF(AND(44&gt;=$M$6,E44&gt;=0.5,E45&lt;0.5),44,""),"")</f>
        <v>0</v>
      </c>
      <c r="H44" s="22">
        <f>IF(OR(ISNUMBER(F44),ISNUMBER(G44)),C44+(0.5-E44)*(C45-C44)/(E45-E44),"")</f>
        <v>0</v>
      </c>
      <c r="I44" s="22">
        <f>IF(AND(ISNUMBER(E44),ISNUMBER($M$15)),C44-$M$15,NA())</f>
        <v>0</v>
      </c>
      <c r="J44" s="28">
        <f>IF(ISNUMBER(E44),E44,NA())</f>
        <v>0</v>
      </c>
      <c r="K44" s="22">
        <f>IF(AND(ISNUMBER(C44),ISNUMBER(C45)),SIGN(C45-C44),"")</f>
        <v>0</v>
      </c>
    </row>
    <row r="45" spans="3:11">
      <c r="C45" s="22">
        <f>IF(ISNUMBER(A45),A45*conv,"")</f>
        <v>0</v>
      </c>
      <c r="D45" s="28">
        <f>IF(ISNUMBER(B45),AVERAGE(INDEX($B$2:$B$301,MAX(1,44-semi)):INDEX($B$2:$B$301,MIN($M$2,44+semi))),"")</f>
        <v>0</v>
      </c>
      <c r="E45" s="28">
        <f>IF(AND(ISNUMBER(D45),ISNUMBER($M$4)),(D45-$M$4)/($M$5-$M$4),"")</f>
        <v>0</v>
      </c>
      <c r="F45" s="22">
        <f>IF(AND(ISNUMBER(E45),ISNUMBER(E46),ISNUMBER($M$6)),IF(AND(45&lt;$M$6,E45&lt;0.5,E46&gt;=0.5),45,""),"")</f>
        <v>0</v>
      </c>
      <c r="G45" s="22">
        <f>IF(AND(ISNUMBER(E45),ISNUMBER(E46),ISNUMBER($M$6)),IF(AND(45&gt;=$M$6,E45&gt;=0.5,E46&lt;0.5),45,""),"")</f>
        <v>0</v>
      </c>
      <c r="H45" s="22">
        <f>IF(OR(ISNUMBER(F45),ISNUMBER(G45)),C45+(0.5-E45)*(C46-C45)/(E46-E45),"")</f>
        <v>0</v>
      </c>
      <c r="I45" s="22">
        <f>IF(AND(ISNUMBER(E45),ISNUMBER($M$15)),C45-$M$15,NA())</f>
        <v>0</v>
      </c>
      <c r="J45" s="28">
        <f>IF(ISNUMBER(E45),E45,NA())</f>
        <v>0</v>
      </c>
      <c r="K45" s="22">
        <f>IF(AND(ISNUMBER(C45),ISNUMBER(C46)),SIGN(C46-C45),"")</f>
        <v>0</v>
      </c>
    </row>
    <row r="46" spans="3:11">
      <c r="C46" s="22">
        <f>IF(ISNUMBER(A46),A46*conv,"")</f>
        <v>0</v>
      </c>
      <c r="D46" s="28">
        <f>IF(ISNUMBER(B46),AVERAGE(INDEX($B$2:$B$301,MAX(1,45-semi)):INDEX($B$2:$B$301,MIN($M$2,45+semi))),"")</f>
        <v>0</v>
      </c>
      <c r="E46" s="28">
        <f>IF(AND(ISNUMBER(D46),ISNUMBER($M$4)),(D46-$M$4)/($M$5-$M$4),"")</f>
        <v>0</v>
      </c>
      <c r="F46" s="22">
        <f>IF(AND(ISNUMBER(E46),ISNUMBER(E47),ISNUMBER($M$6)),IF(AND(46&lt;$M$6,E46&lt;0.5,E47&gt;=0.5),46,""),"")</f>
        <v>0</v>
      </c>
      <c r="G46" s="22">
        <f>IF(AND(ISNUMBER(E46),ISNUMBER(E47),ISNUMBER($M$6)),IF(AND(46&gt;=$M$6,E46&gt;=0.5,E47&lt;0.5),46,""),"")</f>
        <v>0</v>
      </c>
      <c r="H46" s="22">
        <f>IF(OR(ISNUMBER(F46),ISNUMBER(G46)),C46+(0.5-E46)*(C47-C46)/(E47-E46),"")</f>
        <v>0</v>
      </c>
      <c r="I46" s="22">
        <f>IF(AND(ISNUMBER(E46),ISNUMBER($M$15)),C46-$M$15,NA())</f>
        <v>0</v>
      </c>
      <c r="J46" s="28">
        <f>IF(ISNUMBER(E46),E46,NA())</f>
        <v>0</v>
      </c>
      <c r="K46" s="22">
        <f>IF(AND(ISNUMBER(C46),ISNUMBER(C47)),SIGN(C47-C46),"")</f>
        <v>0</v>
      </c>
    </row>
    <row r="47" spans="3:11">
      <c r="C47" s="22">
        <f>IF(ISNUMBER(A47),A47*conv,"")</f>
        <v>0</v>
      </c>
      <c r="D47" s="28">
        <f>IF(ISNUMBER(B47),AVERAGE(INDEX($B$2:$B$301,MAX(1,46-semi)):INDEX($B$2:$B$301,MIN($M$2,46+semi))),"")</f>
        <v>0</v>
      </c>
      <c r="E47" s="28">
        <f>IF(AND(ISNUMBER(D47),ISNUMBER($M$4)),(D47-$M$4)/($M$5-$M$4),"")</f>
        <v>0</v>
      </c>
      <c r="F47" s="22">
        <f>IF(AND(ISNUMBER(E47),ISNUMBER(E48),ISNUMBER($M$6)),IF(AND(47&lt;$M$6,E47&lt;0.5,E48&gt;=0.5),47,""),"")</f>
        <v>0</v>
      </c>
      <c r="G47" s="22">
        <f>IF(AND(ISNUMBER(E47),ISNUMBER(E48),ISNUMBER($M$6)),IF(AND(47&gt;=$M$6,E47&gt;=0.5,E48&lt;0.5),47,""),"")</f>
        <v>0</v>
      </c>
      <c r="H47" s="22">
        <f>IF(OR(ISNUMBER(F47),ISNUMBER(G47)),C47+(0.5-E47)*(C48-C47)/(E48-E47),"")</f>
        <v>0</v>
      </c>
      <c r="I47" s="22">
        <f>IF(AND(ISNUMBER(E47),ISNUMBER($M$15)),C47-$M$15,NA())</f>
        <v>0</v>
      </c>
      <c r="J47" s="28">
        <f>IF(ISNUMBER(E47),E47,NA())</f>
        <v>0</v>
      </c>
      <c r="K47" s="22">
        <f>IF(AND(ISNUMBER(C47),ISNUMBER(C48)),SIGN(C48-C47),"")</f>
        <v>0</v>
      </c>
    </row>
    <row r="48" spans="3:11">
      <c r="C48" s="22">
        <f>IF(ISNUMBER(A48),A48*conv,"")</f>
        <v>0</v>
      </c>
      <c r="D48" s="28">
        <f>IF(ISNUMBER(B48),AVERAGE(INDEX($B$2:$B$301,MAX(1,47-semi)):INDEX($B$2:$B$301,MIN($M$2,47+semi))),"")</f>
        <v>0</v>
      </c>
      <c r="E48" s="28">
        <f>IF(AND(ISNUMBER(D48),ISNUMBER($M$4)),(D48-$M$4)/($M$5-$M$4),"")</f>
        <v>0</v>
      </c>
      <c r="F48" s="22">
        <f>IF(AND(ISNUMBER(E48),ISNUMBER(E49),ISNUMBER($M$6)),IF(AND(48&lt;$M$6,E48&lt;0.5,E49&gt;=0.5),48,""),"")</f>
        <v>0</v>
      </c>
      <c r="G48" s="22">
        <f>IF(AND(ISNUMBER(E48),ISNUMBER(E49),ISNUMBER($M$6)),IF(AND(48&gt;=$M$6,E48&gt;=0.5,E49&lt;0.5),48,""),"")</f>
        <v>0</v>
      </c>
      <c r="H48" s="22">
        <f>IF(OR(ISNUMBER(F48),ISNUMBER(G48)),C48+(0.5-E48)*(C49-C48)/(E49-E48),"")</f>
        <v>0</v>
      </c>
      <c r="I48" s="22">
        <f>IF(AND(ISNUMBER(E48),ISNUMBER($M$15)),C48-$M$15,NA())</f>
        <v>0</v>
      </c>
      <c r="J48" s="28">
        <f>IF(ISNUMBER(E48),E48,NA())</f>
        <v>0</v>
      </c>
      <c r="K48" s="22">
        <f>IF(AND(ISNUMBER(C48),ISNUMBER(C49)),SIGN(C49-C48),"")</f>
        <v>0</v>
      </c>
    </row>
    <row r="49" spans="3:11">
      <c r="C49" s="22">
        <f>IF(ISNUMBER(A49),A49*conv,"")</f>
        <v>0</v>
      </c>
      <c r="D49" s="28">
        <f>IF(ISNUMBER(B49),AVERAGE(INDEX($B$2:$B$301,MAX(1,48-semi)):INDEX($B$2:$B$301,MIN($M$2,48+semi))),"")</f>
        <v>0</v>
      </c>
      <c r="E49" s="28">
        <f>IF(AND(ISNUMBER(D49),ISNUMBER($M$4)),(D49-$M$4)/($M$5-$M$4),"")</f>
        <v>0</v>
      </c>
      <c r="F49" s="22">
        <f>IF(AND(ISNUMBER(E49),ISNUMBER(E50),ISNUMBER($M$6)),IF(AND(49&lt;$M$6,E49&lt;0.5,E50&gt;=0.5),49,""),"")</f>
        <v>0</v>
      </c>
      <c r="G49" s="22">
        <f>IF(AND(ISNUMBER(E49),ISNUMBER(E50),ISNUMBER($M$6)),IF(AND(49&gt;=$M$6,E49&gt;=0.5,E50&lt;0.5),49,""),"")</f>
        <v>0</v>
      </c>
      <c r="H49" s="22">
        <f>IF(OR(ISNUMBER(F49),ISNUMBER(G49)),C49+(0.5-E49)*(C50-C49)/(E50-E49),"")</f>
        <v>0</v>
      </c>
      <c r="I49" s="22">
        <f>IF(AND(ISNUMBER(E49),ISNUMBER($M$15)),C49-$M$15,NA())</f>
        <v>0</v>
      </c>
      <c r="J49" s="28">
        <f>IF(ISNUMBER(E49),E49,NA())</f>
        <v>0</v>
      </c>
      <c r="K49" s="22">
        <f>IF(AND(ISNUMBER(C49),ISNUMBER(C50)),SIGN(C50-C49),"")</f>
        <v>0</v>
      </c>
    </row>
    <row r="50" spans="3:11">
      <c r="C50" s="22">
        <f>IF(ISNUMBER(A50),A50*conv,"")</f>
        <v>0</v>
      </c>
      <c r="D50" s="28">
        <f>IF(ISNUMBER(B50),AVERAGE(INDEX($B$2:$B$301,MAX(1,49-semi)):INDEX($B$2:$B$301,MIN($M$2,49+semi))),"")</f>
        <v>0</v>
      </c>
      <c r="E50" s="28">
        <f>IF(AND(ISNUMBER(D50),ISNUMBER($M$4)),(D50-$M$4)/($M$5-$M$4),"")</f>
        <v>0</v>
      </c>
      <c r="F50" s="22">
        <f>IF(AND(ISNUMBER(E50),ISNUMBER(E51),ISNUMBER($M$6)),IF(AND(50&lt;$M$6,E50&lt;0.5,E51&gt;=0.5),50,""),"")</f>
        <v>0</v>
      </c>
      <c r="G50" s="22">
        <f>IF(AND(ISNUMBER(E50),ISNUMBER(E51),ISNUMBER($M$6)),IF(AND(50&gt;=$M$6,E50&gt;=0.5,E51&lt;0.5),50,""),"")</f>
        <v>0</v>
      </c>
      <c r="H50" s="22">
        <f>IF(OR(ISNUMBER(F50),ISNUMBER(G50)),C50+(0.5-E50)*(C51-C50)/(E51-E50),"")</f>
        <v>0</v>
      </c>
      <c r="I50" s="22">
        <f>IF(AND(ISNUMBER(E50),ISNUMBER($M$15)),C50-$M$15,NA())</f>
        <v>0</v>
      </c>
      <c r="J50" s="28">
        <f>IF(ISNUMBER(E50),E50,NA())</f>
        <v>0</v>
      </c>
      <c r="K50" s="22">
        <f>IF(AND(ISNUMBER(C50),ISNUMBER(C51)),SIGN(C51-C50),"")</f>
        <v>0</v>
      </c>
    </row>
    <row r="51" spans="3:11">
      <c r="C51" s="22">
        <f>IF(ISNUMBER(A51),A51*conv,"")</f>
        <v>0</v>
      </c>
      <c r="D51" s="28">
        <f>IF(ISNUMBER(B51),AVERAGE(INDEX($B$2:$B$301,MAX(1,50-semi)):INDEX($B$2:$B$301,MIN($M$2,50+semi))),"")</f>
        <v>0</v>
      </c>
      <c r="E51" s="28">
        <f>IF(AND(ISNUMBER(D51),ISNUMBER($M$4)),(D51-$M$4)/($M$5-$M$4),"")</f>
        <v>0</v>
      </c>
      <c r="F51" s="22">
        <f>IF(AND(ISNUMBER(E51),ISNUMBER(E52),ISNUMBER($M$6)),IF(AND(51&lt;$M$6,E51&lt;0.5,E52&gt;=0.5),51,""),"")</f>
        <v>0</v>
      </c>
      <c r="G51" s="22">
        <f>IF(AND(ISNUMBER(E51),ISNUMBER(E52),ISNUMBER($M$6)),IF(AND(51&gt;=$M$6,E51&gt;=0.5,E52&lt;0.5),51,""),"")</f>
        <v>0</v>
      </c>
      <c r="H51" s="22">
        <f>IF(OR(ISNUMBER(F51),ISNUMBER(G51)),C51+(0.5-E51)*(C52-C51)/(E52-E51),"")</f>
        <v>0</v>
      </c>
      <c r="I51" s="22">
        <f>IF(AND(ISNUMBER(E51),ISNUMBER($M$15)),C51-$M$15,NA())</f>
        <v>0</v>
      </c>
      <c r="J51" s="28">
        <f>IF(ISNUMBER(E51),E51,NA())</f>
        <v>0</v>
      </c>
      <c r="K51" s="22">
        <f>IF(AND(ISNUMBER(C51),ISNUMBER(C52)),SIGN(C52-C51),"")</f>
        <v>0</v>
      </c>
    </row>
    <row r="52" spans="3:11">
      <c r="C52" s="22">
        <f>IF(ISNUMBER(A52),A52*conv,"")</f>
        <v>0</v>
      </c>
      <c r="D52" s="28">
        <f>IF(ISNUMBER(B52),AVERAGE(INDEX($B$2:$B$301,MAX(1,51-semi)):INDEX($B$2:$B$301,MIN($M$2,51+semi))),"")</f>
        <v>0</v>
      </c>
      <c r="E52" s="28">
        <f>IF(AND(ISNUMBER(D52),ISNUMBER($M$4)),(D52-$M$4)/($M$5-$M$4),"")</f>
        <v>0</v>
      </c>
      <c r="F52" s="22">
        <f>IF(AND(ISNUMBER(E52),ISNUMBER(E53),ISNUMBER($M$6)),IF(AND(52&lt;$M$6,E52&lt;0.5,E53&gt;=0.5),52,""),"")</f>
        <v>0</v>
      </c>
      <c r="G52" s="22">
        <f>IF(AND(ISNUMBER(E52),ISNUMBER(E53),ISNUMBER($M$6)),IF(AND(52&gt;=$M$6,E52&gt;=0.5,E53&lt;0.5),52,""),"")</f>
        <v>0</v>
      </c>
      <c r="H52" s="22">
        <f>IF(OR(ISNUMBER(F52),ISNUMBER(G52)),C52+(0.5-E52)*(C53-C52)/(E53-E52),"")</f>
        <v>0</v>
      </c>
      <c r="I52" s="22">
        <f>IF(AND(ISNUMBER(E52),ISNUMBER($M$15)),C52-$M$15,NA())</f>
        <v>0</v>
      </c>
      <c r="J52" s="28">
        <f>IF(ISNUMBER(E52),E52,NA())</f>
        <v>0</v>
      </c>
      <c r="K52" s="22">
        <f>IF(AND(ISNUMBER(C52),ISNUMBER(C53)),SIGN(C53-C52),"")</f>
        <v>0</v>
      </c>
    </row>
    <row r="53" spans="3:11">
      <c r="C53" s="22">
        <f>IF(ISNUMBER(A53),A53*conv,"")</f>
        <v>0</v>
      </c>
      <c r="D53" s="28">
        <f>IF(ISNUMBER(B53),AVERAGE(INDEX($B$2:$B$301,MAX(1,52-semi)):INDEX($B$2:$B$301,MIN($M$2,52+semi))),"")</f>
        <v>0</v>
      </c>
      <c r="E53" s="28">
        <f>IF(AND(ISNUMBER(D53),ISNUMBER($M$4)),(D53-$M$4)/($M$5-$M$4),"")</f>
        <v>0</v>
      </c>
      <c r="F53" s="22">
        <f>IF(AND(ISNUMBER(E53),ISNUMBER(E54),ISNUMBER($M$6)),IF(AND(53&lt;$M$6,E53&lt;0.5,E54&gt;=0.5),53,""),"")</f>
        <v>0</v>
      </c>
      <c r="G53" s="22">
        <f>IF(AND(ISNUMBER(E53),ISNUMBER(E54),ISNUMBER($M$6)),IF(AND(53&gt;=$M$6,E53&gt;=0.5,E54&lt;0.5),53,""),"")</f>
        <v>0</v>
      </c>
      <c r="H53" s="22">
        <f>IF(OR(ISNUMBER(F53),ISNUMBER(G53)),C53+(0.5-E53)*(C54-C53)/(E54-E53),"")</f>
        <v>0</v>
      </c>
      <c r="I53" s="22">
        <f>IF(AND(ISNUMBER(E53),ISNUMBER($M$15)),C53-$M$15,NA())</f>
        <v>0</v>
      </c>
      <c r="J53" s="28">
        <f>IF(ISNUMBER(E53),E53,NA())</f>
        <v>0</v>
      </c>
      <c r="K53" s="22">
        <f>IF(AND(ISNUMBER(C53),ISNUMBER(C54)),SIGN(C54-C53),"")</f>
        <v>0</v>
      </c>
    </row>
    <row r="54" spans="3:11">
      <c r="C54" s="22">
        <f>IF(ISNUMBER(A54),A54*conv,"")</f>
        <v>0</v>
      </c>
      <c r="D54" s="28">
        <f>IF(ISNUMBER(B54),AVERAGE(INDEX($B$2:$B$301,MAX(1,53-semi)):INDEX($B$2:$B$301,MIN($M$2,53+semi))),"")</f>
        <v>0</v>
      </c>
      <c r="E54" s="28">
        <f>IF(AND(ISNUMBER(D54),ISNUMBER($M$4)),(D54-$M$4)/($M$5-$M$4),"")</f>
        <v>0</v>
      </c>
      <c r="F54" s="22">
        <f>IF(AND(ISNUMBER(E54),ISNUMBER(E55),ISNUMBER($M$6)),IF(AND(54&lt;$M$6,E54&lt;0.5,E55&gt;=0.5),54,""),"")</f>
        <v>0</v>
      </c>
      <c r="G54" s="22">
        <f>IF(AND(ISNUMBER(E54),ISNUMBER(E55),ISNUMBER($M$6)),IF(AND(54&gt;=$M$6,E54&gt;=0.5,E55&lt;0.5),54,""),"")</f>
        <v>0</v>
      </c>
      <c r="H54" s="22">
        <f>IF(OR(ISNUMBER(F54),ISNUMBER(G54)),C54+(0.5-E54)*(C55-C54)/(E55-E54),"")</f>
        <v>0</v>
      </c>
      <c r="I54" s="22">
        <f>IF(AND(ISNUMBER(E54),ISNUMBER($M$15)),C54-$M$15,NA())</f>
        <v>0</v>
      </c>
      <c r="J54" s="28">
        <f>IF(ISNUMBER(E54),E54,NA())</f>
        <v>0</v>
      </c>
      <c r="K54" s="22">
        <f>IF(AND(ISNUMBER(C54),ISNUMBER(C55)),SIGN(C55-C54),"")</f>
        <v>0</v>
      </c>
    </row>
    <row r="55" spans="3:11">
      <c r="C55" s="22">
        <f>IF(ISNUMBER(A55),A55*conv,"")</f>
        <v>0</v>
      </c>
      <c r="D55" s="28">
        <f>IF(ISNUMBER(B55),AVERAGE(INDEX($B$2:$B$301,MAX(1,54-semi)):INDEX($B$2:$B$301,MIN($M$2,54+semi))),"")</f>
        <v>0</v>
      </c>
      <c r="E55" s="28">
        <f>IF(AND(ISNUMBER(D55),ISNUMBER($M$4)),(D55-$M$4)/($M$5-$M$4),"")</f>
        <v>0</v>
      </c>
      <c r="F55" s="22">
        <f>IF(AND(ISNUMBER(E55),ISNUMBER(E56),ISNUMBER($M$6)),IF(AND(55&lt;$M$6,E55&lt;0.5,E56&gt;=0.5),55,""),"")</f>
        <v>0</v>
      </c>
      <c r="G55" s="22">
        <f>IF(AND(ISNUMBER(E55),ISNUMBER(E56),ISNUMBER($M$6)),IF(AND(55&gt;=$M$6,E55&gt;=0.5,E56&lt;0.5),55,""),"")</f>
        <v>0</v>
      </c>
      <c r="H55" s="22">
        <f>IF(OR(ISNUMBER(F55),ISNUMBER(G55)),C55+(0.5-E55)*(C56-C55)/(E56-E55),"")</f>
        <v>0</v>
      </c>
      <c r="I55" s="22">
        <f>IF(AND(ISNUMBER(E55),ISNUMBER($M$15)),C55-$M$15,NA())</f>
        <v>0</v>
      </c>
      <c r="J55" s="28">
        <f>IF(ISNUMBER(E55),E55,NA())</f>
        <v>0</v>
      </c>
      <c r="K55" s="22">
        <f>IF(AND(ISNUMBER(C55),ISNUMBER(C56)),SIGN(C56-C55),"")</f>
        <v>0</v>
      </c>
    </row>
    <row r="56" spans="3:11">
      <c r="C56" s="22">
        <f>IF(ISNUMBER(A56),A56*conv,"")</f>
        <v>0</v>
      </c>
      <c r="D56" s="28">
        <f>IF(ISNUMBER(B56),AVERAGE(INDEX($B$2:$B$301,MAX(1,55-semi)):INDEX($B$2:$B$301,MIN($M$2,55+semi))),"")</f>
        <v>0</v>
      </c>
      <c r="E56" s="28">
        <f>IF(AND(ISNUMBER(D56),ISNUMBER($M$4)),(D56-$M$4)/($M$5-$M$4),"")</f>
        <v>0</v>
      </c>
      <c r="F56" s="22">
        <f>IF(AND(ISNUMBER(E56),ISNUMBER(E57),ISNUMBER($M$6)),IF(AND(56&lt;$M$6,E56&lt;0.5,E57&gt;=0.5),56,""),"")</f>
        <v>0</v>
      </c>
      <c r="G56" s="22">
        <f>IF(AND(ISNUMBER(E56),ISNUMBER(E57),ISNUMBER($M$6)),IF(AND(56&gt;=$M$6,E56&gt;=0.5,E57&lt;0.5),56,""),"")</f>
        <v>0</v>
      </c>
      <c r="H56" s="22">
        <f>IF(OR(ISNUMBER(F56),ISNUMBER(G56)),C56+(0.5-E56)*(C57-C56)/(E57-E56),"")</f>
        <v>0</v>
      </c>
      <c r="I56" s="22">
        <f>IF(AND(ISNUMBER(E56),ISNUMBER($M$15)),C56-$M$15,NA())</f>
        <v>0</v>
      </c>
      <c r="J56" s="28">
        <f>IF(ISNUMBER(E56),E56,NA())</f>
        <v>0</v>
      </c>
      <c r="K56" s="22">
        <f>IF(AND(ISNUMBER(C56),ISNUMBER(C57)),SIGN(C57-C56),"")</f>
        <v>0</v>
      </c>
    </row>
    <row r="57" spans="3:11">
      <c r="C57" s="22">
        <f>IF(ISNUMBER(A57),A57*conv,"")</f>
        <v>0</v>
      </c>
      <c r="D57" s="28">
        <f>IF(ISNUMBER(B57),AVERAGE(INDEX($B$2:$B$301,MAX(1,56-semi)):INDEX($B$2:$B$301,MIN($M$2,56+semi))),"")</f>
        <v>0</v>
      </c>
      <c r="E57" s="28">
        <f>IF(AND(ISNUMBER(D57),ISNUMBER($M$4)),(D57-$M$4)/($M$5-$M$4),"")</f>
        <v>0</v>
      </c>
      <c r="F57" s="22">
        <f>IF(AND(ISNUMBER(E57),ISNUMBER(E58),ISNUMBER($M$6)),IF(AND(57&lt;$M$6,E57&lt;0.5,E58&gt;=0.5),57,""),"")</f>
        <v>0</v>
      </c>
      <c r="G57" s="22">
        <f>IF(AND(ISNUMBER(E57),ISNUMBER(E58),ISNUMBER($M$6)),IF(AND(57&gt;=$M$6,E57&gt;=0.5,E58&lt;0.5),57,""),"")</f>
        <v>0</v>
      </c>
      <c r="H57" s="22">
        <f>IF(OR(ISNUMBER(F57),ISNUMBER(G57)),C57+(0.5-E57)*(C58-C57)/(E58-E57),"")</f>
        <v>0</v>
      </c>
      <c r="I57" s="22">
        <f>IF(AND(ISNUMBER(E57),ISNUMBER($M$15)),C57-$M$15,NA())</f>
        <v>0</v>
      </c>
      <c r="J57" s="28">
        <f>IF(ISNUMBER(E57),E57,NA())</f>
        <v>0</v>
      </c>
      <c r="K57" s="22">
        <f>IF(AND(ISNUMBER(C57),ISNUMBER(C58)),SIGN(C58-C57),"")</f>
        <v>0</v>
      </c>
    </row>
    <row r="58" spans="3:11">
      <c r="C58" s="22">
        <f>IF(ISNUMBER(A58),A58*conv,"")</f>
        <v>0</v>
      </c>
      <c r="D58" s="28">
        <f>IF(ISNUMBER(B58),AVERAGE(INDEX($B$2:$B$301,MAX(1,57-semi)):INDEX($B$2:$B$301,MIN($M$2,57+semi))),"")</f>
        <v>0</v>
      </c>
      <c r="E58" s="28">
        <f>IF(AND(ISNUMBER(D58),ISNUMBER($M$4)),(D58-$M$4)/($M$5-$M$4),"")</f>
        <v>0</v>
      </c>
      <c r="F58" s="22">
        <f>IF(AND(ISNUMBER(E58),ISNUMBER(E59),ISNUMBER($M$6)),IF(AND(58&lt;$M$6,E58&lt;0.5,E59&gt;=0.5),58,""),"")</f>
        <v>0</v>
      </c>
      <c r="G58" s="22">
        <f>IF(AND(ISNUMBER(E58),ISNUMBER(E59),ISNUMBER($M$6)),IF(AND(58&gt;=$M$6,E58&gt;=0.5,E59&lt;0.5),58,""),"")</f>
        <v>0</v>
      </c>
      <c r="H58" s="22">
        <f>IF(OR(ISNUMBER(F58),ISNUMBER(G58)),C58+(0.5-E58)*(C59-C58)/(E59-E58),"")</f>
        <v>0</v>
      </c>
      <c r="I58" s="22">
        <f>IF(AND(ISNUMBER(E58),ISNUMBER($M$15)),C58-$M$15,NA())</f>
        <v>0</v>
      </c>
      <c r="J58" s="28">
        <f>IF(ISNUMBER(E58),E58,NA())</f>
        <v>0</v>
      </c>
      <c r="K58" s="22">
        <f>IF(AND(ISNUMBER(C58),ISNUMBER(C59)),SIGN(C59-C58),"")</f>
        <v>0</v>
      </c>
    </row>
    <row r="59" spans="3:11">
      <c r="C59" s="22">
        <f>IF(ISNUMBER(A59),A59*conv,"")</f>
        <v>0</v>
      </c>
      <c r="D59" s="28">
        <f>IF(ISNUMBER(B59),AVERAGE(INDEX($B$2:$B$301,MAX(1,58-semi)):INDEX($B$2:$B$301,MIN($M$2,58+semi))),"")</f>
        <v>0</v>
      </c>
      <c r="E59" s="28">
        <f>IF(AND(ISNUMBER(D59),ISNUMBER($M$4)),(D59-$M$4)/($M$5-$M$4),"")</f>
        <v>0</v>
      </c>
      <c r="F59" s="22">
        <f>IF(AND(ISNUMBER(E59),ISNUMBER(E60),ISNUMBER($M$6)),IF(AND(59&lt;$M$6,E59&lt;0.5,E60&gt;=0.5),59,""),"")</f>
        <v>0</v>
      </c>
      <c r="G59" s="22">
        <f>IF(AND(ISNUMBER(E59),ISNUMBER(E60),ISNUMBER($M$6)),IF(AND(59&gt;=$M$6,E59&gt;=0.5,E60&lt;0.5),59,""),"")</f>
        <v>0</v>
      </c>
      <c r="H59" s="22">
        <f>IF(OR(ISNUMBER(F59),ISNUMBER(G59)),C59+(0.5-E59)*(C60-C59)/(E60-E59),"")</f>
        <v>0</v>
      </c>
      <c r="I59" s="22">
        <f>IF(AND(ISNUMBER(E59),ISNUMBER($M$15)),C59-$M$15,NA())</f>
        <v>0</v>
      </c>
      <c r="J59" s="28">
        <f>IF(ISNUMBER(E59),E59,NA())</f>
        <v>0</v>
      </c>
      <c r="K59" s="22">
        <f>IF(AND(ISNUMBER(C59),ISNUMBER(C60)),SIGN(C60-C59),"")</f>
        <v>0</v>
      </c>
    </row>
    <row r="60" spans="3:11">
      <c r="C60" s="22">
        <f>IF(ISNUMBER(A60),A60*conv,"")</f>
        <v>0</v>
      </c>
      <c r="D60" s="28">
        <f>IF(ISNUMBER(B60),AVERAGE(INDEX($B$2:$B$301,MAX(1,59-semi)):INDEX($B$2:$B$301,MIN($M$2,59+semi))),"")</f>
        <v>0</v>
      </c>
      <c r="E60" s="28">
        <f>IF(AND(ISNUMBER(D60),ISNUMBER($M$4)),(D60-$M$4)/($M$5-$M$4),"")</f>
        <v>0</v>
      </c>
      <c r="F60" s="22">
        <f>IF(AND(ISNUMBER(E60),ISNUMBER(E61),ISNUMBER($M$6)),IF(AND(60&lt;$M$6,E60&lt;0.5,E61&gt;=0.5),60,""),"")</f>
        <v>0</v>
      </c>
      <c r="G60" s="22">
        <f>IF(AND(ISNUMBER(E60),ISNUMBER(E61),ISNUMBER($M$6)),IF(AND(60&gt;=$M$6,E60&gt;=0.5,E61&lt;0.5),60,""),"")</f>
        <v>0</v>
      </c>
      <c r="H60" s="22">
        <f>IF(OR(ISNUMBER(F60),ISNUMBER(G60)),C60+(0.5-E60)*(C61-C60)/(E61-E60),"")</f>
        <v>0</v>
      </c>
      <c r="I60" s="22">
        <f>IF(AND(ISNUMBER(E60),ISNUMBER($M$15)),C60-$M$15,NA())</f>
        <v>0</v>
      </c>
      <c r="J60" s="28">
        <f>IF(ISNUMBER(E60),E60,NA())</f>
        <v>0</v>
      </c>
      <c r="K60" s="22">
        <f>IF(AND(ISNUMBER(C60),ISNUMBER(C61)),SIGN(C61-C60),"")</f>
        <v>0</v>
      </c>
    </row>
    <row r="61" spans="3:11">
      <c r="C61" s="22">
        <f>IF(ISNUMBER(A61),A61*conv,"")</f>
        <v>0</v>
      </c>
      <c r="D61" s="28">
        <f>IF(ISNUMBER(B61),AVERAGE(INDEX($B$2:$B$301,MAX(1,60-semi)):INDEX($B$2:$B$301,MIN($M$2,60+semi))),"")</f>
        <v>0</v>
      </c>
      <c r="E61" s="28">
        <f>IF(AND(ISNUMBER(D61),ISNUMBER($M$4)),(D61-$M$4)/($M$5-$M$4),"")</f>
        <v>0</v>
      </c>
      <c r="F61" s="22">
        <f>IF(AND(ISNUMBER(E61),ISNUMBER(E62),ISNUMBER($M$6)),IF(AND(61&lt;$M$6,E61&lt;0.5,E62&gt;=0.5),61,""),"")</f>
        <v>0</v>
      </c>
      <c r="G61" s="22">
        <f>IF(AND(ISNUMBER(E61),ISNUMBER(E62),ISNUMBER($M$6)),IF(AND(61&gt;=$M$6,E61&gt;=0.5,E62&lt;0.5),61,""),"")</f>
        <v>0</v>
      </c>
      <c r="H61" s="22">
        <f>IF(OR(ISNUMBER(F61),ISNUMBER(G61)),C61+(0.5-E61)*(C62-C61)/(E62-E61),"")</f>
        <v>0</v>
      </c>
      <c r="I61" s="22">
        <f>IF(AND(ISNUMBER(E61),ISNUMBER($M$15)),C61-$M$15,NA())</f>
        <v>0</v>
      </c>
      <c r="J61" s="28">
        <f>IF(ISNUMBER(E61),E61,NA())</f>
        <v>0</v>
      </c>
      <c r="K61" s="22">
        <f>IF(AND(ISNUMBER(C61),ISNUMBER(C62)),SIGN(C62-C61),"")</f>
        <v>0</v>
      </c>
    </row>
    <row r="62" spans="3:11">
      <c r="C62" s="22">
        <f>IF(ISNUMBER(A62),A62*conv,"")</f>
        <v>0</v>
      </c>
      <c r="D62" s="28">
        <f>IF(ISNUMBER(B62),AVERAGE(INDEX($B$2:$B$301,MAX(1,61-semi)):INDEX($B$2:$B$301,MIN($M$2,61+semi))),"")</f>
        <v>0</v>
      </c>
      <c r="E62" s="28">
        <f>IF(AND(ISNUMBER(D62),ISNUMBER($M$4)),(D62-$M$4)/($M$5-$M$4),"")</f>
        <v>0</v>
      </c>
      <c r="F62" s="22">
        <f>IF(AND(ISNUMBER(E62),ISNUMBER(E63),ISNUMBER($M$6)),IF(AND(62&lt;$M$6,E62&lt;0.5,E63&gt;=0.5),62,""),"")</f>
        <v>0</v>
      </c>
      <c r="G62" s="22">
        <f>IF(AND(ISNUMBER(E62),ISNUMBER(E63),ISNUMBER($M$6)),IF(AND(62&gt;=$M$6,E62&gt;=0.5,E63&lt;0.5),62,""),"")</f>
        <v>0</v>
      </c>
      <c r="H62" s="22">
        <f>IF(OR(ISNUMBER(F62),ISNUMBER(G62)),C62+(0.5-E62)*(C63-C62)/(E63-E62),"")</f>
        <v>0</v>
      </c>
      <c r="I62" s="22">
        <f>IF(AND(ISNUMBER(E62),ISNUMBER($M$15)),C62-$M$15,NA())</f>
        <v>0</v>
      </c>
      <c r="J62" s="28">
        <f>IF(ISNUMBER(E62),E62,NA())</f>
        <v>0</v>
      </c>
      <c r="K62" s="22">
        <f>IF(AND(ISNUMBER(C62),ISNUMBER(C63)),SIGN(C63-C62),"")</f>
        <v>0</v>
      </c>
    </row>
    <row r="63" spans="3:11">
      <c r="C63" s="22">
        <f>IF(ISNUMBER(A63),A63*conv,"")</f>
        <v>0</v>
      </c>
      <c r="D63" s="28">
        <f>IF(ISNUMBER(B63),AVERAGE(INDEX($B$2:$B$301,MAX(1,62-semi)):INDEX($B$2:$B$301,MIN($M$2,62+semi))),"")</f>
        <v>0</v>
      </c>
      <c r="E63" s="28">
        <f>IF(AND(ISNUMBER(D63),ISNUMBER($M$4)),(D63-$M$4)/($M$5-$M$4),"")</f>
        <v>0</v>
      </c>
      <c r="F63" s="22">
        <f>IF(AND(ISNUMBER(E63),ISNUMBER(E64),ISNUMBER($M$6)),IF(AND(63&lt;$M$6,E63&lt;0.5,E64&gt;=0.5),63,""),"")</f>
        <v>0</v>
      </c>
      <c r="G63" s="22">
        <f>IF(AND(ISNUMBER(E63),ISNUMBER(E64),ISNUMBER($M$6)),IF(AND(63&gt;=$M$6,E63&gt;=0.5,E64&lt;0.5),63,""),"")</f>
        <v>0</v>
      </c>
      <c r="H63" s="22">
        <f>IF(OR(ISNUMBER(F63),ISNUMBER(G63)),C63+(0.5-E63)*(C64-C63)/(E64-E63),"")</f>
        <v>0</v>
      </c>
      <c r="I63" s="22">
        <f>IF(AND(ISNUMBER(E63),ISNUMBER($M$15)),C63-$M$15,NA())</f>
        <v>0</v>
      </c>
      <c r="J63" s="28">
        <f>IF(ISNUMBER(E63),E63,NA())</f>
        <v>0</v>
      </c>
      <c r="K63" s="22">
        <f>IF(AND(ISNUMBER(C63),ISNUMBER(C64)),SIGN(C64-C63),"")</f>
        <v>0</v>
      </c>
    </row>
    <row r="64" spans="3:11">
      <c r="C64" s="22">
        <f>IF(ISNUMBER(A64),A64*conv,"")</f>
        <v>0</v>
      </c>
      <c r="D64" s="28">
        <f>IF(ISNUMBER(B64),AVERAGE(INDEX($B$2:$B$301,MAX(1,63-semi)):INDEX($B$2:$B$301,MIN($M$2,63+semi))),"")</f>
        <v>0</v>
      </c>
      <c r="E64" s="28">
        <f>IF(AND(ISNUMBER(D64),ISNUMBER($M$4)),(D64-$M$4)/($M$5-$M$4),"")</f>
        <v>0</v>
      </c>
      <c r="F64" s="22">
        <f>IF(AND(ISNUMBER(E64),ISNUMBER(E65),ISNUMBER($M$6)),IF(AND(64&lt;$M$6,E64&lt;0.5,E65&gt;=0.5),64,""),"")</f>
        <v>0</v>
      </c>
      <c r="G64" s="22">
        <f>IF(AND(ISNUMBER(E64),ISNUMBER(E65),ISNUMBER($M$6)),IF(AND(64&gt;=$M$6,E64&gt;=0.5,E65&lt;0.5),64,""),"")</f>
        <v>0</v>
      </c>
      <c r="H64" s="22">
        <f>IF(OR(ISNUMBER(F64),ISNUMBER(G64)),C64+(0.5-E64)*(C65-C64)/(E65-E64),"")</f>
        <v>0</v>
      </c>
      <c r="I64" s="22">
        <f>IF(AND(ISNUMBER(E64),ISNUMBER($M$15)),C64-$M$15,NA())</f>
        <v>0</v>
      </c>
      <c r="J64" s="28">
        <f>IF(ISNUMBER(E64),E64,NA())</f>
        <v>0</v>
      </c>
      <c r="K64" s="22">
        <f>IF(AND(ISNUMBER(C64),ISNUMBER(C65)),SIGN(C65-C64),"")</f>
        <v>0</v>
      </c>
    </row>
    <row r="65" spans="3:11">
      <c r="C65" s="22">
        <f>IF(ISNUMBER(A65),A65*conv,"")</f>
        <v>0</v>
      </c>
      <c r="D65" s="28">
        <f>IF(ISNUMBER(B65),AVERAGE(INDEX($B$2:$B$301,MAX(1,64-semi)):INDEX($B$2:$B$301,MIN($M$2,64+semi))),"")</f>
        <v>0</v>
      </c>
      <c r="E65" s="28">
        <f>IF(AND(ISNUMBER(D65),ISNUMBER($M$4)),(D65-$M$4)/($M$5-$M$4),"")</f>
        <v>0</v>
      </c>
      <c r="F65" s="22">
        <f>IF(AND(ISNUMBER(E65),ISNUMBER(E66),ISNUMBER($M$6)),IF(AND(65&lt;$M$6,E65&lt;0.5,E66&gt;=0.5),65,""),"")</f>
        <v>0</v>
      </c>
      <c r="G65" s="22">
        <f>IF(AND(ISNUMBER(E65),ISNUMBER(E66),ISNUMBER($M$6)),IF(AND(65&gt;=$M$6,E65&gt;=0.5,E66&lt;0.5),65,""),"")</f>
        <v>0</v>
      </c>
      <c r="H65" s="22">
        <f>IF(OR(ISNUMBER(F65),ISNUMBER(G65)),C65+(0.5-E65)*(C66-C65)/(E66-E65),"")</f>
        <v>0</v>
      </c>
      <c r="I65" s="22">
        <f>IF(AND(ISNUMBER(E65),ISNUMBER($M$15)),C65-$M$15,NA())</f>
        <v>0</v>
      </c>
      <c r="J65" s="28">
        <f>IF(ISNUMBER(E65),E65,NA())</f>
        <v>0</v>
      </c>
      <c r="K65" s="22">
        <f>IF(AND(ISNUMBER(C65),ISNUMBER(C66)),SIGN(C66-C65),"")</f>
        <v>0</v>
      </c>
    </row>
    <row r="66" spans="3:11">
      <c r="C66" s="22">
        <f>IF(ISNUMBER(A66),A66*conv,"")</f>
        <v>0</v>
      </c>
      <c r="D66" s="28">
        <f>IF(ISNUMBER(B66),AVERAGE(INDEX($B$2:$B$301,MAX(1,65-semi)):INDEX($B$2:$B$301,MIN($M$2,65+semi))),"")</f>
        <v>0</v>
      </c>
      <c r="E66" s="28">
        <f>IF(AND(ISNUMBER(D66),ISNUMBER($M$4)),(D66-$M$4)/($M$5-$M$4),"")</f>
        <v>0</v>
      </c>
      <c r="F66" s="22">
        <f>IF(AND(ISNUMBER(E66),ISNUMBER(E67),ISNUMBER($M$6)),IF(AND(66&lt;$M$6,E66&lt;0.5,E67&gt;=0.5),66,""),"")</f>
        <v>0</v>
      </c>
      <c r="G66" s="22">
        <f>IF(AND(ISNUMBER(E66),ISNUMBER(E67),ISNUMBER($M$6)),IF(AND(66&gt;=$M$6,E66&gt;=0.5,E67&lt;0.5),66,""),"")</f>
        <v>0</v>
      </c>
      <c r="H66" s="22">
        <f>IF(OR(ISNUMBER(F66),ISNUMBER(G66)),C66+(0.5-E66)*(C67-C66)/(E67-E66),"")</f>
        <v>0</v>
      </c>
      <c r="I66" s="22">
        <f>IF(AND(ISNUMBER(E66),ISNUMBER($M$15)),C66-$M$15,NA())</f>
        <v>0</v>
      </c>
      <c r="J66" s="28">
        <f>IF(ISNUMBER(E66),E66,NA())</f>
        <v>0</v>
      </c>
      <c r="K66" s="22">
        <f>IF(AND(ISNUMBER(C66),ISNUMBER(C67)),SIGN(C67-C66),"")</f>
        <v>0</v>
      </c>
    </row>
    <row r="67" spans="3:11">
      <c r="C67" s="22">
        <f>IF(ISNUMBER(A67),A67*conv,"")</f>
        <v>0</v>
      </c>
      <c r="D67" s="28">
        <f>IF(ISNUMBER(B67),AVERAGE(INDEX($B$2:$B$301,MAX(1,66-semi)):INDEX($B$2:$B$301,MIN($M$2,66+semi))),"")</f>
        <v>0</v>
      </c>
      <c r="E67" s="28">
        <f>IF(AND(ISNUMBER(D67),ISNUMBER($M$4)),(D67-$M$4)/($M$5-$M$4),"")</f>
        <v>0</v>
      </c>
      <c r="F67" s="22">
        <f>IF(AND(ISNUMBER(E67),ISNUMBER(E68),ISNUMBER($M$6)),IF(AND(67&lt;$M$6,E67&lt;0.5,E68&gt;=0.5),67,""),"")</f>
        <v>0</v>
      </c>
      <c r="G67" s="22">
        <f>IF(AND(ISNUMBER(E67),ISNUMBER(E68),ISNUMBER($M$6)),IF(AND(67&gt;=$M$6,E67&gt;=0.5,E68&lt;0.5),67,""),"")</f>
        <v>0</v>
      </c>
      <c r="H67" s="22">
        <f>IF(OR(ISNUMBER(F67),ISNUMBER(G67)),C67+(0.5-E67)*(C68-C67)/(E68-E67),"")</f>
        <v>0</v>
      </c>
      <c r="I67" s="22">
        <f>IF(AND(ISNUMBER(E67),ISNUMBER($M$15)),C67-$M$15,NA())</f>
        <v>0</v>
      </c>
      <c r="J67" s="28">
        <f>IF(ISNUMBER(E67),E67,NA())</f>
        <v>0</v>
      </c>
      <c r="K67" s="22">
        <f>IF(AND(ISNUMBER(C67),ISNUMBER(C68)),SIGN(C68-C67),"")</f>
        <v>0</v>
      </c>
    </row>
    <row r="68" spans="3:11">
      <c r="C68" s="22">
        <f>IF(ISNUMBER(A68),A68*conv,"")</f>
        <v>0</v>
      </c>
      <c r="D68" s="28">
        <f>IF(ISNUMBER(B68),AVERAGE(INDEX($B$2:$B$301,MAX(1,67-semi)):INDEX($B$2:$B$301,MIN($M$2,67+semi))),"")</f>
        <v>0</v>
      </c>
      <c r="E68" s="28">
        <f>IF(AND(ISNUMBER(D68),ISNUMBER($M$4)),(D68-$M$4)/($M$5-$M$4),"")</f>
        <v>0</v>
      </c>
      <c r="F68" s="22">
        <f>IF(AND(ISNUMBER(E68),ISNUMBER(E69),ISNUMBER($M$6)),IF(AND(68&lt;$M$6,E68&lt;0.5,E69&gt;=0.5),68,""),"")</f>
        <v>0</v>
      </c>
      <c r="G68" s="22">
        <f>IF(AND(ISNUMBER(E68),ISNUMBER(E69),ISNUMBER($M$6)),IF(AND(68&gt;=$M$6,E68&gt;=0.5,E69&lt;0.5),68,""),"")</f>
        <v>0</v>
      </c>
      <c r="H68" s="22">
        <f>IF(OR(ISNUMBER(F68),ISNUMBER(G68)),C68+(0.5-E68)*(C69-C68)/(E69-E68),"")</f>
        <v>0</v>
      </c>
      <c r="I68" s="22">
        <f>IF(AND(ISNUMBER(E68),ISNUMBER($M$15)),C68-$M$15,NA())</f>
        <v>0</v>
      </c>
      <c r="J68" s="28">
        <f>IF(ISNUMBER(E68),E68,NA())</f>
        <v>0</v>
      </c>
      <c r="K68" s="22">
        <f>IF(AND(ISNUMBER(C68),ISNUMBER(C69)),SIGN(C69-C68),"")</f>
        <v>0</v>
      </c>
    </row>
    <row r="69" spans="3:11">
      <c r="C69" s="22">
        <f>IF(ISNUMBER(A69),A69*conv,"")</f>
        <v>0</v>
      </c>
      <c r="D69" s="28">
        <f>IF(ISNUMBER(B69),AVERAGE(INDEX($B$2:$B$301,MAX(1,68-semi)):INDEX($B$2:$B$301,MIN($M$2,68+semi))),"")</f>
        <v>0</v>
      </c>
      <c r="E69" s="28">
        <f>IF(AND(ISNUMBER(D69),ISNUMBER($M$4)),(D69-$M$4)/($M$5-$M$4),"")</f>
        <v>0</v>
      </c>
      <c r="F69" s="22">
        <f>IF(AND(ISNUMBER(E69),ISNUMBER(E70),ISNUMBER($M$6)),IF(AND(69&lt;$M$6,E69&lt;0.5,E70&gt;=0.5),69,""),"")</f>
        <v>0</v>
      </c>
      <c r="G69" s="22">
        <f>IF(AND(ISNUMBER(E69),ISNUMBER(E70),ISNUMBER($M$6)),IF(AND(69&gt;=$M$6,E69&gt;=0.5,E70&lt;0.5),69,""),"")</f>
        <v>0</v>
      </c>
      <c r="H69" s="22">
        <f>IF(OR(ISNUMBER(F69),ISNUMBER(G69)),C69+(0.5-E69)*(C70-C69)/(E70-E69),"")</f>
        <v>0</v>
      </c>
      <c r="I69" s="22">
        <f>IF(AND(ISNUMBER(E69),ISNUMBER($M$15)),C69-$M$15,NA())</f>
        <v>0</v>
      </c>
      <c r="J69" s="28">
        <f>IF(ISNUMBER(E69),E69,NA())</f>
        <v>0</v>
      </c>
      <c r="K69" s="22">
        <f>IF(AND(ISNUMBER(C69),ISNUMBER(C70)),SIGN(C70-C69),"")</f>
        <v>0</v>
      </c>
    </row>
    <row r="70" spans="3:11">
      <c r="C70" s="22">
        <f>IF(ISNUMBER(A70),A70*conv,"")</f>
        <v>0</v>
      </c>
      <c r="D70" s="28">
        <f>IF(ISNUMBER(B70),AVERAGE(INDEX($B$2:$B$301,MAX(1,69-semi)):INDEX($B$2:$B$301,MIN($M$2,69+semi))),"")</f>
        <v>0</v>
      </c>
      <c r="E70" s="28">
        <f>IF(AND(ISNUMBER(D70),ISNUMBER($M$4)),(D70-$M$4)/($M$5-$M$4),"")</f>
        <v>0</v>
      </c>
      <c r="F70" s="22">
        <f>IF(AND(ISNUMBER(E70),ISNUMBER(E71),ISNUMBER($M$6)),IF(AND(70&lt;$M$6,E70&lt;0.5,E71&gt;=0.5),70,""),"")</f>
        <v>0</v>
      </c>
      <c r="G70" s="22">
        <f>IF(AND(ISNUMBER(E70),ISNUMBER(E71),ISNUMBER($M$6)),IF(AND(70&gt;=$M$6,E70&gt;=0.5,E71&lt;0.5),70,""),"")</f>
        <v>0</v>
      </c>
      <c r="H70" s="22">
        <f>IF(OR(ISNUMBER(F70),ISNUMBER(G70)),C70+(0.5-E70)*(C71-C70)/(E71-E70),"")</f>
        <v>0</v>
      </c>
      <c r="I70" s="22">
        <f>IF(AND(ISNUMBER(E70),ISNUMBER($M$15)),C70-$M$15,NA())</f>
        <v>0</v>
      </c>
      <c r="J70" s="28">
        <f>IF(ISNUMBER(E70),E70,NA())</f>
        <v>0</v>
      </c>
      <c r="K70" s="22">
        <f>IF(AND(ISNUMBER(C70),ISNUMBER(C71)),SIGN(C71-C70),"")</f>
        <v>0</v>
      </c>
    </row>
    <row r="71" spans="3:11">
      <c r="C71" s="22">
        <f>IF(ISNUMBER(A71),A71*conv,"")</f>
        <v>0</v>
      </c>
      <c r="D71" s="28">
        <f>IF(ISNUMBER(B71),AVERAGE(INDEX($B$2:$B$301,MAX(1,70-semi)):INDEX($B$2:$B$301,MIN($M$2,70+semi))),"")</f>
        <v>0</v>
      </c>
      <c r="E71" s="28">
        <f>IF(AND(ISNUMBER(D71),ISNUMBER($M$4)),(D71-$M$4)/($M$5-$M$4),"")</f>
        <v>0</v>
      </c>
      <c r="F71" s="22">
        <f>IF(AND(ISNUMBER(E71),ISNUMBER(E72),ISNUMBER($M$6)),IF(AND(71&lt;$M$6,E71&lt;0.5,E72&gt;=0.5),71,""),"")</f>
        <v>0</v>
      </c>
      <c r="G71" s="22">
        <f>IF(AND(ISNUMBER(E71),ISNUMBER(E72),ISNUMBER($M$6)),IF(AND(71&gt;=$M$6,E71&gt;=0.5,E72&lt;0.5),71,""),"")</f>
        <v>0</v>
      </c>
      <c r="H71" s="22">
        <f>IF(OR(ISNUMBER(F71),ISNUMBER(G71)),C71+(0.5-E71)*(C72-C71)/(E72-E71),"")</f>
        <v>0</v>
      </c>
      <c r="I71" s="22">
        <f>IF(AND(ISNUMBER(E71),ISNUMBER($M$15)),C71-$M$15,NA())</f>
        <v>0</v>
      </c>
      <c r="J71" s="28">
        <f>IF(ISNUMBER(E71),E71,NA())</f>
        <v>0</v>
      </c>
      <c r="K71" s="22">
        <f>IF(AND(ISNUMBER(C71),ISNUMBER(C72)),SIGN(C72-C71),"")</f>
        <v>0</v>
      </c>
    </row>
    <row r="72" spans="3:11">
      <c r="C72" s="22">
        <f>IF(ISNUMBER(A72),A72*conv,"")</f>
        <v>0</v>
      </c>
      <c r="D72" s="28">
        <f>IF(ISNUMBER(B72),AVERAGE(INDEX($B$2:$B$301,MAX(1,71-semi)):INDEX($B$2:$B$301,MIN($M$2,71+semi))),"")</f>
        <v>0</v>
      </c>
      <c r="E72" s="28">
        <f>IF(AND(ISNUMBER(D72),ISNUMBER($M$4)),(D72-$M$4)/($M$5-$M$4),"")</f>
        <v>0</v>
      </c>
      <c r="F72" s="22">
        <f>IF(AND(ISNUMBER(E72),ISNUMBER(E73),ISNUMBER($M$6)),IF(AND(72&lt;$M$6,E72&lt;0.5,E73&gt;=0.5),72,""),"")</f>
        <v>0</v>
      </c>
      <c r="G72" s="22">
        <f>IF(AND(ISNUMBER(E72),ISNUMBER(E73),ISNUMBER($M$6)),IF(AND(72&gt;=$M$6,E72&gt;=0.5,E73&lt;0.5),72,""),"")</f>
        <v>0</v>
      </c>
      <c r="H72" s="22">
        <f>IF(OR(ISNUMBER(F72),ISNUMBER(G72)),C72+(0.5-E72)*(C73-C72)/(E73-E72),"")</f>
        <v>0</v>
      </c>
      <c r="I72" s="22">
        <f>IF(AND(ISNUMBER(E72),ISNUMBER($M$15)),C72-$M$15,NA())</f>
        <v>0</v>
      </c>
      <c r="J72" s="28">
        <f>IF(ISNUMBER(E72),E72,NA())</f>
        <v>0</v>
      </c>
      <c r="K72" s="22">
        <f>IF(AND(ISNUMBER(C72),ISNUMBER(C73)),SIGN(C73-C72),"")</f>
        <v>0</v>
      </c>
    </row>
    <row r="73" spans="3:11">
      <c r="C73" s="22">
        <f>IF(ISNUMBER(A73),A73*conv,"")</f>
        <v>0</v>
      </c>
      <c r="D73" s="28">
        <f>IF(ISNUMBER(B73),AVERAGE(INDEX($B$2:$B$301,MAX(1,72-semi)):INDEX($B$2:$B$301,MIN($M$2,72+semi))),"")</f>
        <v>0</v>
      </c>
      <c r="E73" s="28">
        <f>IF(AND(ISNUMBER(D73),ISNUMBER($M$4)),(D73-$M$4)/($M$5-$M$4),"")</f>
        <v>0</v>
      </c>
      <c r="F73" s="22">
        <f>IF(AND(ISNUMBER(E73),ISNUMBER(E74),ISNUMBER($M$6)),IF(AND(73&lt;$M$6,E73&lt;0.5,E74&gt;=0.5),73,""),"")</f>
        <v>0</v>
      </c>
      <c r="G73" s="22">
        <f>IF(AND(ISNUMBER(E73),ISNUMBER(E74),ISNUMBER($M$6)),IF(AND(73&gt;=$M$6,E73&gt;=0.5,E74&lt;0.5),73,""),"")</f>
        <v>0</v>
      </c>
      <c r="H73" s="22">
        <f>IF(OR(ISNUMBER(F73),ISNUMBER(G73)),C73+(0.5-E73)*(C74-C73)/(E74-E73),"")</f>
        <v>0</v>
      </c>
      <c r="I73" s="22">
        <f>IF(AND(ISNUMBER(E73),ISNUMBER($M$15)),C73-$M$15,NA())</f>
        <v>0</v>
      </c>
      <c r="J73" s="28">
        <f>IF(ISNUMBER(E73),E73,NA())</f>
        <v>0</v>
      </c>
      <c r="K73" s="22">
        <f>IF(AND(ISNUMBER(C73),ISNUMBER(C74)),SIGN(C74-C73),"")</f>
        <v>0</v>
      </c>
    </row>
    <row r="74" spans="3:11">
      <c r="C74" s="22">
        <f>IF(ISNUMBER(A74),A74*conv,"")</f>
        <v>0</v>
      </c>
      <c r="D74" s="28">
        <f>IF(ISNUMBER(B74),AVERAGE(INDEX($B$2:$B$301,MAX(1,73-semi)):INDEX($B$2:$B$301,MIN($M$2,73+semi))),"")</f>
        <v>0</v>
      </c>
      <c r="E74" s="28">
        <f>IF(AND(ISNUMBER(D74),ISNUMBER($M$4)),(D74-$M$4)/($M$5-$M$4),"")</f>
        <v>0</v>
      </c>
      <c r="F74" s="22">
        <f>IF(AND(ISNUMBER(E74),ISNUMBER(E75),ISNUMBER($M$6)),IF(AND(74&lt;$M$6,E74&lt;0.5,E75&gt;=0.5),74,""),"")</f>
        <v>0</v>
      </c>
      <c r="G74" s="22">
        <f>IF(AND(ISNUMBER(E74),ISNUMBER(E75),ISNUMBER($M$6)),IF(AND(74&gt;=$M$6,E74&gt;=0.5,E75&lt;0.5),74,""),"")</f>
        <v>0</v>
      </c>
      <c r="H74" s="22">
        <f>IF(OR(ISNUMBER(F74),ISNUMBER(G74)),C74+(0.5-E74)*(C75-C74)/(E75-E74),"")</f>
        <v>0</v>
      </c>
      <c r="I74" s="22">
        <f>IF(AND(ISNUMBER(E74),ISNUMBER($M$15)),C74-$M$15,NA())</f>
        <v>0</v>
      </c>
      <c r="J74" s="28">
        <f>IF(ISNUMBER(E74),E74,NA())</f>
        <v>0</v>
      </c>
      <c r="K74" s="22">
        <f>IF(AND(ISNUMBER(C74),ISNUMBER(C75)),SIGN(C75-C74),"")</f>
        <v>0</v>
      </c>
    </row>
    <row r="75" spans="3:11">
      <c r="C75" s="22">
        <f>IF(ISNUMBER(A75),A75*conv,"")</f>
        <v>0</v>
      </c>
      <c r="D75" s="28">
        <f>IF(ISNUMBER(B75),AVERAGE(INDEX($B$2:$B$301,MAX(1,74-semi)):INDEX($B$2:$B$301,MIN($M$2,74+semi))),"")</f>
        <v>0</v>
      </c>
      <c r="E75" s="28">
        <f>IF(AND(ISNUMBER(D75),ISNUMBER($M$4)),(D75-$M$4)/($M$5-$M$4),"")</f>
        <v>0</v>
      </c>
      <c r="F75" s="22">
        <f>IF(AND(ISNUMBER(E75),ISNUMBER(E76),ISNUMBER($M$6)),IF(AND(75&lt;$M$6,E75&lt;0.5,E76&gt;=0.5),75,""),"")</f>
        <v>0</v>
      </c>
      <c r="G75" s="22">
        <f>IF(AND(ISNUMBER(E75),ISNUMBER(E76),ISNUMBER($M$6)),IF(AND(75&gt;=$M$6,E75&gt;=0.5,E76&lt;0.5),75,""),"")</f>
        <v>0</v>
      </c>
      <c r="H75" s="22">
        <f>IF(OR(ISNUMBER(F75),ISNUMBER(G75)),C75+(0.5-E75)*(C76-C75)/(E76-E75),"")</f>
        <v>0</v>
      </c>
      <c r="I75" s="22">
        <f>IF(AND(ISNUMBER(E75),ISNUMBER($M$15)),C75-$M$15,NA())</f>
        <v>0</v>
      </c>
      <c r="J75" s="28">
        <f>IF(ISNUMBER(E75),E75,NA())</f>
        <v>0</v>
      </c>
      <c r="K75" s="22">
        <f>IF(AND(ISNUMBER(C75),ISNUMBER(C76)),SIGN(C76-C75),"")</f>
        <v>0</v>
      </c>
    </row>
    <row r="76" spans="3:11">
      <c r="C76" s="22">
        <f>IF(ISNUMBER(A76),A76*conv,"")</f>
        <v>0</v>
      </c>
      <c r="D76" s="28">
        <f>IF(ISNUMBER(B76),AVERAGE(INDEX($B$2:$B$301,MAX(1,75-semi)):INDEX($B$2:$B$301,MIN($M$2,75+semi))),"")</f>
        <v>0</v>
      </c>
      <c r="E76" s="28">
        <f>IF(AND(ISNUMBER(D76),ISNUMBER($M$4)),(D76-$M$4)/($M$5-$M$4),"")</f>
        <v>0</v>
      </c>
      <c r="F76" s="22">
        <f>IF(AND(ISNUMBER(E76),ISNUMBER(E77),ISNUMBER($M$6)),IF(AND(76&lt;$M$6,E76&lt;0.5,E77&gt;=0.5),76,""),"")</f>
        <v>0</v>
      </c>
      <c r="G76" s="22">
        <f>IF(AND(ISNUMBER(E76),ISNUMBER(E77),ISNUMBER($M$6)),IF(AND(76&gt;=$M$6,E76&gt;=0.5,E77&lt;0.5),76,""),"")</f>
        <v>0</v>
      </c>
      <c r="H76" s="22">
        <f>IF(OR(ISNUMBER(F76),ISNUMBER(G76)),C76+(0.5-E76)*(C77-C76)/(E77-E76),"")</f>
        <v>0</v>
      </c>
      <c r="I76" s="22">
        <f>IF(AND(ISNUMBER(E76),ISNUMBER($M$15)),C76-$M$15,NA())</f>
        <v>0</v>
      </c>
      <c r="J76" s="28">
        <f>IF(ISNUMBER(E76),E76,NA())</f>
        <v>0</v>
      </c>
      <c r="K76" s="22">
        <f>IF(AND(ISNUMBER(C76),ISNUMBER(C77)),SIGN(C77-C76),"")</f>
        <v>0</v>
      </c>
    </row>
    <row r="77" spans="3:11">
      <c r="C77" s="22">
        <f>IF(ISNUMBER(A77),A77*conv,"")</f>
        <v>0</v>
      </c>
      <c r="D77" s="28">
        <f>IF(ISNUMBER(B77),AVERAGE(INDEX($B$2:$B$301,MAX(1,76-semi)):INDEX($B$2:$B$301,MIN($M$2,76+semi))),"")</f>
        <v>0</v>
      </c>
      <c r="E77" s="28">
        <f>IF(AND(ISNUMBER(D77),ISNUMBER($M$4)),(D77-$M$4)/($M$5-$M$4),"")</f>
        <v>0</v>
      </c>
      <c r="F77" s="22">
        <f>IF(AND(ISNUMBER(E77),ISNUMBER(E78),ISNUMBER($M$6)),IF(AND(77&lt;$M$6,E77&lt;0.5,E78&gt;=0.5),77,""),"")</f>
        <v>0</v>
      </c>
      <c r="G77" s="22">
        <f>IF(AND(ISNUMBER(E77),ISNUMBER(E78),ISNUMBER($M$6)),IF(AND(77&gt;=$M$6,E77&gt;=0.5,E78&lt;0.5),77,""),"")</f>
        <v>0</v>
      </c>
      <c r="H77" s="22">
        <f>IF(OR(ISNUMBER(F77),ISNUMBER(G77)),C77+(0.5-E77)*(C78-C77)/(E78-E77),"")</f>
        <v>0</v>
      </c>
      <c r="I77" s="22">
        <f>IF(AND(ISNUMBER(E77),ISNUMBER($M$15)),C77-$M$15,NA())</f>
        <v>0</v>
      </c>
      <c r="J77" s="28">
        <f>IF(ISNUMBER(E77),E77,NA())</f>
        <v>0</v>
      </c>
      <c r="K77" s="22">
        <f>IF(AND(ISNUMBER(C77),ISNUMBER(C78)),SIGN(C78-C77),"")</f>
        <v>0</v>
      </c>
    </row>
    <row r="78" spans="3:11">
      <c r="C78" s="22">
        <f>IF(ISNUMBER(A78),A78*conv,"")</f>
        <v>0</v>
      </c>
      <c r="D78" s="28">
        <f>IF(ISNUMBER(B78),AVERAGE(INDEX($B$2:$B$301,MAX(1,77-semi)):INDEX($B$2:$B$301,MIN($M$2,77+semi))),"")</f>
        <v>0</v>
      </c>
      <c r="E78" s="28">
        <f>IF(AND(ISNUMBER(D78),ISNUMBER($M$4)),(D78-$M$4)/($M$5-$M$4),"")</f>
        <v>0</v>
      </c>
      <c r="F78" s="22">
        <f>IF(AND(ISNUMBER(E78),ISNUMBER(E79),ISNUMBER($M$6)),IF(AND(78&lt;$M$6,E78&lt;0.5,E79&gt;=0.5),78,""),"")</f>
        <v>0</v>
      </c>
      <c r="G78" s="22">
        <f>IF(AND(ISNUMBER(E78),ISNUMBER(E79),ISNUMBER($M$6)),IF(AND(78&gt;=$M$6,E78&gt;=0.5,E79&lt;0.5),78,""),"")</f>
        <v>0</v>
      </c>
      <c r="H78" s="22">
        <f>IF(OR(ISNUMBER(F78),ISNUMBER(G78)),C78+(0.5-E78)*(C79-C78)/(E79-E78),"")</f>
        <v>0</v>
      </c>
      <c r="I78" s="22">
        <f>IF(AND(ISNUMBER(E78),ISNUMBER($M$15)),C78-$M$15,NA())</f>
        <v>0</v>
      </c>
      <c r="J78" s="28">
        <f>IF(ISNUMBER(E78),E78,NA())</f>
        <v>0</v>
      </c>
      <c r="K78" s="22">
        <f>IF(AND(ISNUMBER(C78),ISNUMBER(C79)),SIGN(C79-C78),"")</f>
        <v>0</v>
      </c>
    </row>
    <row r="79" spans="3:11">
      <c r="C79" s="22">
        <f>IF(ISNUMBER(A79),A79*conv,"")</f>
        <v>0</v>
      </c>
      <c r="D79" s="28">
        <f>IF(ISNUMBER(B79),AVERAGE(INDEX($B$2:$B$301,MAX(1,78-semi)):INDEX($B$2:$B$301,MIN($M$2,78+semi))),"")</f>
        <v>0</v>
      </c>
      <c r="E79" s="28">
        <f>IF(AND(ISNUMBER(D79),ISNUMBER($M$4)),(D79-$M$4)/($M$5-$M$4),"")</f>
        <v>0</v>
      </c>
      <c r="F79" s="22">
        <f>IF(AND(ISNUMBER(E79),ISNUMBER(E80),ISNUMBER($M$6)),IF(AND(79&lt;$M$6,E79&lt;0.5,E80&gt;=0.5),79,""),"")</f>
        <v>0</v>
      </c>
      <c r="G79" s="22">
        <f>IF(AND(ISNUMBER(E79),ISNUMBER(E80),ISNUMBER($M$6)),IF(AND(79&gt;=$M$6,E79&gt;=0.5,E80&lt;0.5),79,""),"")</f>
        <v>0</v>
      </c>
      <c r="H79" s="22">
        <f>IF(OR(ISNUMBER(F79),ISNUMBER(G79)),C79+(0.5-E79)*(C80-C79)/(E80-E79),"")</f>
        <v>0</v>
      </c>
      <c r="I79" s="22">
        <f>IF(AND(ISNUMBER(E79),ISNUMBER($M$15)),C79-$M$15,NA())</f>
        <v>0</v>
      </c>
      <c r="J79" s="28">
        <f>IF(ISNUMBER(E79),E79,NA())</f>
        <v>0</v>
      </c>
      <c r="K79" s="22">
        <f>IF(AND(ISNUMBER(C79),ISNUMBER(C80)),SIGN(C80-C79),"")</f>
        <v>0</v>
      </c>
    </row>
    <row r="80" spans="3:11">
      <c r="C80" s="22">
        <f>IF(ISNUMBER(A80),A80*conv,"")</f>
        <v>0</v>
      </c>
      <c r="D80" s="28">
        <f>IF(ISNUMBER(B80),AVERAGE(INDEX($B$2:$B$301,MAX(1,79-semi)):INDEX($B$2:$B$301,MIN($M$2,79+semi))),"")</f>
        <v>0</v>
      </c>
      <c r="E80" s="28">
        <f>IF(AND(ISNUMBER(D80),ISNUMBER($M$4)),(D80-$M$4)/($M$5-$M$4),"")</f>
        <v>0</v>
      </c>
      <c r="F80" s="22">
        <f>IF(AND(ISNUMBER(E80),ISNUMBER(E81),ISNUMBER($M$6)),IF(AND(80&lt;$M$6,E80&lt;0.5,E81&gt;=0.5),80,""),"")</f>
        <v>0</v>
      </c>
      <c r="G80" s="22">
        <f>IF(AND(ISNUMBER(E80),ISNUMBER(E81),ISNUMBER($M$6)),IF(AND(80&gt;=$M$6,E80&gt;=0.5,E81&lt;0.5),80,""),"")</f>
        <v>0</v>
      </c>
      <c r="H80" s="22">
        <f>IF(OR(ISNUMBER(F80),ISNUMBER(G80)),C80+(0.5-E80)*(C81-C80)/(E81-E80),"")</f>
        <v>0</v>
      </c>
      <c r="I80" s="22">
        <f>IF(AND(ISNUMBER(E80),ISNUMBER($M$15)),C80-$M$15,NA())</f>
        <v>0</v>
      </c>
      <c r="J80" s="28">
        <f>IF(ISNUMBER(E80),E80,NA())</f>
        <v>0</v>
      </c>
      <c r="K80" s="22">
        <f>IF(AND(ISNUMBER(C80),ISNUMBER(C81)),SIGN(C81-C80),"")</f>
        <v>0</v>
      </c>
    </row>
    <row r="81" spans="3:11">
      <c r="C81" s="22">
        <f>IF(ISNUMBER(A81),A81*conv,"")</f>
        <v>0</v>
      </c>
      <c r="D81" s="28">
        <f>IF(ISNUMBER(B81),AVERAGE(INDEX($B$2:$B$301,MAX(1,80-semi)):INDEX($B$2:$B$301,MIN($M$2,80+semi))),"")</f>
        <v>0</v>
      </c>
      <c r="E81" s="28">
        <f>IF(AND(ISNUMBER(D81),ISNUMBER($M$4)),(D81-$M$4)/($M$5-$M$4),"")</f>
        <v>0</v>
      </c>
      <c r="F81" s="22">
        <f>IF(AND(ISNUMBER(E81),ISNUMBER(E82),ISNUMBER($M$6)),IF(AND(81&lt;$M$6,E81&lt;0.5,E82&gt;=0.5),81,""),"")</f>
        <v>0</v>
      </c>
      <c r="G81" s="22">
        <f>IF(AND(ISNUMBER(E81),ISNUMBER(E82),ISNUMBER($M$6)),IF(AND(81&gt;=$M$6,E81&gt;=0.5,E82&lt;0.5),81,""),"")</f>
        <v>0</v>
      </c>
      <c r="H81" s="22">
        <f>IF(OR(ISNUMBER(F81),ISNUMBER(G81)),C81+(0.5-E81)*(C82-C81)/(E82-E81),"")</f>
        <v>0</v>
      </c>
      <c r="I81" s="22">
        <f>IF(AND(ISNUMBER(E81),ISNUMBER($M$15)),C81-$M$15,NA())</f>
        <v>0</v>
      </c>
      <c r="J81" s="28">
        <f>IF(ISNUMBER(E81),E81,NA())</f>
        <v>0</v>
      </c>
      <c r="K81" s="22">
        <f>IF(AND(ISNUMBER(C81),ISNUMBER(C82)),SIGN(C82-C81),"")</f>
        <v>0</v>
      </c>
    </row>
    <row r="82" spans="3:11">
      <c r="C82" s="22">
        <f>IF(ISNUMBER(A82),A82*conv,"")</f>
        <v>0</v>
      </c>
      <c r="D82" s="28">
        <f>IF(ISNUMBER(B82),AVERAGE(INDEX($B$2:$B$301,MAX(1,81-semi)):INDEX($B$2:$B$301,MIN($M$2,81+semi))),"")</f>
        <v>0</v>
      </c>
      <c r="E82" s="28">
        <f>IF(AND(ISNUMBER(D82),ISNUMBER($M$4)),(D82-$M$4)/($M$5-$M$4),"")</f>
        <v>0</v>
      </c>
      <c r="F82" s="22">
        <f>IF(AND(ISNUMBER(E82),ISNUMBER(E83),ISNUMBER($M$6)),IF(AND(82&lt;$M$6,E82&lt;0.5,E83&gt;=0.5),82,""),"")</f>
        <v>0</v>
      </c>
      <c r="G82" s="22">
        <f>IF(AND(ISNUMBER(E82),ISNUMBER(E83),ISNUMBER($M$6)),IF(AND(82&gt;=$M$6,E82&gt;=0.5,E83&lt;0.5),82,""),"")</f>
        <v>0</v>
      </c>
      <c r="H82" s="22">
        <f>IF(OR(ISNUMBER(F82),ISNUMBER(G82)),C82+(0.5-E82)*(C83-C82)/(E83-E82),"")</f>
        <v>0</v>
      </c>
      <c r="I82" s="22">
        <f>IF(AND(ISNUMBER(E82),ISNUMBER($M$15)),C82-$M$15,NA())</f>
        <v>0</v>
      </c>
      <c r="J82" s="28">
        <f>IF(ISNUMBER(E82),E82,NA())</f>
        <v>0</v>
      </c>
      <c r="K82" s="22">
        <f>IF(AND(ISNUMBER(C82),ISNUMBER(C83)),SIGN(C83-C82),"")</f>
        <v>0</v>
      </c>
    </row>
    <row r="83" spans="3:11">
      <c r="C83" s="22">
        <f>IF(ISNUMBER(A83),A83*conv,"")</f>
        <v>0</v>
      </c>
      <c r="D83" s="28">
        <f>IF(ISNUMBER(B83),AVERAGE(INDEX($B$2:$B$301,MAX(1,82-semi)):INDEX($B$2:$B$301,MIN($M$2,82+semi))),"")</f>
        <v>0</v>
      </c>
      <c r="E83" s="28">
        <f>IF(AND(ISNUMBER(D83),ISNUMBER($M$4)),(D83-$M$4)/($M$5-$M$4),"")</f>
        <v>0</v>
      </c>
      <c r="F83" s="22">
        <f>IF(AND(ISNUMBER(E83),ISNUMBER(E84),ISNUMBER($M$6)),IF(AND(83&lt;$M$6,E83&lt;0.5,E84&gt;=0.5),83,""),"")</f>
        <v>0</v>
      </c>
      <c r="G83" s="22">
        <f>IF(AND(ISNUMBER(E83),ISNUMBER(E84),ISNUMBER($M$6)),IF(AND(83&gt;=$M$6,E83&gt;=0.5,E84&lt;0.5),83,""),"")</f>
        <v>0</v>
      </c>
      <c r="H83" s="22">
        <f>IF(OR(ISNUMBER(F83),ISNUMBER(G83)),C83+(0.5-E83)*(C84-C83)/(E84-E83),"")</f>
        <v>0</v>
      </c>
      <c r="I83" s="22">
        <f>IF(AND(ISNUMBER(E83),ISNUMBER($M$15)),C83-$M$15,NA())</f>
        <v>0</v>
      </c>
      <c r="J83" s="28">
        <f>IF(ISNUMBER(E83),E83,NA())</f>
        <v>0</v>
      </c>
      <c r="K83" s="22">
        <f>IF(AND(ISNUMBER(C83),ISNUMBER(C84)),SIGN(C84-C83),"")</f>
        <v>0</v>
      </c>
    </row>
    <row r="84" spans="3:11">
      <c r="C84" s="22">
        <f>IF(ISNUMBER(A84),A84*conv,"")</f>
        <v>0</v>
      </c>
      <c r="D84" s="28">
        <f>IF(ISNUMBER(B84),AVERAGE(INDEX($B$2:$B$301,MAX(1,83-semi)):INDEX($B$2:$B$301,MIN($M$2,83+semi))),"")</f>
        <v>0</v>
      </c>
      <c r="E84" s="28">
        <f>IF(AND(ISNUMBER(D84),ISNUMBER($M$4)),(D84-$M$4)/($M$5-$M$4),"")</f>
        <v>0</v>
      </c>
      <c r="F84" s="22">
        <f>IF(AND(ISNUMBER(E84),ISNUMBER(E85),ISNUMBER($M$6)),IF(AND(84&lt;$M$6,E84&lt;0.5,E85&gt;=0.5),84,""),"")</f>
        <v>0</v>
      </c>
      <c r="G84" s="22">
        <f>IF(AND(ISNUMBER(E84),ISNUMBER(E85),ISNUMBER($M$6)),IF(AND(84&gt;=$M$6,E84&gt;=0.5,E85&lt;0.5),84,""),"")</f>
        <v>0</v>
      </c>
      <c r="H84" s="22">
        <f>IF(OR(ISNUMBER(F84),ISNUMBER(G84)),C84+(0.5-E84)*(C85-C84)/(E85-E84),"")</f>
        <v>0</v>
      </c>
      <c r="I84" s="22">
        <f>IF(AND(ISNUMBER(E84),ISNUMBER($M$15)),C84-$M$15,NA())</f>
        <v>0</v>
      </c>
      <c r="J84" s="28">
        <f>IF(ISNUMBER(E84),E84,NA())</f>
        <v>0</v>
      </c>
      <c r="K84" s="22">
        <f>IF(AND(ISNUMBER(C84),ISNUMBER(C85)),SIGN(C85-C84),"")</f>
        <v>0</v>
      </c>
    </row>
    <row r="85" spans="3:11">
      <c r="C85" s="22">
        <f>IF(ISNUMBER(A85),A85*conv,"")</f>
        <v>0</v>
      </c>
      <c r="D85" s="28">
        <f>IF(ISNUMBER(B85),AVERAGE(INDEX($B$2:$B$301,MAX(1,84-semi)):INDEX($B$2:$B$301,MIN($M$2,84+semi))),"")</f>
        <v>0</v>
      </c>
      <c r="E85" s="28">
        <f>IF(AND(ISNUMBER(D85),ISNUMBER($M$4)),(D85-$M$4)/($M$5-$M$4),"")</f>
        <v>0</v>
      </c>
      <c r="F85" s="22">
        <f>IF(AND(ISNUMBER(E85),ISNUMBER(E86),ISNUMBER($M$6)),IF(AND(85&lt;$M$6,E85&lt;0.5,E86&gt;=0.5),85,""),"")</f>
        <v>0</v>
      </c>
      <c r="G85" s="22">
        <f>IF(AND(ISNUMBER(E85),ISNUMBER(E86),ISNUMBER($M$6)),IF(AND(85&gt;=$M$6,E85&gt;=0.5,E86&lt;0.5),85,""),"")</f>
        <v>0</v>
      </c>
      <c r="H85" s="22">
        <f>IF(OR(ISNUMBER(F85),ISNUMBER(G85)),C85+(0.5-E85)*(C86-C85)/(E86-E85),"")</f>
        <v>0</v>
      </c>
      <c r="I85" s="22">
        <f>IF(AND(ISNUMBER(E85),ISNUMBER($M$15)),C85-$M$15,NA())</f>
        <v>0</v>
      </c>
      <c r="J85" s="28">
        <f>IF(ISNUMBER(E85),E85,NA())</f>
        <v>0</v>
      </c>
      <c r="K85" s="22">
        <f>IF(AND(ISNUMBER(C85),ISNUMBER(C86)),SIGN(C86-C85),"")</f>
        <v>0</v>
      </c>
    </row>
    <row r="86" spans="3:11">
      <c r="C86" s="22">
        <f>IF(ISNUMBER(A86),A86*conv,"")</f>
        <v>0</v>
      </c>
      <c r="D86" s="28">
        <f>IF(ISNUMBER(B86),AVERAGE(INDEX($B$2:$B$301,MAX(1,85-semi)):INDEX($B$2:$B$301,MIN($M$2,85+semi))),"")</f>
        <v>0</v>
      </c>
      <c r="E86" s="28">
        <f>IF(AND(ISNUMBER(D86),ISNUMBER($M$4)),(D86-$M$4)/($M$5-$M$4),"")</f>
        <v>0</v>
      </c>
      <c r="F86" s="22">
        <f>IF(AND(ISNUMBER(E86),ISNUMBER(E87),ISNUMBER($M$6)),IF(AND(86&lt;$M$6,E86&lt;0.5,E87&gt;=0.5),86,""),"")</f>
        <v>0</v>
      </c>
      <c r="G86" s="22">
        <f>IF(AND(ISNUMBER(E86),ISNUMBER(E87),ISNUMBER($M$6)),IF(AND(86&gt;=$M$6,E86&gt;=0.5,E87&lt;0.5),86,""),"")</f>
        <v>0</v>
      </c>
      <c r="H86" s="22">
        <f>IF(OR(ISNUMBER(F86),ISNUMBER(G86)),C86+(0.5-E86)*(C87-C86)/(E87-E86),"")</f>
        <v>0</v>
      </c>
      <c r="I86" s="22">
        <f>IF(AND(ISNUMBER(E86),ISNUMBER($M$15)),C86-$M$15,NA())</f>
        <v>0</v>
      </c>
      <c r="J86" s="28">
        <f>IF(ISNUMBER(E86),E86,NA())</f>
        <v>0</v>
      </c>
      <c r="K86" s="22">
        <f>IF(AND(ISNUMBER(C86),ISNUMBER(C87)),SIGN(C87-C86),"")</f>
        <v>0</v>
      </c>
    </row>
    <row r="87" spans="3:11">
      <c r="C87" s="22">
        <f>IF(ISNUMBER(A87),A87*conv,"")</f>
        <v>0</v>
      </c>
      <c r="D87" s="28">
        <f>IF(ISNUMBER(B87),AVERAGE(INDEX($B$2:$B$301,MAX(1,86-semi)):INDEX($B$2:$B$301,MIN($M$2,86+semi))),"")</f>
        <v>0</v>
      </c>
      <c r="E87" s="28">
        <f>IF(AND(ISNUMBER(D87),ISNUMBER($M$4)),(D87-$M$4)/($M$5-$M$4),"")</f>
        <v>0</v>
      </c>
      <c r="F87" s="22">
        <f>IF(AND(ISNUMBER(E87),ISNUMBER(E88),ISNUMBER($M$6)),IF(AND(87&lt;$M$6,E87&lt;0.5,E88&gt;=0.5),87,""),"")</f>
        <v>0</v>
      </c>
      <c r="G87" s="22">
        <f>IF(AND(ISNUMBER(E87),ISNUMBER(E88),ISNUMBER($M$6)),IF(AND(87&gt;=$M$6,E87&gt;=0.5,E88&lt;0.5),87,""),"")</f>
        <v>0</v>
      </c>
      <c r="H87" s="22">
        <f>IF(OR(ISNUMBER(F87),ISNUMBER(G87)),C87+(0.5-E87)*(C88-C87)/(E88-E87),"")</f>
        <v>0</v>
      </c>
      <c r="I87" s="22">
        <f>IF(AND(ISNUMBER(E87),ISNUMBER($M$15)),C87-$M$15,NA())</f>
        <v>0</v>
      </c>
      <c r="J87" s="28">
        <f>IF(ISNUMBER(E87),E87,NA())</f>
        <v>0</v>
      </c>
      <c r="K87" s="22">
        <f>IF(AND(ISNUMBER(C87),ISNUMBER(C88)),SIGN(C88-C87),"")</f>
        <v>0</v>
      </c>
    </row>
    <row r="88" spans="3:11">
      <c r="C88" s="22">
        <f>IF(ISNUMBER(A88),A88*conv,"")</f>
        <v>0</v>
      </c>
      <c r="D88" s="28">
        <f>IF(ISNUMBER(B88),AVERAGE(INDEX($B$2:$B$301,MAX(1,87-semi)):INDEX($B$2:$B$301,MIN($M$2,87+semi))),"")</f>
        <v>0</v>
      </c>
      <c r="E88" s="28">
        <f>IF(AND(ISNUMBER(D88),ISNUMBER($M$4)),(D88-$M$4)/($M$5-$M$4),"")</f>
        <v>0</v>
      </c>
      <c r="F88" s="22">
        <f>IF(AND(ISNUMBER(E88),ISNUMBER(E89),ISNUMBER($M$6)),IF(AND(88&lt;$M$6,E88&lt;0.5,E89&gt;=0.5),88,""),"")</f>
        <v>0</v>
      </c>
      <c r="G88" s="22">
        <f>IF(AND(ISNUMBER(E88),ISNUMBER(E89),ISNUMBER($M$6)),IF(AND(88&gt;=$M$6,E88&gt;=0.5,E89&lt;0.5),88,""),"")</f>
        <v>0</v>
      </c>
      <c r="H88" s="22">
        <f>IF(OR(ISNUMBER(F88),ISNUMBER(G88)),C88+(0.5-E88)*(C89-C88)/(E89-E88),"")</f>
        <v>0</v>
      </c>
      <c r="I88" s="22">
        <f>IF(AND(ISNUMBER(E88),ISNUMBER($M$15)),C88-$M$15,NA())</f>
        <v>0</v>
      </c>
      <c r="J88" s="28">
        <f>IF(ISNUMBER(E88),E88,NA())</f>
        <v>0</v>
      </c>
      <c r="K88" s="22">
        <f>IF(AND(ISNUMBER(C88),ISNUMBER(C89)),SIGN(C89-C88),"")</f>
        <v>0</v>
      </c>
    </row>
    <row r="89" spans="3:11">
      <c r="C89" s="22">
        <f>IF(ISNUMBER(A89),A89*conv,"")</f>
        <v>0</v>
      </c>
      <c r="D89" s="28">
        <f>IF(ISNUMBER(B89),AVERAGE(INDEX($B$2:$B$301,MAX(1,88-semi)):INDEX($B$2:$B$301,MIN($M$2,88+semi))),"")</f>
        <v>0</v>
      </c>
      <c r="E89" s="28">
        <f>IF(AND(ISNUMBER(D89),ISNUMBER($M$4)),(D89-$M$4)/($M$5-$M$4),"")</f>
        <v>0</v>
      </c>
      <c r="F89" s="22">
        <f>IF(AND(ISNUMBER(E89),ISNUMBER(E90),ISNUMBER($M$6)),IF(AND(89&lt;$M$6,E89&lt;0.5,E90&gt;=0.5),89,""),"")</f>
        <v>0</v>
      </c>
      <c r="G89" s="22">
        <f>IF(AND(ISNUMBER(E89),ISNUMBER(E90),ISNUMBER($M$6)),IF(AND(89&gt;=$M$6,E89&gt;=0.5,E90&lt;0.5),89,""),"")</f>
        <v>0</v>
      </c>
      <c r="H89" s="22">
        <f>IF(OR(ISNUMBER(F89),ISNUMBER(G89)),C89+(0.5-E89)*(C90-C89)/(E90-E89),"")</f>
        <v>0</v>
      </c>
      <c r="I89" s="22">
        <f>IF(AND(ISNUMBER(E89),ISNUMBER($M$15)),C89-$M$15,NA())</f>
        <v>0</v>
      </c>
      <c r="J89" s="28">
        <f>IF(ISNUMBER(E89),E89,NA())</f>
        <v>0</v>
      </c>
      <c r="K89" s="22">
        <f>IF(AND(ISNUMBER(C89),ISNUMBER(C90)),SIGN(C90-C89),"")</f>
        <v>0</v>
      </c>
    </row>
    <row r="90" spans="3:11">
      <c r="C90" s="22">
        <f>IF(ISNUMBER(A90),A90*conv,"")</f>
        <v>0</v>
      </c>
      <c r="D90" s="28">
        <f>IF(ISNUMBER(B90),AVERAGE(INDEX($B$2:$B$301,MAX(1,89-semi)):INDEX($B$2:$B$301,MIN($M$2,89+semi))),"")</f>
        <v>0</v>
      </c>
      <c r="E90" s="28">
        <f>IF(AND(ISNUMBER(D90),ISNUMBER($M$4)),(D90-$M$4)/($M$5-$M$4),"")</f>
        <v>0</v>
      </c>
      <c r="F90" s="22">
        <f>IF(AND(ISNUMBER(E90),ISNUMBER(E91),ISNUMBER($M$6)),IF(AND(90&lt;$M$6,E90&lt;0.5,E91&gt;=0.5),90,""),"")</f>
        <v>0</v>
      </c>
      <c r="G90" s="22">
        <f>IF(AND(ISNUMBER(E90),ISNUMBER(E91),ISNUMBER($M$6)),IF(AND(90&gt;=$M$6,E90&gt;=0.5,E91&lt;0.5),90,""),"")</f>
        <v>0</v>
      </c>
      <c r="H90" s="22">
        <f>IF(OR(ISNUMBER(F90),ISNUMBER(G90)),C90+(0.5-E90)*(C91-C90)/(E91-E90),"")</f>
        <v>0</v>
      </c>
      <c r="I90" s="22">
        <f>IF(AND(ISNUMBER(E90),ISNUMBER($M$15)),C90-$M$15,NA())</f>
        <v>0</v>
      </c>
      <c r="J90" s="28">
        <f>IF(ISNUMBER(E90),E90,NA())</f>
        <v>0</v>
      </c>
      <c r="K90" s="22">
        <f>IF(AND(ISNUMBER(C90),ISNUMBER(C91)),SIGN(C91-C90),"")</f>
        <v>0</v>
      </c>
    </row>
    <row r="91" spans="3:11">
      <c r="C91" s="22">
        <f>IF(ISNUMBER(A91),A91*conv,"")</f>
        <v>0</v>
      </c>
      <c r="D91" s="28">
        <f>IF(ISNUMBER(B91),AVERAGE(INDEX($B$2:$B$301,MAX(1,90-semi)):INDEX($B$2:$B$301,MIN($M$2,90+semi))),"")</f>
        <v>0</v>
      </c>
      <c r="E91" s="28">
        <f>IF(AND(ISNUMBER(D91),ISNUMBER($M$4)),(D91-$M$4)/($M$5-$M$4),"")</f>
        <v>0</v>
      </c>
      <c r="F91" s="22">
        <f>IF(AND(ISNUMBER(E91),ISNUMBER(E92),ISNUMBER($M$6)),IF(AND(91&lt;$M$6,E91&lt;0.5,E92&gt;=0.5),91,""),"")</f>
        <v>0</v>
      </c>
      <c r="G91" s="22">
        <f>IF(AND(ISNUMBER(E91),ISNUMBER(E92),ISNUMBER($M$6)),IF(AND(91&gt;=$M$6,E91&gt;=0.5,E92&lt;0.5),91,""),"")</f>
        <v>0</v>
      </c>
      <c r="H91" s="22">
        <f>IF(OR(ISNUMBER(F91),ISNUMBER(G91)),C91+(0.5-E91)*(C92-C91)/(E92-E91),"")</f>
        <v>0</v>
      </c>
      <c r="I91" s="22">
        <f>IF(AND(ISNUMBER(E91),ISNUMBER($M$15)),C91-$M$15,NA())</f>
        <v>0</v>
      </c>
      <c r="J91" s="28">
        <f>IF(ISNUMBER(E91),E91,NA())</f>
        <v>0</v>
      </c>
      <c r="K91" s="22">
        <f>IF(AND(ISNUMBER(C91),ISNUMBER(C92)),SIGN(C92-C91),"")</f>
        <v>0</v>
      </c>
    </row>
    <row r="92" spans="3:11">
      <c r="C92" s="22">
        <f>IF(ISNUMBER(A92),A92*conv,"")</f>
        <v>0</v>
      </c>
      <c r="D92" s="28">
        <f>IF(ISNUMBER(B92),AVERAGE(INDEX($B$2:$B$301,MAX(1,91-semi)):INDEX($B$2:$B$301,MIN($M$2,91+semi))),"")</f>
        <v>0</v>
      </c>
      <c r="E92" s="28">
        <f>IF(AND(ISNUMBER(D92),ISNUMBER($M$4)),(D92-$M$4)/($M$5-$M$4),"")</f>
        <v>0</v>
      </c>
      <c r="F92" s="22">
        <f>IF(AND(ISNUMBER(E92),ISNUMBER(E93),ISNUMBER($M$6)),IF(AND(92&lt;$M$6,E92&lt;0.5,E93&gt;=0.5),92,""),"")</f>
        <v>0</v>
      </c>
      <c r="G92" s="22">
        <f>IF(AND(ISNUMBER(E92),ISNUMBER(E93),ISNUMBER($M$6)),IF(AND(92&gt;=$M$6,E92&gt;=0.5,E93&lt;0.5),92,""),"")</f>
        <v>0</v>
      </c>
      <c r="H92" s="22">
        <f>IF(OR(ISNUMBER(F92),ISNUMBER(G92)),C92+(0.5-E92)*(C93-C92)/(E93-E92),"")</f>
        <v>0</v>
      </c>
      <c r="I92" s="22">
        <f>IF(AND(ISNUMBER(E92),ISNUMBER($M$15)),C92-$M$15,NA())</f>
        <v>0</v>
      </c>
      <c r="J92" s="28">
        <f>IF(ISNUMBER(E92),E92,NA())</f>
        <v>0</v>
      </c>
      <c r="K92" s="22">
        <f>IF(AND(ISNUMBER(C92),ISNUMBER(C93)),SIGN(C93-C92),"")</f>
        <v>0</v>
      </c>
    </row>
    <row r="93" spans="3:11">
      <c r="C93" s="22">
        <f>IF(ISNUMBER(A93),A93*conv,"")</f>
        <v>0</v>
      </c>
      <c r="D93" s="28">
        <f>IF(ISNUMBER(B93),AVERAGE(INDEX($B$2:$B$301,MAX(1,92-semi)):INDEX($B$2:$B$301,MIN($M$2,92+semi))),"")</f>
        <v>0</v>
      </c>
      <c r="E93" s="28">
        <f>IF(AND(ISNUMBER(D93),ISNUMBER($M$4)),(D93-$M$4)/($M$5-$M$4),"")</f>
        <v>0</v>
      </c>
      <c r="F93" s="22">
        <f>IF(AND(ISNUMBER(E93),ISNUMBER(E94),ISNUMBER($M$6)),IF(AND(93&lt;$M$6,E93&lt;0.5,E94&gt;=0.5),93,""),"")</f>
        <v>0</v>
      </c>
      <c r="G93" s="22">
        <f>IF(AND(ISNUMBER(E93),ISNUMBER(E94),ISNUMBER($M$6)),IF(AND(93&gt;=$M$6,E93&gt;=0.5,E94&lt;0.5),93,""),"")</f>
        <v>0</v>
      </c>
      <c r="H93" s="22">
        <f>IF(OR(ISNUMBER(F93),ISNUMBER(G93)),C93+(0.5-E93)*(C94-C93)/(E94-E93),"")</f>
        <v>0</v>
      </c>
      <c r="I93" s="22">
        <f>IF(AND(ISNUMBER(E93),ISNUMBER($M$15)),C93-$M$15,NA())</f>
        <v>0</v>
      </c>
      <c r="J93" s="28">
        <f>IF(ISNUMBER(E93),E93,NA())</f>
        <v>0</v>
      </c>
      <c r="K93" s="22">
        <f>IF(AND(ISNUMBER(C93),ISNUMBER(C94)),SIGN(C94-C93),"")</f>
        <v>0</v>
      </c>
    </row>
    <row r="94" spans="3:11">
      <c r="C94" s="22">
        <f>IF(ISNUMBER(A94),A94*conv,"")</f>
        <v>0</v>
      </c>
      <c r="D94" s="28">
        <f>IF(ISNUMBER(B94),AVERAGE(INDEX($B$2:$B$301,MAX(1,93-semi)):INDEX($B$2:$B$301,MIN($M$2,93+semi))),"")</f>
        <v>0</v>
      </c>
      <c r="E94" s="28">
        <f>IF(AND(ISNUMBER(D94),ISNUMBER($M$4)),(D94-$M$4)/($M$5-$M$4),"")</f>
        <v>0</v>
      </c>
      <c r="F94" s="22">
        <f>IF(AND(ISNUMBER(E94),ISNUMBER(E95),ISNUMBER($M$6)),IF(AND(94&lt;$M$6,E94&lt;0.5,E95&gt;=0.5),94,""),"")</f>
        <v>0</v>
      </c>
      <c r="G94" s="22">
        <f>IF(AND(ISNUMBER(E94),ISNUMBER(E95),ISNUMBER($M$6)),IF(AND(94&gt;=$M$6,E94&gt;=0.5,E95&lt;0.5),94,""),"")</f>
        <v>0</v>
      </c>
      <c r="H94" s="22">
        <f>IF(OR(ISNUMBER(F94),ISNUMBER(G94)),C94+(0.5-E94)*(C95-C94)/(E95-E94),"")</f>
        <v>0</v>
      </c>
      <c r="I94" s="22">
        <f>IF(AND(ISNUMBER(E94),ISNUMBER($M$15)),C94-$M$15,NA())</f>
        <v>0</v>
      </c>
      <c r="J94" s="28">
        <f>IF(ISNUMBER(E94),E94,NA())</f>
        <v>0</v>
      </c>
      <c r="K94" s="22">
        <f>IF(AND(ISNUMBER(C94),ISNUMBER(C95)),SIGN(C95-C94),"")</f>
        <v>0</v>
      </c>
    </row>
    <row r="95" spans="3:11">
      <c r="C95" s="22">
        <f>IF(ISNUMBER(A95),A95*conv,"")</f>
        <v>0</v>
      </c>
      <c r="D95" s="28">
        <f>IF(ISNUMBER(B95),AVERAGE(INDEX($B$2:$B$301,MAX(1,94-semi)):INDEX($B$2:$B$301,MIN($M$2,94+semi))),"")</f>
        <v>0</v>
      </c>
      <c r="E95" s="28">
        <f>IF(AND(ISNUMBER(D95),ISNUMBER($M$4)),(D95-$M$4)/($M$5-$M$4),"")</f>
        <v>0</v>
      </c>
      <c r="F95" s="22">
        <f>IF(AND(ISNUMBER(E95),ISNUMBER(E96),ISNUMBER($M$6)),IF(AND(95&lt;$M$6,E95&lt;0.5,E96&gt;=0.5),95,""),"")</f>
        <v>0</v>
      </c>
      <c r="G95" s="22">
        <f>IF(AND(ISNUMBER(E95),ISNUMBER(E96),ISNUMBER($M$6)),IF(AND(95&gt;=$M$6,E95&gt;=0.5,E96&lt;0.5),95,""),"")</f>
        <v>0</v>
      </c>
      <c r="H95" s="22">
        <f>IF(OR(ISNUMBER(F95),ISNUMBER(G95)),C95+(0.5-E95)*(C96-C95)/(E96-E95),"")</f>
        <v>0</v>
      </c>
      <c r="I95" s="22">
        <f>IF(AND(ISNUMBER(E95),ISNUMBER($M$15)),C95-$M$15,NA())</f>
        <v>0</v>
      </c>
      <c r="J95" s="28">
        <f>IF(ISNUMBER(E95),E95,NA())</f>
        <v>0</v>
      </c>
      <c r="K95" s="22">
        <f>IF(AND(ISNUMBER(C95),ISNUMBER(C96)),SIGN(C96-C95),"")</f>
        <v>0</v>
      </c>
    </row>
    <row r="96" spans="3:11">
      <c r="C96" s="22">
        <f>IF(ISNUMBER(A96),A96*conv,"")</f>
        <v>0</v>
      </c>
      <c r="D96" s="28">
        <f>IF(ISNUMBER(B96),AVERAGE(INDEX($B$2:$B$301,MAX(1,95-semi)):INDEX($B$2:$B$301,MIN($M$2,95+semi))),"")</f>
        <v>0</v>
      </c>
      <c r="E96" s="28">
        <f>IF(AND(ISNUMBER(D96),ISNUMBER($M$4)),(D96-$M$4)/($M$5-$M$4),"")</f>
        <v>0</v>
      </c>
      <c r="F96" s="22">
        <f>IF(AND(ISNUMBER(E96),ISNUMBER(E97),ISNUMBER($M$6)),IF(AND(96&lt;$M$6,E96&lt;0.5,E97&gt;=0.5),96,""),"")</f>
        <v>0</v>
      </c>
      <c r="G96" s="22">
        <f>IF(AND(ISNUMBER(E96),ISNUMBER(E97),ISNUMBER($M$6)),IF(AND(96&gt;=$M$6,E96&gt;=0.5,E97&lt;0.5),96,""),"")</f>
        <v>0</v>
      </c>
      <c r="H96" s="22">
        <f>IF(OR(ISNUMBER(F96),ISNUMBER(G96)),C96+(0.5-E96)*(C97-C96)/(E97-E96),"")</f>
        <v>0</v>
      </c>
      <c r="I96" s="22">
        <f>IF(AND(ISNUMBER(E96),ISNUMBER($M$15)),C96-$M$15,NA())</f>
        <v>0</v>
      </c>
      <c r="J96" s="28">
        <f>IF(ISNUMBER(E96),E96,NA())</f>
        <v>0</v>
      </c>
      <c r="K96" s="22">
        <f>IF(AND(ISNUMBER(C96),ISNUMBER(C97)),SIGN(C97-C96),"")</f>
        <v>0</v>
      </c>
    </row>
    <row r="97" spans="3:11">
      <c r="C97" s="22">
        <f>IF(ISNUMBER(A97),A97*conv,"")</f>
        <v>0</v>
      </c>
      <c r="D97" s="28">
        <f>IF(ISNUMBER(B97),AVERAGE(INDEX($B$2:$B$301,MAX(1,96-semi)):INDEX($B$2:$B$301,MIN($M$2,96+semi))),"")</f>
        <v>0</v>
      </c>
      <c r="E97" s="28">
        <f>IF(AND(ISNUMBER(D97),ISNUMBER($M$4)),(D97-$M$4)/($M$5-$M$4),"")</f>
        <v>0</v>
      </c>
      <c r="F97" s="22">
        <f>IF(AND(ISNUMBER(E97),ISNUMBER(E98),ISNUMBER($M$6)),IF(AND(97&lt;$M$6,E97&lt;0.5,E98&gt;=0.5),97,""),"")</f>
        <v>0</v>
      </c>
      <c r="G97" s="22">
        <f>IF(AND(ISNUMBER(E97),ISNUMBER(E98),ISNUMBER($M$6)),IF(AND(97&gt;=$M$6,E97&gt;=0.5,E98&lt;0.5),97,""),"")</f>
        <v>0</v>
      </c>
      <c r="H97" s="22">
        <f>IF(OR(ISNUMBER(F97),ISNUMBER(G97)),C97+(0.5-E97)*(C98-C97)/(E98-E97),"")</f>
        <v>0</v>
      </c>
      <c r="I97" s="22">
        <f>IF(AND(ISNUMBER(E97),ISNUMBER($M$15)),C97-$M$15,NA())</f>
        <v>0</v>
      </c>
      <c r="J97" s="28">
        <f>IF(ISNUMBER(E97),E97,NA())</f>
        <v>0</v>
      </c>
      <c r="K97" s="22">
        <f>IF(AND(ISNUMBER(C97),ISNUMBER(C98)),SIGN(C98-C97),"")</f>
        <v>0</v>
      </c>
    </row>
    <row r="98" spans="3:11">
      <c r="C98" s="22">
        <f>IF(ISNUMBER(A98),A98*conv,"")</f>
        <v>0</v>
      </c>
      <c r="D98" s="28">
        <f>IF(ISNUMBER(B98),AVERAGE(INDEX($B$2:$B$301,MAX(1,97-semi)):INDEX($B$2:$B$301,MIN($M$2,97+semi))),"")</f>
        <v>0</v>
      </c>
      <c r="E98" s="28">
        <f>IF(AND(ISNUMBER(D98),ISNUMBER($M$4)),(D98-$M$4)/($M$5-$M$4),"")</f>
        <v>0</v>
      </c>
      <c r="F98" s="22">
        <f>IF(AND(ISNUMBER(E98),ISNUMBER(E99),ISNUMBER($M$6)),IF(AND(98&lt;$M$6,E98&lt;0.5,E99&gt;=0.5),98,""),"")</f>
        <v>0</v>
      </c>
      <c r="G98" s="22">
        <f>IF(AND(ISNUMBER(E98),ISNUMBER(E99),ISNUMBER($M$6)),IF(AND(98&gt;=$M$6,E98&gt;=0.5,E99&lt;0.5),98,""),"")</f>
        <v>0</v>
      </c>
      <c r="H98" s="22">
        <f>IF(OR(ISNUMBER(F98),ISNUMBER(G98)),C98+(0.5-E98)*(C99-C98)/(E99-E98),"")</f>
        <v>0</v>
      </c>
      <c r="I98" s="22">
        <f>IF(AND(ISNUMBER(E98),ISNUMBER($M$15)),C98-$M$15,NA())</f>
        <v>0</v>
      </c>
      <c r="J98" s="28">
        <f>IF(ISNUMBER(E98),E98,NA())</f>
        <v>0</v>
      </c>
      <c r="K98" s="22">
        <f>IF(AND(ISNUMBER(C98),ISNUMBER(C99)),SIGN(C99-C98),"")</f>
        <v>0</v>
      </c>
    </row>
    <row r="99" spans="3:11">
      <c r="C99" s="22">
        <f>IF(ISNUMBER(A99),A99*conv,"")</f>
        <v>0</v>
      </c>
      <c r="D99" s="28">
        <f>IF(ISNUMBER(B99),AVERAGE(INDEX($B$2:$B$301,MAX(1,98-semi)):INDEX($B$2:$B$301,MIN($M$2,98+semi))),"")</f>
        <v>0</v>
      </c>
      <c r="E99" s="28">
        <f>IF(AND(ISNUMBER(D99),ISNUMBER($M$4)),(D99-$M$4)/($M$5-$M$4),"")</f>
        <v>0</v>
      </c>
      <c r="F99" s="22">
        <f>IF(AND(ISNUMBER(E99),ISNUMBER(E100),ISNUMBER($M$6)),IF(AND(99&lt;$M$6,E99&lt;0.5,E100&gt;=0.5),99,""),"")</f>
        <v>0</v>
      </c>
      <c r="G99" s="22">
        <f>IF(AND(ISNUMBER(E99),ISNUMBER(E100),ISNUMBER($M$6)),IF(AND(99&gt;=$M$6,E99&gt;=0.5,E100&lt;0.5),99,""),"")</f>
        <v>0</v>
      </c>
      <c r="H99" s="22">
        <f>IF(OR(ISNUMBER(F99),ISNUMBER(G99)),C99+(0.5-E99)*(C100-C99)/(E100-E99),"")</f>
        <v>0</v>
      </c>
      <c r="I99" s="22">
        <f>IF(AND(ISNUMBER(E99),ISNUMBER($M$15)),C99-$M$15,NA())</f>
        <v>0</v>
      </c>
      <c r="J99" s="28">
        <f>IF(ISNUMBER(E99),E99,NA())</f>
        <v>0</v>
      </c>
      <c r="K99" s="22">
        <f>IF(AND(ISNUMBER(C99),ISNUMBER(C100)),SIGN(C100-C99),"")</f>
        <v>0</v>
      </c>
    </row>
    <row r="100" spans="3:11">
      <c r="C100" s="22">
        <f>IF(ISNUMBER(A100),A100*conv,"")</f>
        <v>0</v>
      </c>
      <c r="D100" s="28">
        <f>IF(ISNUMBER(B100),AVERAGE(INDEX($B$2:$B$301,MAX(1,99-semi)):INDEX($B$2:$B$301,MIN($M$2,99+semi))),"")</f>
        <v>0</v>
      </c>
      <c r="E100" s="28">
        <f>IF(AND(ISNUMBER(D100),ISNUMBER($M$4)),(D100-$M$4)/($M$5-$M$4),"")</f>
        <v>0</v>
      </c>
      <c r="F100" s="22">
        <f>IF(AND(ISNUMBER(E100),ISNUMBER(E101),ISNUMBER($M$6)),IF(AND(100&lt;$M$6,E100&lt;0.5,E101&gt;=0.5),100,""),"")</f>
        <v>0</v>
      </c>
      <c r="G100" s="22">
        <f>IF(AND(ISNUMBER(E100),ISNUMBER(E101),ISNUMBER($M$6)),IF(AND(100&gt;=$M$6,E100&gt;=0.5,E101&lt;0.5),100,""),"")</f>
        <v>0</v>
      </c>
      <c r="H100" s="22">
        <f>IF(OR(ISNUMBER(F100),ISNUMBER(G100)),C100+(0.5-E100)*(C101-C100)/(E101-E100),"")</f>
        <v>0</v>
      </c>
      <c r="I100" s="22">
        <f>IF(AND(ISNUMBER(E100),ISNUMBER($M$15)),C100-$M$15,NA())</f>
        <v>0</v>
      </c>
      <c r="J100" s="28">
        <f>IF(ISNUMBER(E100),E100,NA())</f>
        <v>0</v>
      </c>
      <c r="K100" s="22">
        <f>IF(AND(ISNUMBER(C100),ISNUMBER(C101)),SIGN(C101-C100),"")</f>
        <v>0</v>
      </c>
    </row>
    <row r="101" spans="3:11">
      <c r="C101" s="22">
        <f>IF(ISNUMBER(A101),A101*conv,"")</f>
        <v>0</v>
      </c>
      <c r="D101" s="28">
        <f>IF(ISNUMBER(B101),AVERAGE(INDEX($B$2:$B$301,MAX(1,100-semi)):INDEX($B$2:$B$301,MIN($M$2,100+semi))),"")</f>
        <v>0</v>
      </c>
      <c r="E101" s="28">
        <f>IF(AND(ISNUMBER(D101),ISNUMBER($M$4)),(D101-$M$4)/($M$5-$M$4),"")</f>
        <v>0</v>
      </c>
      <c r="F101" s="22">
        <f>IF(AND(ISNUMBER(E101),ISNUMBER(E102),ISNUMBER($M$6)),IF(AND(101&lt;$M$6,E101&lt;0.5,E102&gt;=0.5),101,""),"")</f>
        <v>0</v>
      </c>
      <c r="G101" s="22">
        <f>IF(AND(ISNUMBER(E101),ISNUMBER(E102),ISNUMBER($M$6)),IF(AND(101&gt;=$M$6,E101&gt;=0.5,E102&lt;0.5),101,""),"")</f>
        <v>0</v>
      </c>
      <c r="H101" s="22">
        <f>IF(OR(ISNUMBER(F101),ISNUMBER(G101)),C101+(0.5-E101)*(C102-C101)/(E102-E101),"")</f>
        <v>0</v>
      </c>
      <c r="I101" s="22">
        <f>IF(AND(ISNUMBER(E101),ISNUMBER($M$15)),C101-$M$15,NA())</f>
        <v>0</v>
      </c>
      <c r="J101" s="28">
        <f>IF(ISNUMBER(E101),E101,NA())</f>
        <v>0</v>
      </c>
      <c r="K101" s="22">
        <f>IF(AND(ISNUMBER(C101),ISNUMBER(C102)),SIGN(C102-C101),"")</f>
        <v>0</v>
      </c>
    </row>
    <row r="102" spans="3:11">
      <c r="C102" s="22">
        <f>IF(ISNUMBER(A102),A102*conv,"")</f>
        <v>0</v>
      </c>
      <c r="D102" s="28">
        <f>IF(ISNUMBER(B102),AVERAGE(INDEX($B$2:$B$301,MAX(1,101-semi)):INDEX($B$2:$B$301,MIN($M$2,101+semi))),"")</f>
        <v>0</v>
      </c>
      <c r="E102" s="28">
        <f>IF(AND(ISNUMBER(D102),ISNUMBER($M$4)),(D102-$M$4)/($M$5-$M$4),"")</f>
        <v>0</v>
      </c>
      <c r="F102" s="22">
        <f>IF(AND(ISNUMBER(E102),ISNUMBER(E103),ISNUMBER($M$6)),IF(AND(102&lt;$M$6,E102&lt;0.5,E103&gt;=0.5),102,""),"")</f>
        <v>0</v>
      </c>
      <c r="G102" s="22">
        <f>IF(AND(ISNUMBER(E102),ISNUMBER(E103),ISNUMBER($M$6)),IF(AND(102&gt;=$M$6,E102&gt;=0.5,E103&lt;0.5),102,""),"")</f>
        <v>0</v>
      </c>
      <c r="H102" s="22">
        <f>IF(OR(ISNUMBER(F102),ISNUMBER(G102)),C102+(0.5-E102)*(C103-C102)/(E103-E102),"")</f>
        <v>0</v>
      </c>
      <c r="I102" s="22">
        <f>IF(AND(ISNUMBER(E102),ISNUMBER($M$15)),C102-$M$15,NA())</f>
        <v>0</v>
      </c>
      <c r="J102" s="28">
        <f>IF(ISNUMBER(E102),E102,NA())</f>
        <v>0</v>
      </c>
      <c r="K102" s="22">
        <f>IF(AND(ISNUMBER(C102),ISNUMBER(C103)),SIGN(C103-C102),"")</f>
        <v>0</v>
      </c>
    </row>
    <row r="103" spans="3:11">
      <c r="C103" s="22">
        <f>IF(ISNUMBER(A103),A103*conv,"")</f>
        <v>0</v>
      </c>
      <c r="D103" s="28">
        <f>IF(ISNUMBER(B103),AVERAGE(INDEX($B$2:$B$301,MAX(1,102-semi)):INDEX($B$2:$B$301,MIN($M$2,102+semi))),"")</f>
        <v>0</v>
      </c>
      <c r="E103" s="28">
        <f>IF(AND(ISNUMBER(D103),ISNUMBER($M$4)),(D103-$M$4)/($M$5-$M$4),"")</f>
        <v>0</v>
      </c>
      <c r="F103" s="22">
        <f>IF(AND(ISNUMBER(E103),ISNUMBER(E104),ISNUMBER($M$6)),IF(AND(103&lt;$M$6,E103&lt;0.5,E104&gt;=0.5),103,""),"")</f>
        <v>0</v>
      </c>
      <c r="G103" s="22">
        <f>IF(AND(ISNUMBER(E103),ISNUMBER(E104),ISNUMBER($M$6)),IF(AND(103&gt;=$M$6,E103&gt;=0.5,E104&lt;0.5),103,""),"")</f>
        <v>0</v>
      </c>
      <c r="H103" s="22">
        <f>IF(OR(ISNUMBER(F103),ISNUMBER(G103)),C103+(0.5-E103)*(C104-C103)/(E104-E103),"")</f>
        <v>0</v>
      </c>
      <c r="I103" s="22">
        <f>IF(AND(ISNUMBER(E103),ISNUMBER($M$15)),C103-$M$15,NA())</f>
        <v>0</v>
      </c>
      <c r="J103" s="28">
        <f>IF(ISNUMBER(E103),E103,NA())</f>
        <v>0</v>
      </c>
      <c r="K103" s="22">
        <f>IF(AND(ISNUMBER(C103),ISNUMBER(C104)),SIGN(C104-C103),"")</f>
        <v>0</v>
      </c>
    </row>
    <row r="104" spans="3:11">
      <c r="C104" s="22">
        <f>IF(ISNUMBER(A104),A104*conv,"")</f>
        <v>0</v>
      </c>
      <c r="D104" s="28">
        <f>IF(ISNUMBER(B104),AVERAGE(INDEX($B$2:$B$301,MAX(1,103-semi)):INDEX($B$2:$B$301,MIN($M$2,103+semi))),"")</f>
        <v>0</v>
      </c>
      <c r="E104" s="28">
        <f>IF(AND(ISNUMBER(D104),ISNUMBER($M$4)),(D104-$M$4)/($M$5-$M$4),"")</f>
        <v>0</v>
      </c>
      <c r="F104" s="22">
        <f>IF(AND(ISNUMBER(E104),ISNUMBER(E105),ISNUMBER($M$6)),IF(AND(104&lt;$M$6,E104&lt;0.5,E105&gt;=0.5),104,""),"")</f>
        <v>0</v>
      </c>
      <c r="G104" s="22">
        <f>IF(AND(ISNUMBER(E104),ISNUMBER(E105),ISNUMBER($M$6)),IF(AND(104&gt;=$M$6,E104&gt;=0.5,E105&lt;0.5),104,""),"")</f>
        <v>0</v>
      </c>
      <c r="H104" s="22">
        <f>IF(OR(ISNUMBER(F104),ISNUMBER(G104)),C104+(0.5-E104)*(C105-C104)/(E105-E104),"")</f>
        <v>0</v>
      </c>
      <c r="I104" s="22">
        <f>IF(AND(ISNUMBER(E104),ISNUMBER($M$15)),C104-$M$15,NA())</f>
        <v>0</v>
      </c>
      <c r="J104" s="28">
        <f>IF(ISNUMBER(E104),E104,NA())</f>
        <v>0</v>
      </c>
      <c r="K104" s="22">
        <f>IF(AND(ISNUMBER(C104),ISNUMBER(C105)),SIGN(C105-C104),"")</f>
        <v>0</v>
      </c>
    </row>
    <row r="105" spans="3:11">
      <c r="C105" s="22">
        <f>IF(ISNUMBER(A105),A105*conv,"")</f>
        <v>0</v>
      </c>
      <c r="D105" s="28">
        <f>IF(ISNUMBER(B105),AVERAGE(INDEX($B$2:$B$301,MAX(1,104-semi)):INDEX($B$2:$B$301,MIN($M$2,104+semi))),"")</f>
        <v>0</v>
      </c>
      <c r="E105" s="28">
        <f>IF(AND(ISNUMBER(D105),ISNUMBER($M$4)),(D105-$M$4)/($M$5-$M$4),"")</f>
        <v>0</v>
      </c>
      <c r="F105" s="22">
        <f>IF(AND(ISNUMBER(E105),ISNUMBER(E106),ISNUMBER($M$6)),IF(AND(105&lt;$M$6,E105&lt;0.5,E106&gt;=0.5),105,""),"")</f>
        <v>0</v>
      </c>
      <c r="G105" s="22">
        <f>IF(AND(ISNUMBER(E105),ISNUMBER(E106),ISNUMBER($M$6)),IF(AND(105&gt;=$M$6,E105&gt;=0.5,E106&lt;0.5),105,""),"")</f>
        <v>0</v>
      </c>
      <c r="H105" s="22">
        <f>IF(OR(ISNUMBER(F105),ISNUMBER(G105)),C105+(0.5-E105)*(C106-C105)/(E106-E105),"")</f>
        <v>0</v>
      </c>
      <c r="I105" s="22">
        <f>IF(AND(ISNUMBER(E105),ISNUMBER($M$15)),C105-$M$15,NA())</f>
        <v>0</v>
      </c>
      <c r="J105" s="28">
        <f>IF(ISNUMBER(E105),E105,NA())</f>
        <v>0</v>
      </c>
      <c r="K105" s="22">
        <f>IF(AND(ISNUMBER(C105),ISNUMBER(C106)),SIGN(C106-C105),"")</f>
        <v>0</v>
      </c>
    </row>
    <row r="106" spans="3:11">
      <c r="C106" s="22">
        <f>IF(ISNUMBER(A106),A106*conv,"")</f>
        <v>0</v>
      </c>
      <c r="D106" s="28">
        <f>IF(ISNUMBER(B106),AVERAGE(INDEX($B$2:$B$301,MAX(1,105-semi)):INDEX($B$2:$B$301,MIN($M$2,105+semi))),"")</f>
        <v>0</v>
      </c>
      <c r="E106" s="28">
        <f>IF(AND(ISNUMBER(D106),ISNUMBER($M$4)),(D106-$M$4)/($M$5-$M$4),"")</f>
        <v>0</v>
      </c>
      <c r="F106" s="22">
        <f>IF(AND(ISNUMBER(E106),ISNUMBER(E107),ISNUMBER($M$6)),IF(AND(106&lt;$M$6,E106&lt;0.5,E107&gt;=0.5),106,""),"")</f>
        <v>0</v>
      </c>
      <c r="G106" s="22">
        <f>IF(AND(ISNUMBER(E106),ISNUMBER(E107),ISNUMBER($M$6)),IF(AND(106&gt;=$M$6,E106&gt;=0.5,E107&lt;0.5),106,""),"")</f>
        <v>0</v>
      </c>
      <c r="H106" s="22">
        <f>IF(OR(ISNUMBER(F106),ISNUMBER(G106)),C106+(0.5-E106)*(C107-C106)/(E107-E106),"")</f>
        <v>0</v>
      </c>
      <c r="I106" s="22">
        <f>IF(AND(ISNUMBER(E106),ISNUMBER($M$15)),C106-$M$15,NA())</f>
        <v>0</v>
      </c>
      <c r="J106" s="28">
        <f>IF(ISNUMBER(E106),E106,NA())</f>
        <v>0</v>
      </c>
      <c r="K106" s="22">
        <f>IF(AND(ISNUMBER(C106),ISNUMBER(C107)),SIGN(C107-C106),"")</f>
        <v>0</v>
      </c>
    </row>
    <row r="107" spans="3:11">
      <c r="C107" s="22">
        <f>IF(ISNUMBER(A107),A107*conv,"")</f>
        <v>0</v>
      </c>
      <c r="D107" s="28">
        <f>IF(ISNUMBER(B107),AVERAGE(INDEX($B$2:$B$301,MAX(1,106-semi)):INDEX($B$2:$B$301,MIN($M$2,106+semi))),"")</f>
        <v>0</v>
      </c>
      <c r="E107" s="28">
        <f>IF(AND(ISNUMBER(D107),ISNUMBER($M$4)),(D107-$M$4)/($M$5-$M$4),"")</f>
        <v>0</v>
      </c>
      <c r="F107" s="22">
        <f>IF(AND(ISNUMBER(E107),ISNUMBER(E108),ISNUMBER($M$6)),IF(AND(107&lt;$M$6,E107&lt;0.5,E108&gt;=0.5),107,""),"")</f>
        <v>0</v>
      </c>
      <c r="G107" s="22">
        <f>IF(AND(ISNUMBER(E107),ISNUMBER(E108),ISNUMBER($M$6)),IF(AND(107&gt;=$M$6,E107&gt;=0.5,E108&lt;0.5),107,""),"")</f>
        <v>0</v>
      </c>
      <c r="H107" s="22">
        <f>IF(OR(ISNUMBER(F107),ISNUMBER(G107)),C107+(0.5-E107)*(C108-C107)/(E108-E107),"")</f>
        <v>0</v>
      </c>
      <c r="I107" s="22">
        <f>IF(AND(ISNUMBER(E107),ISNUMBER($M$15)),C107-$M$15,NA())</f>
        <v>0</v>
      </c>
      <c r="J107" s="28">
        <f>IF(ISNUMBER(E107),E107,NA())</f>
        <v>0</v>
      </c>
      <c r="K107" s="22">
        <f>IF(AND(ISNUMBER(C107),ISNUMBER(C108)),SIGN(C108-C107),"")</f>
        <v>0</v>
      </c>
    </row>
    <row r="108" spans="3:11">
      <c r="C108" s="22">
        <f>IF(ISNUMBER(A108),A108*conv,"")</f>
        <v>0</v>
      </c>
      <c r="D108" s="28">
        <f>IF(ISNUMBER(B108),AVERAGE(INDEX($B$2:$B$301,MAX(1,107-semi)):INDEX($B$2:$B$301,MIN($M$2,107+semi))),"")</f>
        <v>0</v>
      </c>
      <c r="E108" s="28">
        <f>IF(AND(ISNUMBER(D108),ISNUMBER($M$4)),(D108-$M$4)/($M$5-$M$4),"")</f>
        <v>0</v>
      </c>
      <c r="F108" s="22">
        <f>IF(AND(ISNUMBER(E108),ISNUMBER(E109),ISNUMBER($M$6)),IF(AND(108&lt;$M$6,E108&lt;0.5,E109&gt;=0.5),108,""),"")</f>
        <v>0</v>
      </c>
      <c r="G108" s="22">
        <f>IF(AND(ISNUMBER(E108),ISNUMBER(E109),ISNUMBER($M$6)),IF(AND(108&gt;=$M$6,E108&gt;=0.5,E109&lt;0.5),108,""),"")</f>
        <v>0</v>
      </c>
      <c r="H108" s="22">
        <f>IF(OR(ISNUMBER(F108),ISNUMBER(G108)),C108+(0.5-E108)*(C109-C108)/(E109-E108),"")</f>
        <v>0</v>
      </c>
      <c r="I108" s="22">
        <f>IF(AND(ISNUMBER(E108),ISNUMBER($M$15)),C108-$M$15,NA())</f>
        <v>0</v>
      </c>
      <c r="J108" s="28">
        <f>IF(ISNUMBER(E108),E108,NA())</f>
        <v>0</v>
      </c>
      <c r="K108" s="22">
        <f>IF(AND(ISNUMBER(C108),ISNUMBER(C109)),SIGN(C109-C108),"")</f>
        <v>0</v>
      </c>
    </row>
    <row r="109" spans="3:11">
      <c r="C109" s="22">
        <f>IF(ISNUMBER(A109),A109*conv,"")</f>
        <v>0</v>
      </c>
      <c r="D109" s="28">
        <f>IF(ISNUMBER(B109),AVERAGE(INDEX($B$2:$B$301,MAX(1,108-semi)):INDEX($B$2:$B$301,MIN($M$2,108+semi))),"")</f>
        <v>0</v>
      </c>
      <c r="E109" s="28">
        <f>IF(AND(ISNUMBER(D109),ISNUMBER($M$4)),(D109-$M$4)/($M$5-$M$4),"")</f>
        <v>0</v>
      </c>
      <c r="F109" s="22">
        <f>IF(AND(ISNUMBER(E109),ISNUMBER(E110),ISNUMBER($M$6)),IF(AND(109&lt;$M$6,E109&lt;0.5,E110&gt;=0.5),109,""),"")</f>
        <v>0</v>
      </c>
      <c r="G109" s="22">
        <f>IF(AND(ISNUMBER(E109),ISNUMBER(E110),ISNUMBER($M$6)),IF(AND(109&gt;=$M$6,E109&gt;=0.5,E110&lt;0.5),109,""),"")</f>
        <v>0</v>
      </c>
      <c r="H109" s="22">
        <f>IF(OR(ISNUMBER(F109),ISNUMBER(G109)),C109+(0.5-E109)*(C110-C109)/(E110-E109),"")</f>
        <v>0</v>
      </c>
      <c r="I109" s="22">
        <f>IF(AND(ISNUMBER(E109),ISNUMBER($M$15)),C109-$M$15,NA())</f>
        <v>0</v>
      </c>
      <c r="J109" s="28">
        <f>IF(ISNUMBER(E109),E109,NA())</f>
        <v>0</v>
      </c>
      <c r="K109" s="22">
        <f>IF(AND(ISNUMBER(C109),ISNUMBER(C110)),SIGN(C110-C109),"")</f>
        <v>0</v>
      </c>
    </row>
    <row r="110" spans="3:11">
      <c r="C110" s="22">
        <f>IF(ISNUMBER(A110),A110*conv,"")</f>
        <v>0</v>
      </c>
      <c r="D110" s="28">
        <f>IF(ISNUMBER(B110),AVERAGE(INDEX($B$2:$B$301,MAX(1,109-semi)):INDEX($B$2:$B$301,MIN($M$2,109+semi))),"")</f>
        <v>0</v>
      </c>
      <c r="E110" s="28">
        <f>IF(AND(ISNUMBER(D110),ISNUMBER($M$4)),(D110-$M$4)/($M$5-$M$4),"")</f>
        <v>0</v>
      </c>
      <c r="F110" s="22">
        <f>IF(AND(ISNUMBER(E110),ISNUMBER(E111),ISNUMBER($M$6)),IF(AND(110&lt;$M$6,E110&lt;0.5,E111&gt;=0.5),110,""),"")</f>
        <v>0</v>
      </c>
      <c r="G110" s="22">
        <f>IF(AND(ISNUMBER(E110),ISNUMBER(E111),ISNUMBER($M$6)),IF(AND(110&gt;=$M$6,E110&gt;=0.5,E111&lt;0.5),110,""),"")</f>
        <v>0</v>
      </c>
      <c r="H110" s="22">
        <f>IF(OR(ISNUMBER(F110),ISNUMBER(G110)),C110+(0.5-E110)*(C111-C110)/(E111-E110),"")</f>
        <v>0</v>
      </c>
      <c r="I110" s="22">
        <f>IF(AND(ISNUMBER(E110),ISNUMBER($M$15)),C110-$M$15,NA())</f>
        <v>0</v>
      </c>
      <c r="J110" s="28">
        <f>IF(ISNUMBER(E110),E110,NA())</f>
        <v>0</v>
      </c>
      <c r="K110" s="22">
        <f>IF(AND(ISNUMBER(C110),ISNUMBER(C111)),SIGN(C111-C110),"")</f>
        <v>0</v>
      </c>
    </row>
    <row r="111" spans="3:11">
      <c r="C111" s="22">
        <f>IF(ISNUMBER(A111),A111*conv,"")</f>
        <v>0</v>
      </c>
      <c r="D111" s="28">
        <f>IF(ISNUMBER(B111),AVERAGE(INDEX($B$2:$B$301,MAX(1,110-semi)):INDEX($B$2:$B$301,MIN($M$2,110+semi))),"")</f>
        <v>0</v>
      </c>
      <c r="E111" s="28">
        <f>IF(AND(ISNUMBER(D111),ISNUMBER($M$4)),(D111-$M$4)/($M$5-$M$4),"")</f>
        <v>0</v>
      </c>
      <c r="F111" s="22">
        <f>IF(AND(ISNUMBER(E111),ISNUMBER(E112),ISNUMBER($M$6)),IF(AND(111&lt;$M$6,E111&lt;0.5,E112&gt;=0.5),111,""),"")</f>
        <v>0</v>
      </c>
      <c r="G111" s="22">
        <f>IF(AND(ISNUMBER(E111),ISNUMBER(E112),ISNUMBER($M$6)),IF(AND(111&gt;=$M$6,E111&gt;=0.5,E112&lt;0.5),111,""),"")</f>
        <v>0</v>
      </c>
      <c r="H111" s="22">
        <f>IF(OR(ISNUMBER(F111),ISNUMBER(G111)),C111+(0.5-E111)*(C112-C111)/(E112-E111),"")</f>
        <v>0</v>
      </c>
      <c r="I111" s="22">
        <f>IF(AND(ISNUMBER(E111),ISNUMBER($M$15)),C111-$M$15,NA())</f>
        <v>0</v>
      </c>
      <c r="J111" s="28">
        <f>IF(ISNUMBER(E111),E111,NA())</f>
        <v>0</v>
      </c>
      <c r="K111" s="22">
        <f>IF(AND(ISNUMBER(C111),ISNUMBER(C112)),SIGN(C112-C111),"")</f>
        <v>0</v>
      </c>
    </row>
    <row r="112" spans="3:11">
      <c r="C112" s="22">
        <f>IF(ISNUMBER(A112),A112*conv,"")</f>
        <v>0</v>
      </c>
      <c r="D112" s="28">
        <f>IF(ISNUMBER(B112),AVERAGE(INDEX($B$2:$B$301,MAX(1,111-semi)):INDEX($B$2:$B$301,MIN($M$2,111+semi))),"")</f>
        <v>0</v>
      </c>
      <c r="E112" s="28">
        <f>IF(AND(ISNUMBER(D112),ISNUMBER($M$4)),(D112-$M$4)/($M$5-$M$4),"")</f>
        <v>0</v>
      </c>
      <c r="F112" s="22">
        <f>IF(AND(ISNUMBER(E112),ISNUMBER(E113),ISNUMBER($M$6)),IF(AND(112&lt;$M$6,E112&lt;0.5,E113&gt;=0.5),112,""),"")</f>
        <v>0</v>
      </c>
      <c r="G112" s="22">
        <f>IF(AND(ISNUMBER(E112),ISNUMBER(E113),ISNUMBER($M$6)),IF(AND(112&gt;=$M$6,E112&gt;=0.5,E113&lt;0.5),112,""),"")</f>
        <v>0</v>
      </c>
      <c r="H112" s="22">
        <f>IF(OR(ISNUMBER(F112),ISNUMBER(G112)),C112+(0.5-E112)*(C113-C112)/(E113-E112),"")</f>
        <v>0</v>
      </c>
      <c r="I112" s="22">
        <f>IF(AND(ISNUMBER(E112),ISNUMBER($M$15)),C112-$M$15,NA())</f>
        <v>0</v>
      </c>
      <c r="J112" s="28">
        <f>IF(ISNUMBER(E112),E112,NA())</f>
        <v>0</v>
      </c>
      <c r="K112" s="22">
        <f>IF(AND(ISNUMBER(C112),ISNUMBER(C113)),SIGN(C113-C112),"")</f>
        <v>0</v>
      </c>
    </row>
    <row r="113" spans="3:11">
      <c r="C113" s="22">
        <f>IF(ISNUMBER(A113),A113*conv,"")</f>
        <v>0</v>
      </c>
      <c r="D113" s="28">
        <f>IF(ISNUMBER(B113),AVERAGE(INDEX($B$2:$B$301,MAX(1,112-semi)):INDEX($B$2:$B$301,MIN($M$2,112+semi))),"")</f>
        <v>0</v>
      </c>
      <c r="E113" s="28">
        <f>IF(AND(ISNUMBER(D113),ISNUMBER($M$4)),(D113-$M$4)/($M$5-$M$4),"")</f>
        <v>0</v>
      </c>
      <c r="F113" s="22">
        <f>IF(AND(ISNUMBER(E113),ISNUMBER(E114),ISNUMBER($M$6)),IF(AND(113&lt;$M$6,E113&lt;0.5,E114&gt;=0.5),113,""),"")</f>
        <v>0</v>
      </c>
      <c r="G113" s="22">
        <f>IF(AND(ISNUMBER(E113),ISNUMBER(E114),ISNUMBER($M$6)),IF(AND(113&gt;=$M$6,E113&gt;=0.5,E114&lt;0.5),113,""),"")</f>
        <v>0</v>
      </c>
      <c r="H113" s="22">
        <f>IF(OR(ISNUMBER(F113),ISNUMBER(G113)),C113+(0.5-E113)*(C114-C113)/(E114-E113),"")</f>
        <v>0</v>
      </c>
      <c r="I113" s="22">
        <f>IF(AND(ISNUMBER(E113),ISNUMBER($M$15)),C113-$M$15,NA())</f>
        <v>0</v>
      </c>
      <c r="J113" s="28">
        <f>IF(ISNUMBER(E113),E113,NA())</f>
        <v>0</v>
      </c>
      <c r="K113" s="22">
        <f>IF(AND(ISNUMBER(C113),ISNUMBER(C114)),SIGN(C114-C113),"")</f>
        <v>0</v>
      </c>
    </row>
    <row r="114" spans="3:11">
      <c r="C114" s="22">
        <f>IF(ISNUMBER(A114),A114*conv,"")</f>
        <v>0</v>
      </c>
      <c r="D114" s="28">
        <f>IF(ISNUMBER(B114),AVERAGE(INDEX($B$2:$B$301,MAX(1,113-semi)):INDEX($B$2:$B$301,MIN($M$2,113+semi))),"")</f>
        <v>0</v>
      </c>
      <c r="E114" s="28">
        <f>IF(AND(ISNUMBER(D114),ISNUMBER($M$4)),(D114-$M$4)/($M$5-$M$4),"")</f>
        <v>0</v>
      </c>
      <c r="F114" s="22">
        <f>IF(AND(ISNUMBER(E114),ISNUMBER(E115),ISNUMBER($M$6)),IF(AND(114&lt;$M$6,E114&lt;0.5,E115&gt;=0.5),114,""),"")</f>
        <v>0</v>
      </c>
      <c r="G114" s="22">
        <f>IF(AND(ISNUMBER(E114),ISNUMBER(E115),ISNUMBER($M$6)),IF(AND(114&gt;=$M$6,E114&gt;=0.5,E115&lt;0.5),114,""),"")</f>
        <v>0</v>
      </c>
      <c r="H114" s="22">
        <f>IF(OR(ISNUMBER(F114),ISNUMBER(G114)),C114+(0.5-E114)*(C115-C114)/(E115-E114),"")</f>
        <v>0</v>
      </c>
      <c r="I114" s="22">
        <f>IF(AND(ISNUMBER(E114),ISNUMBER($M$15)),C114-$M$15,NA())</f>
        <v>0</v>
      </c>
      <c r="J114" s="28">
        <f>IF(ISNUMBER(E114),E114,NA())</f>
        <v>0</v>
      </c>
      <c r="K114" s="22">
        <f>IF(AND(ISNUMBER(C114),ISNUMBER(C115)),SIGN(C115-C114),"")</f>
        <v>0</v>
      </c>
    </row>
    <row r="115" spans="3:11">
      <c r="C115" s="22">
        <f>IF(ISNUMBER(A115),A115*conv,"")</f>
        <v>0</v>
      </c>
      <c r="D115" s="28">
        <f>IF(ISNUMBER(B115),AVERAGE(INDEX($B$2:$B$301,MAX(1,114-semi)):INDEX($B$2:$B$301,MIN($M$2,114+semi))),"")</f>
        <v>0</v>
      </c>
      <c r="E115" s="28">
        <f>IF(AND(ISNUMBER(D115),ISNUMBER($M$4)),(D115-$M$4)/($M$5-$M$4),"")</f>
        <v>0</v>
      </c>
      <c r="F115" s="22">
        <f>IF(AND(ISNUMBER(E115),ISNUMBER(E116),ISNUMBER($M$6)),IF(AND(115&lt;$M$6,E115&lt;0.5,E116&gt;=0.5),115,""),"")</f>
        <v>0</v>
      </c>
      <c r="G115" s="22">
        <f>IF(AND(ISNUMBER(E115),ISNUMBER(E116),ISNUMBER($M$6)),IF(AND(115&gt;=$M$6,E115&gt;=0.5,E116&lt;0.5),115,""),"")</f>
        <v>0</v>
      </c>
      <c r="H115" s="22">
        <f>IF(OR(ISNUMBER(F115),ISNUMBER(G115)),C115+(0.5-E115)*(C116-C115)/(E116-E115),"")</f>
        <v>0</v>
      </c>
      <c r="I115" s="22">
        <f>IF(AND(ISNUMBER(E115),ISNUMBER($M$15)),C115-$M$15,NA())</f>
        <v>0</v>
      </c>
      <c r="J115" s="28">
        <f>IF(ISNUMBER(E115),E115,NA())</f>
        <v>0</v>
      </c>
      <c r="K115" s="22">
        <f>IF(AND(ISNUMBER(C115),ISNUMBER(C116)),SIGN(C116-C115),"")</f>
        <v>0</v>
      </c>
    </row>
    <row r="116" spans="3:11">
      <c r="C116" s="22">
        <f>IF(ISNUMBER(A116),A116*conv,"")</f>
        <v>0</v>
      </c>
      <c r="D116" s="28">
        <f>IF(ISNUMBER(B116),AVERAGE(INDEX($B$2:$B$301,MAX(1,115-semi)):INDEX($B$2:$B$301,MIN($M$2,115+semi))),"")</f>
        <v>0</v>
      </c>
      <c r="E116" s="28">
        <f>IF(AND(ISNUMBER(D116),ISNUMBER($M$4)),(D116-$M$4)/($M$5-$M$4),"")</f>
        <v>0</v>
      </c>
      <c r="F116" s="22">
        <f>IF(AND(ISNUMBER(E116),ISNUMBER(E117),ISNUMBER($M$6)),IF(AND(116&lt;$M$6,E116&lt;0.5,E117&gt;=0.5),116,""),"")</f>
        <v>0</v>
      </c>
      <c r="G116" s="22">
        <f>IF(AND(ISNUMBER(E116),ISNUMBER(E117),ISNUMBER($M$6)),IF(AND(116&gt;=$M$6,E116&gt;=0.5,E117&lt;0.5),116,""),"")</f>
        <v>0</v>
      </c>
      <c r="H116" s="22">
        <f>IF(OR(ISNUMBER(F116),ISNUMBER(G116)),C116+(0.5-E116)*(C117-C116)/(E117-E116),"")</f>
        <v>0</v>
      </c>
      <c r="I116" s="22">
        <f>IF(AND(ISNUMBER(E116),ISNUMBER($M$15)),C116-$M$15,NA())</f>
        <v>0</v>
      </c>
      <c r="J116" s="28">
        <f>IF(ISNUMBER(E116),E116,NA())</f>
        <v>0</v>
      </c>
      <c r="K116" s="22">
        <f>IF(AND(ISNUMBER(C116),ISNUMBER(C117)),SIGN(C117-C116),"")</f>
        <v>0</v>
      </c>
    </row>
    <row r="117" spans="3:11">
      <c r="C117" s="22">
        <f>IF(ISNUMBER(A117),A117*conv,"")</f>
        <v>0</v>
      </c>
      <c r="D117" s="28">
        <f>IF(ISNUMBER(B117),AVERAGE(INDEX($B$2:$B$301,MAX(1,116-semi)):INDEX($B$2:$B$301,MIN($M$2,116+semi))),"")</f>
        <v>0</v>
      </c>
      <c r="E117" s="28">
        <f>IF(AND(ISNUMBER(D117),ISNUMBER($M$4)),(D117-$M$4)/($M$5-$M$4),"")</f>
        <v>0</v>
      </c>
      <c r="F117" s="22">
        <f>IF(AND(ISNUMBER(E117),ISNUMBER(E118),ISNUMBER($M$6)),IF(AND(117&lt;$M$6,E117&lt;0.5,E118&gt;=0.5),117,""),"")</f>
        <v>0</v>
      </c>
      <c r="G117" s="22">
        <f>IF(AND(ISNUMBER(E117),ISNUMBER(E118),ISNUMBER($M$6)),IF(AND(117&gt;=$M$6,E117&gt;=0.5,E118&lt;0.5),117,""),"")</f>
        <v>0</v>
      </c>
      <c r="H117" s="22">
        <f>IF(OR(ISNUMBER(F117),ISNUMBER(G117)),C117+(0.5-E117)*(C118-C117)/(E118-E117),"")</f>
        <v>0</v>
      </c>
      <c r="I117" s="22">
        <f>IF(AND(ISNUMBER(E117),ISNUMBER($M$15)),C117-$M$15,NA())</f>
        <v>0</v>
      </c>
      <c r="J117" s="28">
        <f>IF(ISNUMBER(E117),E117,NA())</f>
        <v>0</v>
      </c>
      <c r="K117" s="22">
        <f>IF(AND(ISNUMBER(C117),ISNUMBER(C118)),SIGN(C118-C117),"")</f>
        <v>0</v>
      </c>
    </row>
    <row r="118" spans="3:11">
      <c r="C118" s="22">
        <f>IF(ISNUMBER(A118),A118*conv,"")</f>
        <v>0</v>
      </c>
      <c r="D118" s="28">
        <f>IF(ISNUMBER(B118),AVERAGE(INDEX($B$2:$B$301,MAX(1,117-semi)):INDEX($B$2:$B$301,MIN($M$2,117+semi))),"")</f>
        <v>0</v>
      </c>
      <c r="E118" s="28">
        <f>IF(AND(ISNUMBER(D118),ISNUMBER($M$4)),(D118-$M$4)/($M$5-$M$4),"")</f>
        <v>0</v>
      </c>
      <c r="F118" s="22">
        <f>IF(AND(ISNUMBER(E118),ISNUMBER(E119),ISNUMBER($M$6)),IF(AND(118&lt;$M$6,E118&lt;0.5,E119&gt;=0.5),118,""),"")</f>
        <v>0</v>
      </c>
      <c r="G118" s="22">
        <f>IF(AND(ISNUMBER(E118),ISNUMBER(E119),ISNUMBER($M$6)),IF(AND(118&gt;=$M$6,E118&gt;=0.5,E119&lt;0.5),118,""),"")</f>
        <v>0</v>
      </c>
      <c r="H118" s="22">
        <f>IF(OR(ISNUMBER(F118),ISNUMBER(G118)),C118+(0.5-E118)*(C119-C118)/(E119-E118),"")</f>
        <v>0</v>
      </c>
      <c r="I118" s="22">
        <f>IF(AND(ISNUMBER(E118),ISNUMBER($M$15)),C118-$M$15,NA())</f>
        <v>0</v>
      </c>
      <c r="J118" s="28">
        <f>IF(ISNUMBER(E118),E118,NA())</f>
        <v>0</v>
      </c>
      <c r="K118" s="22">
        <f>IF(AND(ISNUMBER(C118),ISNUMBER(C119)),SIGN(C119-C118),"")</f>
        <v>0</v>
      </c>
    </row>
    <row r="119" spans="3:11">
      <c r="C119" s="22">
        <f>IF(ISNUMBER(A119),A119*conv,"")</f>
        <v>0</v>
      </c>
      <c r="D119" s="28">
        <f>IF(ISNUMBER(B119),AVERAGE(INDEX($B$2:$B$301,MAX(1,118-semi)):INDEX($B$2:$B$301,MIN($M$2,118+semi))),"")</f>
        <v>0</v>
      </c>
      <c r="E119" s="28">
        <f>IF(AND(ISNUMBER(D119),ISNUMBER($M$4)),(D119-$M$4)/($M$5-$M$4),"")</f>
        <v>0</v>
      </c>
      <c r="F119" s="22">
        <f>IF(AND(ISNUMBER(E119),ISNUMBER(E120),ISNUMBER($M$6)),IF(AND(119&lt;$M$6,E119&lt;0.5,E120&gt;=0.5),119,""),"")</f>
        <v>0</v>
      </c>
      <c r="G119" s="22">
        <f>IF(AND(ISNUMBER(E119),ISNUMBER(E120),ISNUMBER($M$6)),IF(AND(119&gt;=$M$6,E119&gt;=0.5,E120&lt;0.5),119,""),"")</f>
        <v>0</v>
      </c>
      <c r="H119" s="22">
        <f>IF(OR(ISNUMBER(F119),ISNUMBER(G119)),C119+(0.5-E119)*(C120-C119)/(E120-E119),"")</f>
        <v>0</v>
      </c>
      <c r="I119" s="22">
        <f>IF(AND(ISNUMBER(E119),ISNUMBER($M$15)),C119-$M$15,NA())</f>
        <v>0</v>
      </c>
      <c r="J119" s="28">
        <f>IF(ISNUMBER(E119),E119,NA())</f>
        <v>0</v>
      </c>
      <c r="K119" s="22">
        <f>IF(AND(ISNUMBER(C119),ISNUMBER(C120)),SIGN(C120-C119),"")</f>
        <v>0</v>
      </c>
    </row>
    <row r="120" spans="3:11">
      <c r="C120" s="22">
        <f>IF(ISNUMBER(A120),A120*conv,"")</f>
        <v>0</v>
      </c>
      <c r="D120" s="28">
        <f>IF(ISNUMBER(B120),AVERAGE(INDEX($B$2:$B$301,MAX(1,119-semi)):INDEX($B$2:$B$301,MIN($M$2,119+semi))),"")</f>
        <v>0</v>
      </c>
      <c r="E120" s="28">
        <f>IF(AND(ISNUMBER(D120),ISNUMBER($M$4)),(D120-$M$4)/($M$5-$M$4),"")</f>
        <v>0</v>
      </c>
      <c r="F120" s="22">
        <f>IF(AND(ISNUMBER(E120),ISNUMBER(E121),ISNUMBER($M$6)),IF(AND(120&lt;$M$6,E120&lt;0.5,E121&gt;=0.5),120,""),"")</f>
        <v>0</v>
      </c>
      <c r="G120" s="22">
        <f>IF(AND(ISNUMBER(E120),ISNUMBER(E121),ISNUMBER($M$6)),IF(AND(120&gt;=$M$6,E120&gt;=0.5,E121&lt;0.5),120,""),"")</f>
        <v>0</v>
      </c>
      <c r="H120" s="22">
        <f>IF(OR(ISNUMBER(F120),ISNUMBER(G120)),C120+(0.5-E120)*(C121-C120)/(E121-E120),"")</f>
        <v>0</v>
      </c>
      <c r="I120" s="22">
        <f>IF(AND(ISNUMBER(E120),ISNUMBER($M$15)),C120-$M$15,NA())</f>
        <v>0</v>
      </c>
      <c r="J120" s="28">
        <f>IF(ISNUMBER(E120),E120,NA())</f>
        <v>0</v>
      </c>
      <c r="K120" s="22">
        <f>IF(AND(ISNUMBER(C120),ISNUMBER(C121)),SIGN(C121-C120),"")</f>
        <v>0</v>
      </c>
    </row>
    <row r="121" spans="3:11">
      <c r="C121" s="22">
        <f>IF(ISNUMBER(A121),A121*conv,"")</f>
        <v>0</v>
      </c>
      <c r="D121" s="28">
        <f>IF(ISNUMBER(B121),AVERAGE(INDEX($B$2:$B$301,MAX(1,120-semi)):INDEX($B$2:$B$301,MIN($M$2,120+semi))),"")</f>
        <v>0</v>
      </c>
      <c r="E121" s="28">
        <f>IF(AND(ISNUMBER(D121),ISNUMBER($M$4)),(D121-$M$4)/($M$5-$M$4),"")</f>
        <v>0</v>
      </c>
      <c r="F121" s="22">
        <f>IF(AND(ISNUMBER(E121),ISNUMBER(E122),ISNUMBER($M$6)),IF(AND(121&lt;$M$6,E121&lt;0.5,E122&gt;=0.5),121,""),"")</f>
        <v>0</v>
      </c>
      <c r="G121" s="22">
        <f>IF(AND(ISNUMBER(E121),ISNUMBER(E122),ISNUMBER($M$6)),IF(AND(121&gt;=$M$6,E121&gt;=0.5,E122&lt;0.5),121,""),"")</f>
        <v>0</v>
      </c>
      <c r="H121" s="22">
        <f>IF(OR(ISNUMBER(F121),ISNUMBER(G121)),C121+(0.5-E121)*(C122-C121)/(E122-E121),"")</f>
        <v>0</v>
      </c>
      <c r="I121" s="22">
        <f>IF(AND(ISNUMBER(E121),ISNUMBER($M$15)),C121-$M$15,NA())</f>
        <v>0</v>
      </c>
      <c r="J121" s="28">
        <f>IF(ISNUMBER(E121),E121,NA())</f>
        <v>0</v>
      </c>
      <c r="K121" s="22">
        <f>IF(AND(ISNUMBER(C121),ISNUMBER(C122)),SIGN(C122-C121),"")</f>
        <v>0</v>
      </c>
    </row>
    <row r="122" spans="3:11">
      <c r="C122" s="22">
        <f>IF(ISNUMBER(A122),A122*conv,"")</f>
        <v>0</v>
      </c>
      <c r="D122" s="28">
        <f>IF(ISNUMBER(B122),AVERAGE(INDEX($B$2:$B$301,MAX(1,121-semi)):INDEX($B$2:$B$301,MIN($M$2,121+semi))),"")</f>
        <v>0</v>
      </c>
      <c r="E122" s="28">
        <f>IF(AND(ISNUMBER(D122),ISNUMBER($M$4)),(D122-$M$4)/($M$5-$M$4),"")</f>
        <v>0</v>
      </c>
      <c r="F122" s="22">
        <f>IF(AND(ISNUMBER(E122),ISNUMBER(E123),ISNUMBER($M$6)),IF(AND(122&lt;$M$6,E122&lt;0.5,E123&gt;=0.5),122,""),"")</f>
        <v>0</v>
      </c>
      <c r="G122" s="22">
        <f>IF(AND(ISNUMBER(E122),ISNUMBER(E123),ISNUMBER($M$6)),IF(AND(122&gt;=$M$6,E122&gt;=0.5,E123&lt;0.5),122,""),"")</f>
        <v>0</v>
      </c>
      <c r="H122" s="22">
        <f>IF(OR(ISNUMBER(F122),ISNUMBER(G122)),C122+(0.5-E122)*(C123-C122)/(E123-E122),"")</f>
        <v>0</v>
      </c>
      <c r="I122" s="22">
        <f>IF(AND(ISNUMBER(E122),ISNUMBER($M$15)),C122-$M$15,NA())</f>
        <v>0</v>
      </c>
      <c r="J122" s="28">
        <f>IF(ISNUMBER(E122),E122,NA())</f>
        <v>0</v>
      </c>
      <c r="K122" s="22">
        <f>IF(AND(ISNUMBER(C122),ISNUMBER(C123)),SIGN(C123-C122),"")</f>
        <v>0</v>
      </c>
    </row>
    <row r="123" spans="3:11">
      <c r="C123" s="22">
        <f>IF(ISNUMBER(A123),A123*conv,"")</f>
        <v>0</v>
      </c>
      <c r="D123" s="28">
        <f>IF(ISNUMBER(B123),AVERAGE(INDEX($B$2:$B$301,MAX(1,122-semi)):INDEX($B$2:$B$301,MIN($M$2,122+semi))),"")</f>
        <v>0</v>
      </c>
      <c r="E123" s="28">
        <f>IF(AND(ISNUMBER(D123),ISNUMBER($M$4)),(D123-$M$4)/($M$5-$M$4),"")</f>
        <v>0</v>
      </c>
      <c r="F123" s="22">
        <f>IF(AND(ISNUMBER(E123),ISNUMBER(E124),ISNUMBER($M$6)),IF(AND(123&lt;$M$6,E123&lt;0.5,E124&gt;=0.5),123,""),"")</f>
        <v>0</v>
      </c>
      <c r="G123" s="22">
        <f>IF(AND(ISNUMBER(E123),ISNUMBER(E124),ISNUMBER($M$6)),IF(AND(123&gt;=$M$6,E123&gt;=0.5,E124&lt;0.5),123,""),"")</f>
        <v>0</v>
      </c>
      <c r="H123" s="22">
        <f>IF(OR(ISNUMBER(F123),ISNUMBER(G123)),C123+(0.5-E123)*(C124-C123)/(E124-E123),"")</f>
        <v>0</v>
      </c>
      <c r="I123" s="22">
        <f>IF(AND(ISNUMBER(E123),ISNUMBER($M$15)),C123-$M$15,NA())</f>
        <v>0</v>
      </c>
      <c r="J123" s="28">
        <f>IF(ISNUMBER(E123),E123,NA())</f>
        <v>0</v>
      </c>
      <c r="K123" s="22">
        <f>IF(AND(ISNUMBER(C123),ISNUMBER(C124)),SIGN(C124-C123),"")</f>
        <v>0</v>
      </c>
    </row>
    <row r="124" spans="3:11">
      <c r="C124" s="22">
        <f>IF(ISNUMBER(A124),A124*conv,"")</f>
        <v>0</v>
      </c>
      <c r="D124" s="28">
        <f>IF(ISNUMBER(B124),AVERAGE(INDEX($B$2:$B$301,MAX(1,123-semi)):INDEX($B$2:$B$301,MIN($M$2,123+semi))),"")</f>
        <v>0</v>
      </c>
      <c r="E124" s="28">
        <f>IF(AND(ISNUMBER(D124),ISNUMBER($M$4)),(D124-$M$4)/($M$5-$M$4),"")</f>
        <v>0</v>
      </c>
      <c r="F124" s="22">
        <f>IF(AND(ISNUMBER(E124),ISNUMBER(E125),ISNUMBER($M$6)),IF(AND(124&lt;$M$6,E124&lt;0.5,E125&gt;=0.5),124,""),"")</f>
        <v>0</v>
      </c>
      <c r="G124" s="22">
        <f>IF(AND(ISNUMBER(E124),ISNUMBER(E125),ISNUMBER($M$6)),IF(AND(124&gt;=$M$6,E124&gt;=0.5,E125&lt;0.5),124,""),"")</f>
        <v>0</v>
      </c>
      <c r="H124" s="22">
        <f>IF(OR(ISNUMBER(F124),ISNUMBER(G124)),C124+(0.5-E124)*(C125-C124)/(E125-E124),"")</f>
        <v>0</v>
      </c>
      <c r="I124" s="22">
        <f>IF(AND(ISNUMBER(E124),ISNUMBER($M$15)),C124-$M$15,NA())</f>
        <v>0</v>
      </c>
      <c r="J124" s="28">
        <f>IF(ISNUMBER(E124),E124,NA())</f>
        <v>0</v>
      </c>
      <c r="K124" s="22">
        <f>IF(AND(ISNUMBER(C124),ISNUMBER(C125)),SIGN(C125-C124),"")</f>
        <v>0</v>
      </c>
    </row>
    <row r="125" spans="3:11">
      <c r="C125" s="22">
        <f>IF(ISNUMBER(A125),A125*conv,"")</f>
        <v>0</v>
      </c>
      <c r="D125" s="28">
        <f>IF(ISNUMBER(B125),AVERAGE(INDEX($B$2:$B$301,MAX(1,124-semi)):INDEX($B$2:$B$301,MIN($M$2,124+semi))),"")</f>
        <v>0</v>
      </c>
      <c r="E125" s="28">
        <f>IF(AND(ISNUMBER(D125),ISNUMBER($M$4)),(D125-$M$4)/($M$5-$M$4),"")</f>
        <v>0</v>
      </c>
      <c r="F125" s="22">
        <f>IF(AND(ISNUMBER(E125),ISNUMBER(E126),ISNUMBER($M$6)),IF(AND(125&lt;$M$6,E125&lt;0.5,E126&gt;=0.5),125,""),"")</f>
        <v>0</v>
      </c>
      <c r="G125" s="22">
        <f>IF(AND(ISNUMBER(E125),ISNUMBER(E126),ISNUMBER($M$6)),IF(AND(125&gt;=$M$6,E125&gt;=0.5,E126&lt;0.5),125,""),"")</f>
        <v>0</v>
      </c>
      <c r="H125" s="22">
        <f>IF(OR(ISNUMBER(F125),ISNUMBER(G125)),C125+(0.5-E125)*(C126-C125)/(E126-E125),"")</f>
        <v>0</v>
      </c>
      <c r="I125" s="22">
        <f>IF(AND(ISNUMBER(E125),ISNUMBER($M$15)),C125-$M$15,NA())</f>
        <v>0</v>
      </c>
      <c r="J125" s="28">
        <f>IF(ISNUMBER(E125),E125,NA())</f>
        <v>0</v>
      </c>
      <c r="K125" s="22">
        <f>IF(AND(ISNUMBER(C125),ISNUMBER(C126)),SIGN(C126-C125),"")</f>
        <v>0</v>
      </c>
    </row>
    <row r="126" spans="3:11">
      <c r="C126" s="22">
        <f>IF(ISNUMBER(A126),A126*conv,"")</f>
        <v>0</v>
      </c>
      <c r="D126" s="28">
        <f>IF(ISNUMBER(B126),AVERAGE(INDEX($B$2:$B$301,MAX(1,125-semi)):INDEX($B$2:$B$301,MIN($M$2,125+semi))),"")</f>
        <v>0</v>
      </c>
      <c r="E126" s="28">
        <f>IF(AND(ISNUMBER(D126),ISNUMBER($M$4)),(D126-$M$4)/($M$5-$M$4),"")</f>
        <v>0</v>
      </c>
      <c r="F126" s="22">
        <f>IF(AND(ISNUMBER(E126),ISNUMBER(E127),ISNUMBER($M$6)),IF(AND(126&lt;$M$6,E126&lt;0.5,E127&gt;=0.5),126,""),"")</f>
        <v>0</v>
      </c>
      <c r="G126" s="22">
        <f>IF(AND(ISNUMBER(E126),ISNUMBER(E127),ISNUMBER($M$6)),IF(AND(126&gt;=$M$6,E126&gt;=0.5,E127&lt;0.5),126,""),"")</f>
        <v>0</v>
      </c>
      <c r="H126" s="22">
        <f>IF(OR(ISNUMBER(F126),ISNUMBER(G126)),C126+(0.5-E126)*(C127-C126)/(E127-E126),"")</f>
        <v>0</v>
      </c>
      <c r="I126" s="22">
        <f>IF(AND(ISNUMBER(E126),ISNUMBER($M$15)),C126-$M$15,NA())</f>
        <v>0</v>
      </c>
      <c r="J126" s="28">
        <f>IF(ISNUMBER(E126),E126,NA())</f>
        <v>0</v>
      </c>
      <c r="K126" s="22">
        <f>IF(AND(ISNUMBER(C126),ISNUMBER(C127)),SIGN(C127-C126),"")</f>
        <v>0</v>
      </c>
    </row>
    <row r="127" spans="3:11">
      <c r="C127" s="22">
        <f>IF(ISNUMBER(A127),A127*conv,"")</f>
        <v>0</v>
      </c>
      <c r="D127" s="28">
        <f>IF(ISNUMBER(B127),AVERAGE(INDEX($B$2:$B$301,MAX(1,126-semi)):INDEX($B$2:$B$301,MIN($M$2,126+semi))),"")</f>
        <v>0</v>
      </c>
      <c r="E127" s="28">
        <f>IF(AND(ISNUMBER(D127),ISNUMBER($M$4)),(D127-$M$4)/($M$5-$M$4),"")</f>
        <v>0</v>
      </c>
      <c r="F127" s="22">
        <f>IF(AND(ISNUMBER(E127),ISNUMBER(E128),ISNUMBER($M$6)),IF(AND(127&lt;$M$6,E127&lt;0.5,E128&gt;=0.5),127,""),"")</f>
        <v>0</v>
      </c>
      <c r="G127" s="22">
        <f>IF(AND(ISNUMBER(E127),ISNUMBER(E128),ISNUMBER($M$6)),IF(AND(127&gt;=$M$6,E127&gt;=0.5,E128&lt;0.5),127,""),"")</f>
        <v>0</v>
      </c>
      <c r="H127" s="22">
        <f>IF(OR(ISNUMBER(F127),ISNUMBER(G127)),C127+(0.5-E127)*(C128-C127)/(E128-E127),"")</f>
        <v>0</v>
      </c>
      <c r="I127" s="22">
        <f>IF(AND(ISNUMBER(E127),ISNUMBER($M$15)),C127-$M$15,NA())</f>
        <v>0</v>
      </c>
      <c r="J127" s="28">
        <f>IF(ISNUMBER(E127),E127,NA())</f>
        <v>0</v>
      </c>
      <c r="K127" s="22">
        <f>IF(AND(ISNUMBER(C127),ISNUMBER(C128)),SIGN(C128-C127),"")</f>
        <v>0</v>
      </c>
    </row>
    <row r="128" spans="3:11">
      <c r="C128" s="22">
        <f>IF(ISNUMBER(A128),A128*conv,"")</f>
        <v>0</v>
      </c>
      <c r="D128" s="28">
        <f>IF(ISNUMBER(B128),AVERAGE(INDEX($B$2:$B$301,MAX(1,127-semi)):INDEX($B$2:$B$301,MIN($M$2,127+semi))),"")</f>
        <v>0</v>
      </c>
      <c r="E128" s="28">
        <f>IF(AND(ISNUMBER(D128),ISNUMBER($M$4)),(D128-$M$4)/($M$5-$M$4),"")</f>
        <v>0</v>
      </c>
      <c r="F128" s="22">
        <f>IF(AND(ISNUMBER(E128),ISNUMBER(E129),ISNUMBER($M$6)),IF(AND(128&lt;$M$6,E128&lt;0.5,E129&gt;=0.5),128,""),"")</f>
        <v>0</v>
      </c>
      <c r="G128" s="22">
        <f>IF(AND(ISNUMBER(E128),ISNUMBER(E129),ISNUMBER($M$6)),IF(AND(128&gt;=$M$6,E128&gt;=0.5,E129&lt;0.5),128,""),"")</f>
        <v>0</v>
      </c>
      <c r="H128" s="22">
        <f>IF(OR(ISNUMBER(F128),ISNUMBER(G128)),C128+(0.5-E128)*(C129-C128)/(E129-E128),"")</f>
        <v>0</v>
      </c>
      <c r="I128" s="22">
        <f>IF(AND(ISNUMBER(E128),ISNUMBER($M$15)),C128-$M$15,NA())</f>
        <v>0</v>
      </c>
      <c r="J128" s="28">
        <f>IF(ISNUMBER(E128),E128,NA())</f>
        <v>0</v>
      </c>
      <c r="K128" s="22">
        <f>IF(AND(ISNUMBER(C128),ISNUMBER(C129)),SIGN(C129-C128),"")</f>
        <v>0</v>
      </c>
    </row>
    <row r="129" spans="3:11">
      <c r="C129" s="22">
        <f>IF(ISNUMBER(A129),A129*conv,"")</f>
        <v>0</v>
      </c>
      <c r="D129" s="28">
        <f>IF(ISNUMBER(B129),AVERAGE(INDEX($B$2:$B$301,MAX(1,128-semi)):INDEX($B$2:$B$301,MIN($M$2,128+semi))),"")</f>
        <v>0</v>
      </c>
      <c r="E129" s="28">
        <f>IF(AND(ISNUMBER(D129),ISNUMBER($M$4)),(D129-$M$4)/($M$5-$M$4),"")</f>
        <v>0</v>
      </c>
      <c r="F129" s="22">
        <f>IF(AND(ISNUMBER(E129),ISNUMBER(E130),ISNUMBER($M$6)),IF(AND(129&lt;$M$6,E129&lt;0.5,E130&gt;=0.5),129,""),"")</f>
        <v>0</v>
      </c>
      <c r="G129" s="22">
        <f>IF(AND(ISNUMBER(E129),ISNUMBER(E130),ISNUMBER($M$6)),IF(AND(129&gt;=$M$6,E129&gt;=0.5,E130&lt;0.5),129,""),"")</f>
        <v>0</v>
      </c>
      <c r="H129" s="22">
        <f>IF(OR(ISNUMBER(F129),ISNUMBER(G129)),C129+(0.5-E129)*(C130-C129)/(E130-E129),"")</f>
        <v>0</v>
      </c>
      <c r="I129" s="22">
        <f>IF(AND(ISNUMBER(E129),ISNUMBER($M$15)),C129-$M$15,NA())</f>
        <v>0</v>
      </c>
      <c r="J129" s="28">
        <f>IF(ISNUMBER(E129),E129,NA())</f>
        <v>0</v>
      </c>
      <c r="K129" s="22">
        <f>IF(AND(ISNUMBER(C129),ISNUMBER(C130)),SIGN(C130-C129),"")</f>
        <v>0</v>
      </c>
    </row>
    <row r="130" spans="3:11">
      <c r="C130" s="22">
        <f>IF(ISNUMBER(A130),A130*conv,"")</f>
        <v>0</v>
      </c>
      <c r="D130" s="28">
        <f>IF(ISNUMBER(B130),AVERAGE(INDEX($B$2:$B$301,MAX(1,129-semi)):INDEX($B$2:$B$301,MIN($M$2,129+semi))),"")</f>
        <v>0</v>
      </c>
      <c r="E130" s="28">
        <f>IF(AND(ISNUMBER(D130),ISNUMBER($M$4)),(D130-$M$4)/($M$5-$M$4),"")</f>
        <v>0</v>
      </c>
      <c r="F130" s="22">
        <f>IF(AND(ISNUMBER(E130),ISNUMBER(E131),ISNUMBER($M$6)),IF(AND(130&lt;$M$6,E130&lt;0.5,E131&gt;=0.5),130,""),"")</f>
        <v>0</v>
      </c>
      <c r="G130" s="22">
        <f>IF(AND(ISNUMBER(E130),ISNUMBER(E131),ISNUMBER($M$6)),IF(AND(130&gt;=$M$6,E130&gt;=0.5,E131&lt;0.5),130,""),"")</f>
        <v>0</v>
      </c>
      <c r="H130" s="22">
        <f>IF(OR(ISNUMBER(F130),ISNUMBER(G130)),C130+(0.5-E130)*(C131-C130)/(E131-E130),"")</f>
        <v>0</v>
      </c>
      <c r="I130" s="22">
        <f>IF(AND(ISNUMBER(E130),ISNUMBER($M$15)),C130-$M$15,NA())</f>
        <v>0</v>
      </c>
      <c r="J130" s="28">
        <f>IF(ISNUMBER(E130),E130,NA())</f>
        <v>0</v>
      </c>
      <c r="K130" s="22">
        <f>IF(AND(ISNUMBER(C130),ISNUMBER(C131)),SIGN(C131-C130),"")</f>
        <v>0</v>
      </c>
    </row>
    <row r="131" spans="3:11">
      <c r="C131" s="22">
        <f>IF(ISNUMBER(A131),A131*conv,"")</f>
        <v>0</v>
      </c>
      <c r="D131" s="28">
        <f>IF(ISNUMBER(B131),AVERAGE(INDEX($B$2:$B$301,MAX(1,130-semi)):INDEX($B$2:$B$301,MIN($M$2,130+semi))),"")</f>
        <v>0</v>
      </c>
      <c r="E131" s="28">
        <f>IF(AND(ISNUMBER(D131),ISNUMBER($M$4)),(D131-$M$4)/($M$5-$M$4),"")</f>
        <v>0</v>
      </c>
      <c r="F131" s="22">
        <f>IF(AND(ISNUMBER(E131),ISNUMBER(E132),ISNUMBER($M$6)),IF(AND(131&lt;$M$6,E131&lt;0.5,E132&gt;=0.5),131,""),"")</f>
        <v>0</v>
      </c>
      <c r="G131" s="22">
        <f>IF(AND(ISNUMBER(E131),ISNUMBER(E132),ISNUMBER($M$6)),IF(AND(131&gt;=$M$6,E131&gt;=0.5,E132&lt;0.5),131,""),"")</f>
        <v>0</v>
      </c>
      <c r="H131" s="22">
        <f>IF(OR(ISNUMBER(F131),ISNUMBER(G131)),C131+(0.5-E131)*(C132-C131)/(E132-E131),"")</f>
        <v>0</v>
      </c>
      <c r="I131" s="22">
        <f>IF(AND(ISNUMBER(E131),ISNUMBER($M$15)),C131-$M$15,NA())</f>
        <v>0</v>
      </c>
      <c r="J131" s="28">
        <f>IF(ISNUMBER(E131),E131,NA())</f>
        <v>0</v>
      </c>
      <c r="K131" s="22">
        <f>IF(AND(ISNUMBER(C131),ISNUMBER(C132)),SIGN(C132-C131),"")</f>
        <v>0</v>
      </c>
    </row>
    <row r="132" spans="3:11">
      <c r="C132" s="22">
        <f>IF(ISNUMBER(A132),A132*conv,"")</f>
        <v>0</v>
      </c>
      <c r="D132" s="28">
        <f>IF(ISNUMBER(B132),AVERAGE(INDEX($B$2:$B$301,MAX(1,131-semi)):INDEX($B$2:$B$301,MIN($M$2,131+semi))),"")</f>
        <v>0</v>
      </c>
      <c r="E132" s="28">
        <f>IF(AND(ISNUMBER(D132),ISNUMBER($M$4)),(D132-$M$4)/($M$5-$M$4),"")</f>
        <v>0</v>
      </c>
      <c r="F132" s="22">
        <f>IF(AND(ISNUMBER(E132),ISNUMBER(E133),ISNUMBER($M$6)),IF(AND(132&lt;$M$6,E132&lt;0.5,E133&gt;=0.5),132,""),"")</f>
        <v>0</v>
      </c>
      <c r="G132" s="22">
        <f>IF(AND(ISNUMBER(E132),ISNUMBER(E133),ISNUMBER($M$6)),IF(AND(132&gt;=$M$6,E132&gt;=0.5,E133&lt;0.5),132,""),"")</f>
        <v>0</v>
      </c>
      <c r="H132" s="22">
        <f>IF(OR(ISNUMBER(F132),ISNUMBER(G132)),C132+(0.5-E132)*(C133-C132)/(E133-E132),"")</f>
        <v>0</v>
      </c>
      <c r="I132" s="22">
        <f>IF(AND(ISNUMBER(E132),ISNUMBER($M$15)),C132-$M$15,NA())</f>
        <v>0</v>
      </c>
      <c r="J132" s="28">
        <f>IF(ISNUMBER(E132),E132,NA())</f>
        <v>0</v>
      </c>
      <c r="K132" s="22">
        <f>IF(AND(ISNUMBER(C132),ISNUMBER(C133)),SIGN(C133-C132),"")</f>
        <v>0</v>
      </c>
    </row>
    <row r="133" spans="3:11">
      <c r="C133" s="22">
        <f>IF(ISNUMBER(A133),A133*conv,"")</f>
        <v>0</v>
      </c>
      <c r="D133" s="28">
        <f>IF(ISNUMBER(B133),AVERAGE(INDEX($B$2:$B$301,MAX(1,132-semi)):INDEX($B$2:$B$301,MIN($M$2,132+semi))),"")</f>
        <v>0</v>
      </c>
      <c r="E133" s="28">
        <f>IF(AND(ISNUMBER(D133),ISNUMBER($M$4)),(D133-$M$4)/($M$5-$M$4),"")</f>
        <v>0</v>
      </c>
      <c r="F133" s="22">
        <f>IF(AND(ISNUMBER(E133),ISNUMBER(E134),ISNUMBER($M$6)),IF(AND(133&lt;$M$6,E133&lt;0.5,E134&gt;=0.5),133,""),"")</f>
        <v>0</v>
      </c>
      <c r="G133" s="22">
        <f>IF(AND(ISNUMBER(E133),ISNUMBER(E134),ISNUMBER($M$6)),IF(AND(133&gt;=$M$6,E133&gt;=0.5,E134&lt;0.5),133,""),"")</f>
        <v>0</v>
      </c>
      <c r="H133" s="22">
        <f>IF(OR(ISNUMBER(F133),ISNUMBER(G133)),C133+(0.5-E133)*(C134-C133)/(E134-E133),"")</f>
        <v>0</v>
      </c>
      <c r="I133" s="22">
        <f>IF(AND(ISNUMBER(E133),ISNUMBER($M$15)),C133-$M$15,NA())</f>
        <v>0</v>
      </c>
      <c r="J133" s="28">
        <f>IF(ISNUMBER(E133),E133,NA())</f>
        <v>0</v>
      </c>
      <c r="K133" s="22">
        <f>IF(AND(ISNUMBER(C133),ISNUMBER(C134)),SIGN(C134-C133),"")</f>
        <v>0</v>
      </c>
    </row>
    <row r="134" spans="3:11">
      <c r="C134" s="22">
        <f>IF(ISNUMBER(A134),A134*conv,"")</f>
        <v>0</v>
      </c>
      <c r="D134" s="28">
        <f>IF(ISNUMBER(B134),AVERAGE(INDEX($B$2:$B$301,MAX(1,133-semi)):INDEX($B$2:$B$301,MIN($M$2,133+semi))),"")</f>
        <v>0</v>
      </c>
      <c r="E134" s="28">
        <f>IF(AND(ISNUMBER(D134),ISNUMBER($M$4)),(D134-$M$4)/($M$5-$M$4),"")</f>
        <v>0</v>
      </c>
      <c r="F134" s="22">
        <f>IF(AND(ISNUMBER(E134),ISNUMBER(E135),ISNUMBER($M$6)),IF(AND(134&lt;$M$6,E134&lt;0.5,E135&gt;=0.5),134,""),"")</f>
        <v>0</v>
      </c>
      <c r="G134" s="22">
        <f>IF(AND(ISNUMBER(E134),ISNUMBER(E135),ISNUMBER($M$6)),IF(AND(134&gt;=$M$6,E134&gt;=0.5,E135&lt;0.5),134,""),"")</f>
        <v>0</v>
      </c>
      <c r="H134" s="22">
        <f>IF(OR(ISNUMBER(F134),ISNUMBER(G134)),C134+(0.5-E134)*(C135-C134)/(E135-E134),"")</f>
        <v>0</v>
      </c>
      <c r="I134" s="22">
        <f>IF(AND(ISNUMBER(E134),ISNUMBER($M$15)),C134-$M$15,NA())</f>
        <v>0</v>
      </c>
      <c r="J134" s="28">
        <f>IF(ISNUMBER(E134),E134,NA())</f>
        <v>0</v>
      </c>
      <c r="K134" s="22">
        <f>IF(AND(ISNUMBER(C134),ISNUMBER(C135)),SIGN(C135-C134),"")</f>
        <v>0</v>
      </c>
    </row>
    <row r="135" spans="3:11">
      <c r="C135" s="22">
        <f>IF(ISNUMBER(A135),A135*conv,"")</f>
        <v>0</v>
      </c>
      <c r="D135" s="28">
        <f>IF(ISNUMBER(B135),AVERAGE(INDEX($B$2:$B$301,MAX(1,134-semi)):INDEX($B$2:$B$301,MIN($M$2,134+semi))),"")</f>
        <v>0</v>
      </c>
      <c r="E135" s="28">
        <f>IF(AND(ISNUMBER(D135),ISNUMBER($M$4)),(D135-$M$4)/($M$5-$M$4),"")</f>
        <v>0</v>
      </c>
      <c r="F135" s="22">
        <f>IF(AND(ISNUMBER(E135),ISNUMBER(E136),ISNUMBER($M$6)),IF(AND(135&lt;$M$6,E135&lt;0.5,E136&gt;=0.5),135,""),"")</f>
        <v>0</v>
      </c>
      <c r="G135" s="22">
        <f>IF(AND(ISNUMBER(E135),ISNUMBER(E136),ISNUMBER($M$6)),IF(AND(135&gt;=$M$6,E135&gt;=0.5,E136&lt;0.5),135,""),"")</f>
        <v>0</v>
      </c>
      <c r="H135" s="22">
        <f>IF(OR(ISNUMBER(F135),ISNUMBER(G135)),C135+(0.5-E135)*(C136-C135)/(E136-E135),"")</f>
        <v>0</v>
      </c>
      <c r="I135" s="22">
        <f>IF(AND(ISNUMBER(E135),ISNUMBER($M$15)),C135-$M$15,NA())</f>
        <v>0</v>
      </c>
      <c r="J135" s="28">
        <f>IF(ISNUMBER(E135),E135,NA())</f>
        <v>0</v>
      </c>
      <c r="K135" s="22">
        <f>IF(AND(ISNUMBER(C135),ISNUMBER(C136)),SIGN(C136-C135),"")</f>
        <v>0</v>
      </c>
    </row>
    <row r="136" spans="3:11">
      <c r="C136" s="22">
        <f>IF(ISNUMBER(A136),A136*conv,"")</f>
        <v>0</v>
      </c>
      <c r="D136" s="28">
        <f>IF(ISNUMBER(B136),AVERAGE(INDEX($B$2:$B$301,MAX(1,135-semi)):INDEX($B$2:$B$301,MIN($M$2,135+semi))),"")</f>
        <v>0</v>
      </c>
      <c r="E136" s="28">
        <f>IF(AND(ISNUMBER(D136),ISNUMBER($M$4)),(D136-$M$4)/($M$5-$M$4),"")</f>
        <v>0</v>
      </c>
      <c r="F136" s="22">
        <f>IF(AND(ISNUMBER(E136),ISNUMBER(E137),ISNUMBER($M$6)),IF(AND(136&lt;$M$6,E136&lt;0.5,E137&gt;=0.5),136,""),"")</f>
        <v>0</v>
      </c>
      <c r="G136" s="22">
        <f>IF(AND(ISNUMBER(E136),ISNUMBER(E137),ISNUMBER($M$6)),IF(AND(136&gt;=$M$6,E136&gt;=0.5,E137&lt;0.5),136,""),"")</f>
        <v>0</v>
      </c>
      <c r="H136" s="22">
        <f>IF(OR(ISNUMBER(F136),ISNUMBER(G136)),C136+(0.5-E136)*(C137-C136)/(E137-E136),"")</f>
        <v>0</v>
      </c>
      <c r="I136" s="22">
        <f>IF(AND(ISNUMBER(E136),ISNUMBER($M$15)),C136-$M$15,NA())</f>
        <v>0</v>
      </c>
      <c r="J136" s="28">
        <f>IF(ISNUMBER(E136),E136,NA())</f>
        <v>0</v>
      </c>
      <c r="K136" s="22">
        <f>IF(AND(ISNUMBER(C136),ISNUMBER(C137)),SIGN(C137-C136),"")</f>
        <v>0</v>
      </c>
    </row>
    <row r="137" spans="3:11">
      <c r="C137" s="22">
        <f>IF(ISNUMBER(A137),A137*conv,"")</f>
        <v>0</v>
      </c>
      <c r="D137" s="28">
        <f>IF(ISNUMBER(B137),AVERAGE(INDEX($B$2:$B$301,MAX(1,136-semi)):INDEX($B$2:$B$301,MIN($M$2,136+semi))),"")</f>
        <v>0</v>
      </c>
      <c r="E137" s="28">
        <f>IF(AND(ISNUMBER(D137),ISNUMBER($M$4)),(D137-$M$4)/($M$5-$M$4),"")</f>
        <v>0</v>
      </c>
      <c r="F137" s="22">
        <f>IF(AND(ISNUMBER(E137),ISNUMBER(E138),ISNUMBER($M$6)),IF(AND(137&lt;$M$6,E137&lt;0.5,E138&gt;=0.5),137,""),"")</f>
        <v>0</v>
      </c>
      <c r="G137" s="22">
        <f>IF(AND(ISNUMBER(E137),ISNUMBER(E138),ISNUMBER($M$6)),IF(AND(137&gt;=$M$6,E137&gt;=0.5,E138&lt;0.5),137,""),"")</f>
        <v>0</v>
      </c>
      <c r="H137" s="22">
        <f>IF(OR(ISNUMBER(F137),ISNUMBER(G137)),C137+(0.5-E137)*(C138-C137)/(E138-E137),"")</f>
        <v>0</v>
      </c>
      <c r="I137" s="22">
        <f>IF(AND(ISNUMBER(E137),ISNUMBER($M$15)),C137-$M$15,NA())</f>
        <v>0</v>
      </c>
      <c r="J137" s="28">
        <f>IF(ISNUMBER(E137),E137,NA())</f>
        <v>0</v>
      </c>
      <c r="K137" s="22">
        <f>IF(AND(ISNUMBER(C137),ISNUMBER(C138)),SIGN(C138-C137),"")</f>
        <v>0</v>
      </c>
    </row>
    <row r="138" spans="3:11">
      <c r="C138" s="22">
        <f>IF(ISNUMBER(A138),A138*conv,"")</f>
        <v>0</v>
      </c>
      <c r="D138" s="28">
        <f>IF(ISNUMBER(B138),AVERAGE(INDEX($B$2:$B$301,MAX(1,137-semi)):INDEX($B$2:$B$301,MIN($M$2,137+semi))),"")</f>
        <v>0</v>
      </c>
      <c r="E138" s="28">
        <f>IF(AND(ISNUMBER(D138),ISNUMBER($M$4)),(D138-$M$4)/($M$5-$M$4),"")</f>
        <v>0</v>
      </c>
      <c r="F138" s="22">
        <f>IF(AND(ISNUMBER(E138),ISNUMBER(E139),ISNUMBER($M$6)),IF(AND(138&lt;$M$6,E138&lt;0.5,E139&gt;=0.5),138,""),"")</f>
        <v>0</v>
      </c>
      <c r="G138" s="22">
        <f>IF(AND(ISNUMBER(E138),ISNUMBER(E139),ISNUMBER($M$6)),IF(AND(138&gt;=$M$6,E138&gt;=0.5,E139&lt;0.5),138,""),"")</f>
        <v>0</v>
      </c>
      <c r="H138" s="22">
        <f>IF(OR(ISNUMBER(F138),ISNUMBER(G138)),C138+(0.5-E138)*(C139-C138)/(E139-E138),"")</f>
        <v>0</v>
      </c>
      <c r="I138" s="22">
        <f>IF(AND(ISNUMBER(E138),ISNUMBER($M$15)),C138-$M$15,NA())</f>
        <v>0</v>
      </c>
      <c r="J138" s="28">
        <f>IF(ISNUMBER(E138),E138,NA())</f>
        <v>0</v>
      </c>
      <c r="K138" s="22">
        <f>IF(AND(ISNUMBER(C138),ISNUMBER(C139)),SIGN(C139-C138),"")</f>
        <v>0</v>
      </c>
    </row>
    <row r="139" spans="3:11">
      <c r="C139" s="22">
        <f>IF(ISNUMBER(A139),A139*conv,"")</f>
        <v>0</v>
      </c>
      <c r="D139" s="28">
        <f>IF(ISNUMBER(B139),AVERAGE(INDEX($B$2:$B$301,MAX(1,138-semi)):INDEX($B$2:$B$301,MIN($M$2,138+semi))),"")</f>
        <v>0</v>
      </c>
      <c r="E139" s="28">
        <f>IF(AND(ISNUMBER(D139),ISNUMBER($M$4)),(D139-$M$4)/($M$5-$M$4),"")</f>
        <v>0</v>
      </c>
      <c r="F139" s="22">
        <f>IF(AND(ISNUMBER(E139),ISNUMBER(E140),ISNUMBER($M$6)),IF(AND(139&lt;$M$6,E139&lt;0.5,E140&gt;=0.5),139,""),"")</f>
        <v>0</v>
      </c>
      <c r="G139" s="22">
        <f>IF(AND(ISNUMBER(E139),ISNUMBER(E140),ISNUMBER($M$6)),IF(AND(139&gt;=$M$6,E139&gt;=0.5,E140&lt;0.5),139,""),"")</f>
        <v>0</v>
      </c>
      <c r="H139" s="22">
        <f>IF(OR(ISNUMBER(F139),ISNUMBER(G139)),C139+(0.5-E139)*(C140-C139)/(E140-E139),"")</f>
        <v>0</v>
      </c>
      <c r="I139" s="22">
        <f>IF(AND(ISNUMBER(E139),ISNUMBER($M$15)),C139-$M$15,NA())</f>
        <v>0</v>
      </c>
      <c r="J139" s="28">
        <f>IF(ISNUMBER(E139),E139,NA())</f>
        <v>0</v>
      </c>
      <c r="K139" s="22">
        <f>IF(AND(ISNUMBER(C139),ISNUMBER(C140)),SIGN(C140-C139),"")</f>
        <v>0</v>
      </c>
    </row>
    <row r="140" spans="3:11">
      <c r="C140" s="22">
        <f>IF(ISNUMBER(A140),A140*conv,"")</f>
        <v>0</v>
      </c>
      <c r="D140" s="28">
        <f>IF(ISNUMBER(B140),AVERAGE(INDEX($B$2:$B$301,MAX(1,139-semi)):INDEX($B$2:$B$301,MIN($M$2,139+semi))),"")</f>
        <v>0</v>
      </c>
      <c r="E140" s="28">
        <f>IF(AND(ISNUMBER(D140),ISNUMBER($M$4)),(D140-$M$4)/($M$5-$M$4),"")</f>
        <v>0</v>
      </c>
      <c r="F140" s="22">
        <f>IF(AND(ISNUMBER(E140),ISNUMBER(E141),ISNUMBER($M$6)),IF(AND(140&lt;$M$6,E140&lt;0.5,E141&gt;=0.5),140,""),"")</f>
        <v>0</v>
      </c>
      <c r="G140" s="22">
        <f>IF(AND(ISNUMBER(E140),ISNUMBER(E141),ISNUMBER($M$6)),IF(AND(140&gt;=$M$6,E140&gt;=0.5,E141&lt;0.5),140,""),"")</f>
        <v>0</v>
      </c>
      <c r="H140" s="22">
        <f>IF(OR(ISNUMBER(F140),ISNUMBER(G140)),C140+(0.5-E140)*(C141-C140)/(E141-E140),"")</f>
        <v>0</v>
      </c>
      <c r="I140" s="22">
        <f>IF(AND(ISNUMBER(E140),ISNUMBER($M$15)),C140-$M$15,NA())</f>
        <v>0</v>
      </c>
      <c r="J140" s="28">
        <f>IF(ISNUMBER(E140),E140,NA())</f>
        <v>0</v>
      </c>
      <c r="K140" s="22">
        <f>IF(AND(ISNUMBER(C140),ISNUMBER(C141)),SIGN(C141-C140),"")</f>
        <v>0</v>
      </c>
    </row>
    <row r="141" spans="3:11">
      <c r="C141" s="22">
        <f>IF(ISNUMBER(A141),A141*conv,"")</f>
        <v>0</v>
      </c>
      <c r="D141" s="28">
        <f>IF(ISNUMBER(B141),AVERAGE(INDEX($B$2:$B$301,MAX(1,140-semi)):INDEX($B$2:$B$301,MIN($M$2,140+semi))),"")</f>
        <v>0</v>
      </c>
      <c r="E141" s="28">
        <f>IF(AND(ISNUMBER(D141),ISNUMBER($M$4)),(D141-$M$4)/($M$5-$M$4),"")</f>
        <v>0</v>
      </c>
      <c r="F141" s="22">
        <f>IF(AND(ISNUMBER(E141),ISNUMBER(E142),ISNUMBER($M$6)),IF(AND(141&lt;$M$6,E141&lt;0.5,E142&gt;=0.5),141,""),"")</f>
        <v>0</v>
      </c>
      <c r="G141" s="22">
        <f>IF(AND(ISNUMBER(E141),ISNUMBER(E142),ISNUMBER($M$6)),IF(AND(141&gt;=$M$6,E141&gt;=0.5,E142&lt;0.5),141,""),"")</f>
        <v>0</v>
      </c>
      <c r="H141" s="22">
        <f>IF(OR(ISNUMBER(F141),ISNUMBER(G141)),C141+(0.5-E141)*(C142-C141)/(E142-E141),"")</f>
        <v>0</v>
      </c>
      <c r="I141" s="22">
        <f>IF(AND(ISNUMBER(E141),ISNUMBER($M$15)),C141-$M$15,NA())</f>
        <v>0</v>
      </c>
      <c r="J141" s="28">
        <f>IF(ISNUMBER(E141),E141,NA())</f>
        <v>0</v>
      </c>
      <c r="K141" s="22">
        <f>IF(AND(ISNUMBER(C141),ISNUMBER(C142)),SIGN(C142-C141),"")</f>
        <v>0</v>
      </c>
    </row>
    <row r="142" spans="3:11">
      <c r="C142" s="22">
        <f>IF(ISNUMBER(A142),A142*conv,"")</f>
        <v>0</v>
      </c>
      <c r="D142" s="28">
        <f>IF(ISNUMBER(B142),AVERAGE(INDEX($B$2:$B$301,MAX(1,141-semi)):INDEX($B$2:$B$301,MIN($M$2,141+semi))),"")</f>
        <v>0</v>
      </c>
      <c r="E142" s="28">
        <f>IF(AND(ISNUMBER(D142),ISNUMBER($M$4)),(D142-$M$4)/($M$5-$M$4),"")</f>
        <v>0</v>
      </c>
      <c r="F142" s="22">
        <f>IF(AND(ISNUMBER(E142),ISNUMBER(E143),ISNUMBER($M$6)),IF(AND(142&lt;$M$6,E142&lt;0.5,E143&gt;=0.5),142,""),"")</f>
        <v>0</v>
      </c>
      <c r="G142" s="22">
        <f>IF(AND(ISNUMBER(E142),ISNUMBER(E143),ISNUMBER($M$6)),IF(AND(142&gt;=$M$6,E142&gt;=0.5,E143&lt;0.5),142,""),"")</f>
        <v>0</v>
      </c>
      <c r="H142" s="22">
        <f>IF(OR(ISNUMBER(F142),ISNUMBER(G142)),C142+(0.5-E142)*(C143-C142)/(E143-E142),"")</f>
        <v>0</v>
      </c>
      <c r="I142" s="22">
        <f>IF(AND(ISNUMBER(E142),ISNUMBER($M$15)),C142-$M$15,NA())</f>
        <v>0</v>
      </c>
      <c r="J142" s="28">
        <f>IF(ISNUMBER(E142),E142,NA())</f>
        <v>0</v>
      </c>
      <c r="K142" s="22">
        <f>IF(AND(ISNUMBER(C142),ISNUMBER(C143)),SIGN(C143-C142),"")</f>
        <v>0</v>
      </c>
    </row>
    <row r="143" spans="3:11">
      <c r="C143" s="22">
        <f>IF(ISNUMBER(A143),A143*conv,"")</f>
        <v>0</v>
      </c>
      <c r="D143" s="28">
        <f>IF(ISNUMBER(B143),AVERAGE(INDEX($B$2:$B$301,MAX(1,142-semi)):INDEX($B$2:$B$301,MIN($M$2,142+semi))),"")</f>
        <v>0</v>
      </c>
      <c r="E143" s="28">
        <f>IF(AND(ISNUMBER(D143),ISNUMBER($M$4)),(D143-$M$4)/($M$5-$M$4),"")</f>
        <v>0</v>
      </c>
      <c r="F143" s="22">
        <f>IF(AND(ISNUMBER(E143),ISNUMBER(E144),ISNUMBER($M$6)),IF(AND(143&lt;$M$6,E143&lt;0.5,E144&gt;=0.5),143,""),"")</f>
        <v>0</v>
      </c>
      <c r="G143" s="22">
        <f>IF(AND(ISNUMBER(E143),ISNUMBER(E144),ISNUMBER($M$6)),IF(AND(143&gt;=$M$6,E143&gt;=0.5,E144&lt;0.5),143,""),"")</f>
        <v>0</v>
      </c>
      <c r="H143" s="22">
        <f>IF(OR(ISNUMBER(F143),ISNUMBER(G143)),C143+(0.5-E143)*(C144-C143)/(E144-E143),"")</f>
        <v>0</v>
      </c>
      <c r="I143" s="22">
        <f>IF(AND(ISNUMBER(E143),ISNUMBER($M$15)),C143-$M$15,NA())</f>
        <v>0</v>
      </c>
      <c r="J143" s="28">
        <f>IF(ISNUMBER(E143),E143,NA())</f>
        <v>0</v>
      </c>
      <c r="K143" s="22">
        <f>IF(AND(ISNUMBER(C143),ISNUMBER(C144)),SIGN(C144-C143),"")</f>
        <v>0</v>
      </c>
    </row>
    <row r="144" spans="3:11">
      <c r="C144" s="22">
        <f>IF(ISNUMBER(A144),A144*conv,"")</f>
        <v>0</v>
      </c>
      <c r="D144" s="28">
        <f>IF(ISNUMBER(B144),AVERAGE(INDEX($B$2:$B$301,MAX(1,143-semi)):INDEX($B$2:$B$301,MIN($M$2,143+semi))),"")</f>
        <v>0</v>
      </c>
      <c r="E144" s="28">
        <f>IF(AND(ISNUMBER(D144),ISNUMBER($M$4)),(D144-$M$4)/($M$5-$M$4),"")</f>
        <v>0</v>
      </c>
      <c r="F144" s="22">
        <f>IF(AND(ISNUMBER(E144),ISNUMBER(E145),ISNUMBER($M$6)),IF(AND(144&lt;$M$6,E144&lt;0.5,E145&gt;=0.5),144,""),"")</f>
        <v>0</v>
      </c>
      <c r="G144" s="22">
        <f>IF(AND(ISNUMBER(E144),ISNUMBER(E145),ISNUMBER($M$6)),IF(AND(144&gt;=$M$6,E144&gt;=0.5,E145&lt;0.5),144,""),"")</f>
        <v>0</v>
      </c>
      <c r="H144" s="22">
        <f>IF(OR(ISNUMBER(F144),ISNUMBER(G144)),C144+(0.5-E144)*(C145-C144)/(E145-E144),"")</f>
        <v>0</v>
      </c>
      <c r="I144" s="22">
        <f>IF(AND(ISNUMBER(E144),ISNUMBER($M$15)),C144-$M$15,NA())</f>
        <v>0</v>
      </c>
      <c r="J144" s="28">
        <f>IF(ISNUMBER(E144),E144,NA())</f>
        <v>0</v>
      </c>
      <c r="K144" s="22">
        <f>IF(AND(ISNUMBER(C144),ISNUMBER(C145)),SIGN(C145-C144),"")</f>
        <v>0</v>
      </c>
    </row>
    <row r="145" spans="3:11">
      <c r="C145" s="22">
        <f>IF(ISNUMBER(A145),A145*conv,"")</f>
        <v>0</v>
      </c>
      <c r="D145" s="28">
        <f>IF(ISNUMBER(B145),AVERAGE(INDEX($B$2:$B$301,MAX(1,144-semi)):INDEX($B$2:$B$301,MIN($M$2,144+semi))),"")</f>
        <v>0</v>
      </c>
      <c r="E145" s="28">
        <f>IF(AND(ISNUMBER(D145),ISNUMBER($M$4)),(D145-$M$4)/($M$5-$M$4),"")</f>
        <v>0</v>
      </c>
      <c r="F145" s="22">
        <f>IF(AND(ISNUMBER(E145),ISNUMBER(E146),ISNUMBER($M$6)),IF(AND(145&lt;$M$6,E145&lt;0.5,E146&gt;=0.5),145,""),"")</f>
        <v>0</v>
      </c>
      <c r="G145" s="22">
        <f>IF(AND(ISNUMBER(E145),ISNUMBER(E146),ISNUMBER($M$6)),IF(AND(145&gt;=$M$6,E145&gt;=0.5,E146&lt;0.5),145,""),"")</f>
        <v>0</v>
      </c>
      <c r="H145" s="22">
        <f>IF(OR(ISNUMBER(F145),ISNUMBER(G145)),C145+(0.5-E145)*(C146-C145)/(E146-E145),"")</f>
        <v>0</v>
      </c>
      <c r="I145" s="22">
        <f>IF(AND(ISNUMBER(E145),ISNUMBER($M$15)),C145-$M$15,NA())</f>
        <v>0</v>
      </c>
      <c r="J145" s="28">
        <f>IF(ISNUMBER(E145),E145,NA())</f>
        <v>0</v>
      </c>
      <c r="K145" s="22">
        <f>IF(AND(ISNUMBER(C145),ISNUMBER(C146)),SIGN(C146-C145),"")</f>
        <v>0</v>
      </c>
    </row>
    <row r="146" spans="3:11">
      <c r="C146" s="22">
        <f>IF(ISNUMBER(A146),A146*conv,"")</f>
        <v>0</v>
      </c>
      <c r="D146" s="28">
        <f>IF(ISNUMBER(B146),AVERAGE(INDEX($B$2:$B$301,MAX(1,145-semi)):INDEX($B$2:$B$301,MIN($M$2,145+semi))),"")</f>
        <v>0</v>
      </c>
      <c r="E146" s="28">
        <f>IF(AND(ISNUMBER(D146),ISNUMBER($M$4)),(D146-$M$4)/($M$5-$M$4),"")</f>
        <v>0</v>
      </c>
      <c r="F146" s="22">
        <f>IF(AND(ISNUMBER(E146),ISNUMBER(E147),ISNUMBER($M$6)),IF(AND(146&lt;$M$6,E146&lt;0.5,E147&gt;=0.5),146,""),"")</f>
        <v>0</v>
      </c>
      <c r="G146" s="22">
        <f>IF(AND(ISNUMBER(E146),ISNUMBER(E147),ISNUMBER($M$6)),IF(AND(146&gt;=$M$6,E146&gt;=0.5,E147&lt;0.5),146,""),"")</f>
        <v>0</v>
      </c>
      <c r="H146" s="22">
        <f>IF(OR(ISNUMBER(F146),ISNUMBER(G146)),C146+(0.5-E146)*(C147-C146)/(E147-E146),"")</f>
        <v>0</v>
      </c>
      <c r="I146" s="22">
        <f>IF(AND(ISNUMBER(E146),ISNUMBER($M$15)),C146-$M$15,NA())</f>
        <v>0</v>
      </c>
      <c r="J146" s="28">
        <f>IF(ISNUMBER(E146),E146,NA())</f>
        <v>0</v>
      </c>
      <c r="K146" s="22">
        <f>IF(AND(ISNUMBER(C146),ISNUMBER(C147)),SIGN(C147-C146),"")</f>
        <v>0</v>
      </c>
    </row>
    <row r="147" spans="3:11">
      <c r="C147" s="22">
        <f>IF(ISNUMBER(A147),A147*conv,"")</f>
        <v>0</v>
      </c>
      <c r="D147" s="28">
        <f>IF(ISNUMBER(B147),AVERAGE(INDEX($B$2:$B$301,MAX(1,146-semi)):INDEX($B$2:$B$301,MIN($M$2,146+semi))),"")</f>
        <v>0</v>
      </c>
      <c r="E147" s="28">
        <f>IF(AND(ISNUMBER(D147),ISNUMBER($M$4)),(D147-$M$4)/($M$5-$M$4),"")</f>
        <v>0</v>
      </c>
      <c r="F147" s="22">
        <f>IF(AND(ISNUMBER(E147),ISNUMBER(E148),ISNUMBER($M$6)),IF(AND(147&lt;$M$6,E147&lt;0.5,E148&gt;=0.5),147,""),"")</f>
        <v>0</v>
      </c>
      <c r="G147" s="22">
        <f>IF(AND(ISNUMBER(E147),ISNUMBER(E148),ISNUMBER($M$6)),IF(AND(147&gt;=$M$6,E147&gt;=0.5,E148&lt;0.5),147,""),"")</f>
        <v>0</v>
      </c>
      <c r="H147" s="22">
        <f>IF(OR(ISNUMBER(F147),ISNUMBER(G147)),C147+(0.5-E147)*(C148-C147)/(E148-E147),"")</f>
        <v>0</v>
      </c>
      <c r="I147" s="22">
        <f>IF(AND(ISNUMBER(E147),ISNUMBER($M$15)),C147-$M$15,NA())</f>
        <v>0</v>
      </c>
      <c r="J147" s="28">
        <f>IF(ISNUMBER(E147),E147,NA())</f>
        <v>0</v>
      </c>
      <c r="K147" s="22">
        <f>IF(AND(ISNUMBER(C147),ISNUMBER(C148)),SIGN(C148-C147),"")</f>
        <v>0</v>
      </c>
    </row>
    <row r="148" spans="3:11">
      <c r="C148" s="22">
        <f>IF(ISNUMBER(A148),A148*conv,"")</f>
        <v>0</v>
      </c>
      <c r="D148" s="28">
        <f>IF(ISNUMBER(B148),AVERAGE(INDEX($B$2:$B$301,MAX(1,147-semi)):INDEX($B$2:$B$301,MIN($M$2,147+semi))),"")</f>
        <v>0</v>
      </c>
      <c r="E148" s="28">
        <f>IF(AND(ISNUMBER(D148),ISNUMBER($M$4)),(D148-$M$4)/($M$5-$M$4),"")</f>
        <v>0</v>
      </c>
      <c r="F148" s="22">
        <f>IF(AND(ISNUMBER(E148),ISNUMBER(E149),ISNUMBER($M$6)),IF(AND(148&lt;$M$6,E148&lt;0.5,E149&gt;=0.5),148,""),"")</f>
        <v>0</v>
      </c>
      <c r="G148" s="22">
        <f>IF(AND(ISNUMBER(E148),ISNUMBER(E149),ISNUMBER($M$6)),IF(AND(148&gt;=$M$6,E148&gt;=0.5,E149&lt;0.5),148,""),"")</f>
        <v>0</v>
      </c>
      <c r="H148" s="22">
        <f>IF(OR(ISNUMBER(F148),ISNUMBER(G148)),C148+(0.5-E148)*(C149-C148)/(E149-E148),"")</f>
        <v>0</v>
      </c>
      <c r="I148" s="22">
        <f>IF(AND(ISNUMBER(E148),ISNUMBER($M$15)),C148-$M$15,NA())</f>
        <v>0</v>
      </c>
      <c r="J148" s="28">
        <f>IF(ISNUMBER(E148),E148,NA())</f>
        <v>0</v>
      </c>
      <c r="K148" s="22">
        <f>IF(AND(ISNUMBER(C148),ISNUMBER(C149)),SIGN(C149-C148),"")</f>
        <v>0</v>
      </c>
    </row>
    <row r="149" spans="3:11">
      <c r="C149" s="22">
        <f>IF(ISNUMBER(A149),A149*conv,"")</f>
        <v>0</v>
      </c>
      <c r="D149" s="28">
        <f>IF(ISNUMBER(B149),AVERAGE(INDEX($B$2:$B$301,MAX(1,148-semi)):INDEX($B$2:$B$301,MIN($M$2,148+semi))),"")</f>
        <v>0</v>
      </c>
      <c r="E149" s="28">
        <f>IF(AND(ISNUMBER(D149),ISNUMBER($M$4)),(D149-$M$4)/($M$5-$M$4),"")</f>
        <v>0</v>
      </c>
      <c r="F149" s="22">
        <f>IF(AND(ISNUMBER(E149),ISNUMBER(E150),ISNUMBER($M$6)),IF(AND(149&lt;$M$6,E149&lt;0.5,E150&gt;=0.5),149,""),"")</f>
        <v>0</v>
      </c>
      <c r="G149" s="22">
        <f>IF(AND(ISNUMBER(E149),ISNUMBER(E150),ISNUMBER($M$6)),IF(AND(149&gt;=$M$6,E149&gt;=0.5,E150&lt;0.5),149,""),"")</f>
        <v>0</v>
      </c>
      <c r="H149" s="22">
        <f>IF(OR(ISNUMBER(F149),ISNUMBER(G149)),C149+(0.5-E149)*(C150-C149)/(E150-E149),"")</f>
        <v>0</v>
      </c>
      <c r="I149" s="22">
        <f>IF(AND(ISNUMBER(E149),ISNUMBER($M$15)),C149-$M$15,NA())</f>
        <v>0</v>
      </c>
      <c r="J149" s="28">
        <f>IF(ISNUMBER(E149),E149,NA())</f>
        <v>0</v>
      </c>
      <c r="K149" s="22">
        <f>IF(AND(ISNUMBER(C149),ISNUMBER(C150)),SIGN(C150-C149),"")</f>
        <v>0</v>
      </c>
    </row>
    <row r="150" spans="3:11">
      <c r="C150" s="22">
        <f>IF(ISNUMBER(A150),A150*conv,"")</f>
        <v>0</v>
      </c>
      <c r="D150" s="28">
        <f>IF(ISNUMBER(B150),AVERAGE(INDEX($B$2:$B$301,MAX(1,149-semi)):INDEX($B$2:$B$301,MIN($M$2,149+semi))),"")</f>
        <v>0</v>
      </c>
      <c r="E150" s="28">
        <f>IF(AND(ISNUMBER(D150),ISNUMBER($M$4)),(D150-$M$4)/($M$5-$M$4),"")</f>
        <v>0</v>
      </c>
      <c r="F150" s="22">
        <f>IF(AND(ISNUMBER(E150),ISNUMBER(E151),ISNUMBER($M$6)),IF(AND(150&lt;$M$6,E150&lt;0.5,E151&gt;=0.5),150,""),"")</f>
        <v>0</v>
      </c>
      <c r="G150" s="22">
        <f>IF(AND(ISNUMBER(E150),ISNUMBER(E151),ISNUMBER($M$6)),IF(AND(150&gt;=$M$6,E150&gt;=0.5,E151&lt;0.5),150,""),"")</f>
        <v>0</v>
      </c>
      <c r="H150" s="22">
        <f>IF(OR(ISNUMBER(F150),ISNUMBER(G150)),C150+(0.5-E150)*(C151-C150)/(E151-E150),"")</f>
        <v>0</v>
      </c>
      <c r="I150" s="22">
        <f>IF(AND(ISNUMBER(E150),ISNUMBER($M$15)),C150-$M$15,NA())</f>
        <v>0</v>
      </c>
      <c r="J150" s="28">
        <f>IF(ISNUMBER(E150),E150,NA())</f>
        <v>0</v>
      </c>
      <c r="K150" s="22">
        <f>IF(AND(ISNUMBER(C150),ISNUMBER(C151)),SIGN(C151-C150),"")</f>
        <v>0</v>
      </c>
    </row>
    <row r="151" spans="3:11">
      <c r="C151" s="22">
        <f>IF(ISNUMBER(A151),A151*conv,"")</f>
        <v>0</v>
      </c>
      <c r="D151" s="28">
        <f>IF(ISNUMBER(B151),AVERAGE(INDEX($B$2:$B$301,MAX(1,150-semi)):INDEX($B$2:$B$301,MIN($M$2,150+semi))),"")</f>
        <v>0</v>
      </c>
      <c r="E151" s="28">
        <f>IF(AND(ISNUMBER(D151),ISNUMBER($M$4)),(D151-$M$4)/($M$5-$M$4),"")</f>
        <v>0</v>
      </c>
      <c r="F151" s="22">
        <f>IF(AND(ISNUMBER(E151),ISNUMBER(E152),ISNUMBER($M$6)),IF(AND(151&lt;$M$6,E151&lt;0.5,E152&gt;=0.5),151,""),"")</f>
        <v>0</v>
      </c>
      <c r="G151" s="22">
        <f>IF(AND(ISNUMBER(E151),ISNUMBER(E152),ISNUMBER($M$6)),IF(AND(151&gt;=$M$6,E151&gt;=0.5,E152&lt;0.5),151,""),"")</f>
        <v>0</v>
      </c>
      <c r="H151" s="22">
        <f>IF(OR(ISNUMBER(F151),ISNUMBER(G151)),C151+(0.5-E151)*(C152-C151)/(E152-E151),"")</f>
        <v>0</v>
      </c>
      <c r="I151" s="22">
        <f>IF(AND(ISNUMBER(E151),ISNUMBER($M$15)),C151-$M$15,NA())</f>
        <v>0</v>
      </c>
      <c r="J151" s="28">
        <f>IF(ISNUMBER(E151),E151,NA())</f>
        <v>0</v>
      </c>
      <c r="K151" s="22">
        <f>IF(AND(ISNUMBER(C151),ISNUMBER(C152)),SIGN(C152-C151),"")</f>
        <v>0</v>
      </c>
    </row>
    <row r="152" spans="3:11">
      <c r="C152" s="22">
        <f>IF(ISNUMBER(A152),A152*conv,"")</f>
        <v>0</v>
      </c>
      <c r="D152" s="28">
        <f>IF(ISNUMBER(B152),AVERAGE(INDEX($B$2:$B$301,MAX(1,151-semi)):INDEX($B$2:$B$301,MIN($M$2,151+semi))),"")</f>
        <v>0</v>
      </c>
      <c r="E152" s="28">
        <f>IF(AND(ISNUMBER(D152),ISNUMBER($M$4)),(D152-$M$4)/($M$5-$M$4),"")</f>
        <v>0</v>
      </c>
      <c r="F152" s="22">
        <f>IF(AND(ISNUMBER(E152),ISNUMBER(E153),ISNUMBER($M$6)),IF(AND(152&lt;$M$6,E152&lt;0.5,E153&gt;=0.5),152,""),"")</f>
        <v>0</v>
      </c>
      <c r="G152" s="22">
        <f>IF(AND(ISNUMBER(E152),ISNUMBER(E153),ISNUMBER($M$6)),IF(AND(152&gt;=$M$6,E152&gt;=0.5,E153&lt;0.5),152,""),"")</f>
        <v>0</v>
      </c>
      <c r="H152" s="22">
        <f>IF(OR(ISNUMBER(F152),ISNUMBER(G152)),C152+(0.5-E152)*(C153-C152)/(E153-E152),"")</f>
        <v>0</v>
      </c>
      <c r="I152" s="22">
        <f>IF(AND(ISNUMBER(E152),ISNUMBER($M$15)),C152-$M$15,NA())</f>
        <v>0</v>
      </c>
      <c r="J152" s="28">
        <f>IF(ISNUMBER(E152),E152,NA())</f>
        <v>0</v>
      </c>
      <c r="K152" s="22">
        <f>IF(AND(ISNUMBER(C152),ISNUMBER(C153)),SIGN(C153-C152),"")</f>
        <v>0</v>
      </c>
    </row>
    <row r="153" spans="3:11">
      <c r="C153" s="22">
        <f>IF(ISNUMBER(A153),A153*conv,"")</f>
        <v>0</v>
      </c>
      <c r="D153" s="28">
        <f>IF(ISNUMBER(B153),AVERAGE(INDEX($B$2:$B$301,MAX(1,152-semi)):INDEX($B$2:$B$301,MIN($M$2,152+semi))),"")</f>
        <v>0</v>
      </c>
      <c r="E153" s="28">
        <f>IF(AND(ISNUMBER(D153),ISNUMBER($M$4)),(D153-$M$4)/($M$5-$M$4),"")</f>
        <v>0</v>
      </c>
      <c r="F153" s="22">
        <f>IF(AND(ISNUMBER(E153),ISNUMBER(E154),ISNUMBER($M$6)),IF(AND(153&lt;$M$6,E153&lt;0.5,E154&gt;=0.5),153,""),"")</f>
        <v>0</v>
      </c>
      <c r="G153" s="22">
        <f>IF(AND(ISNUMBER(E153),ISNUMBER(E154),ISNUMBER($M$6)),IF(AND(153&gt;=$M$6,E153&gt;=0.5,E154&lt;0.5),153,""),"")</f>
        <v>0</v>
      </c>
      <c r="H153" s="22">
        <f>IF(OR(ISNUMBER(F153),ISNUMBER(G153)),C153+(0.5-E153)*(C154-C153)/(E154-E153),"")</f>
        <v>0</v>
      </c>
      <c r="I153" s="22">
        <f>IF(AND(ISNUMBER(E153),ISNUMBER($M$15)),C153-$M$15,NA())</f>
        <v>0</v>
      </c>
      <c r="J153" s="28">
        <f>IF(ISNUMBER(E153),E153,NA())</f>
        <v>0</v>
      </c>
      <c r="K153" s="22">
        <f>IF(AND(ISNUMBER(C153),ISNUMBER(C154)),SIGN(C154-C153),"")</f>
        <v>0</v>
      </c>
    </row>
    <row r="154" spans="3:11">
      <c r="C154" s="22">
        <f>IF(ISNUMBER(A154),A154*conv,"")</f>
        <v>0</v>
      </c>
      <c r="D154" s="28">
        <f>IF(ISNUMBER(B154),AVERAGE(INDEX($B$2:$B$301,MAX(1,153-semi)):INDEX($B$2:$B$301,MIN($M$2,153+semi))),"")</f>
        <v>0</v>
      </c>
      <c r="E154" s="28">
        <f>IF(AND(ISNUMBER(D154),ISNUMBER($M$4)),(D154-$M$4)/($M$5-$M$4),"")</f>
        <v>0</v>
      </c>
      <c r="F154" s="22">
        <f>IF(AND(ISNUMBER(E154),ISNUMBER(E155),ISNUMBER($M$6)),IF(AND(154&lt;$M$6,E154&lt;0.5,E155&gt;=0.5),154,""),"")</f>
        <v>0</v>
      </c>
      <c r="G154" s="22">
        <f>IF(AND(ISNUMBER(E154),ISNUMBER(E155),ISNUMBER($M$6)),IF(AND(154&gt;=$M$6,E154&gt;=0.5,E155&lt;0.5),154,""),"")</f>
        <v>0</v>
      </c>
      <c r="H154" s="22">
        <f>IF(OR(ISNUMBER(F154),ISNUMBER(G154)),C154+(0.5-E154)*(C155-C154)/(E155-E154),"")</f>
        <v>0</v>
      </c>
      <c r="I154" s="22">
        <f>IF(AND(ISNUMBER(E154),ISNUMBER($M$15)),C154-$M$15,NA())</f>
        <v>0</v>
      </c>
      <c r="J154" s="28">
        <f>IF(ISNUMBER(E154),E154,NA())</f>
        <v>0</v>
      </c>
      <c r="K154" s="22">
        <f>IF(AND(ISNUMBER(C154),ISNUMBER(C155)),SIGN(C155-C154),"")</f>
        <v>0</v>
      </c>
    </row>
    <row r="155" spans="3:11">
      <c r="C155" s="22">
        <f>IF(ISNUMBER(A155),A155*conv,"")</f>
        <v>0</v>
      </c>
      <c r="D155" s="28">
        <f>IF(ISNUMBER(B155),AVERAGE(INDEX($B$2:$B$301,MAX(1,154-semi)):INDEX($B$2:$B$301,MIN($M$2,154+semi))),"")</f>
        <v>0</v>
      </c>
      <c r="E155" s="28">
        <f>IF(AND(ISNUMBER(D155),ISNUMBER($M$4)),(D155-$M$4)/($M$5-$M$4),"")</f>
        <v>0</v>
      </c>
      <c r="F155" s="22">
        <f>IF(AND(ISNUMBER(E155),ISNUMBER(E156),ISNUMBER($M$6)),IF(AND(155&lt;$M$6,E155&lt;0.5,E156&gt;=0.5),155,""),"")</f>
        <v>0</v>
      </c>
      <c r="G155" s="22">
        <f>IF(AND(ISNUMBER(E155),ISNUMBER(E156),ISNUMBER($M$6)),IF(AND(155&gt;=$M$6,E155&gt;=0.5,E156&lt;0.5),155,""),"")</f>
        <v>0</v>
      </c>
      <c r="H155" s="22">
        <f>IF(OR(ISNUMBER(F155),ISNUMBER(G155)),C155+(0.5-E155)*(C156-C155)/(E156-E155),"")</f>
        <v>0</v>
      </c>
      <c r="I155" s="22">
        <f>IF(AND(ISNUMBER(E155),ISNUMBER($M$15)),C155-$M$15,NA())</f>
        <v>0</v>
      </c>
      <c r="J155" s="28">
        <f>IF(ISNUMBER(E155),E155,NA())</f>
        <v>0</v>
      </c>
      <c r="K155" s="22">
        <f>IF(AND(ISNUMBER(C155),ISNUMBER(C156)),SIGN(C156-C155),"")</f>
        <v>0</v>
      </c>
    </row>
    <row r="156" spans="3:11">
      <c r="C156" s="22">
        <f>IF(ISNUMBER(A156),A156*conv,"")</f>
        <v>0</v>
      </c>
      <c r="D156" s="28">
        <f>IF(ISNUMBER(B156),AVERAGE(INDEX($B$2:$B$301,MAX(1,155-semi)):INDEX($B$2:$B$301,MIN($M$2,155+semi))),"")</f>
        <v>0</v>
      </c>
      <c r="E156" s="28">
        <f>IF(AND(ISNUMBER(D156),ISNUMBER($M$4)),(D156-$M$4)/($M$5-$M$4),"")</f>
        <v>0</v>
      </c>
      <c r="F156" s="22">
        <f>IF(AND(ISNUMBER(E156),ISNUMBER(E157),ISNUMBER($M$6)),IF(AND(156&lt;$M$6,E156&lt;0.5,E157&gt;=0.5),156,""),"")</f>
        <v>0</v>
      </c>
      <c r="G156" s="22">
        <f>IF(AND(ISNUMBER(E156),ISNUMBER(E157),ISNUMBER($M$6)),IF(AND(156&gt;=$M$6,E156&gt;=0.5,E157&lt;0.5),156,""),"")</f>
        <v>0</v>
      </c>
      <c r="H156" s="22">
        <f>IF(OR(ISNUMBER(F156),ISNUMBER(G156)),C156+(0.5-E156)*(C157-C156)/(E157-E156),"")</f>
        <v>0</v>
      </c>
      <c r="I156" s="22">
        <f>IF(AND(ISNUMBER(E156),ISNUMBER($M$15)),C156-$M$15,NA())</f>
        <v>0</v>
      </c>
      <c r="J156" s="28">
        <f>IF(ISNUMBER(E156),E156,NA())</f>
        <v>0</v>
      </c>
      <c r="K156" s="22">
        <f>IF(AND(ISNUMBER(C156),ISNUMBER(C157)),SIGN(C157-C156),"")</f>
        <v>0</v>
      </c>
    </row>
    <row r="157" spans="3:11">
      <c r="C157" s="22">
        <f>IF(ISNUMBER(A157),A157*conv,"")</f>
        <v>0</v>
      </c>
      <c r="D157" s="28">
        <f>IF(ISNUMBER(B157),AVERAGE(INDEX($B$2:$B$301,MAX(1,156-semi)):INDEX($B$2:$B$301,MIN($M$2,156+semi))),"")</f>
        <v>0</v>
      </c>
      <c r="E157" s="28">
        <f>IF(AND(ISNUMBER(D157),ISNUMBER($M$4)),(D157-$M$4)/($M$5-$M$4),"")</f>
        <v>0</v>
      </c>
      <c r="F157" s="22">
        <f>IF(AND(ISNUMBER(E157),ISNUMBER(E158),ISNUMBER($M$6)),IF(AND(157&lt;$M$6,E157&lt;0.5,E158&gt;=0.5),157,""),"")</f>
        <v>0</v>
      </c>
      <c r="G157" s="22">
        <f>IF(AND(ISNUMBER(E157),ISNUMBER(E158),ISNUMBER($M$6)),IF(AND(157&gt;=$M$6,E157&gt;=0.5,E158&lt;0.5),157,""),"")</f>
        <v>0</v>
      </c>
      <c r="H157" s="22">
        <f>IF(OR(ISNUMBER(F157),ISNUMBER(G157)),C157+(0.5-E157)*(C158-C157)/(E158-E157),"")</f>
        <v>0</v>
      </c>
      <c r="I157" s="22">
        <f>IF(AND(ISNUMBER(E157),ISNUMBER($M$15)),C157-$M$15,NA())</f>
        <v>0</v>
      </c>
      <c r="J157" s="28">
        <f>IF(ISNUMBER(E157),E157,NA())</f>
        <v>0</v>
      </c>
      <c r="K157" s="22">
        <f>IF(AND(ISNUMBER(C157),ISNUMBER(C158)),SIGN(C158-C157),"")</f>
        <v>0</v>
      </c>
    </row>
    <row r="158" spans="3:11">
      <c r="C158" s="22">
        <f>IF(ISNUMBER(A158),A158*conv,"")</f>
        <v>0</v>
      </c>
      <c r="D158" s="28">
        <f>IF(ISNUMBER(B158),AVERAGE(INDEX($B$2:$B$301,MAX(1,157-semi)):INDEX($B$2:$B$301,MIN($M$2,157+semi))),"")</f>
        <v>0</v>
      </c>
      <c r="E158" s="28">
        <f>IF(AND(ISNUMBER(D158),ISNUMBER($M$4)),(D158-$M$4)/($M$5-$M$4),"")</f>
        <v>0</v>
      </c>
      <c r="F158" s="22">
        <f>IF(AND(ISNUMBER(E158),ISNUMBER(E159),ISNUMBER($M$6)),IF(AND(158&lt;$M$6,E158&lt;0.5,E159&gt;=0.5),158,""),"")</f>
        <v>0</v>
      </c>
      <c r="G158" s="22">
        <f>IF(AND(ISNUMBER(E158),ISNUMBER(E159),ISNUMBER($M$6)),IF(AND(158&gt;=$M$6,E158&gt;=0.5,E159&lt;0.5),158,""),"")</f>
        <v>0</v>
      </c>
      <c r="H158" s="22">
        <f>IF(OR(ISNUMBER(F158),ISNUMBER(G158)),C158+(0.5-E158)*(C159-C158)/(E159-E158),"")</f>
        <v>0</v>
      </c>
      <c r="I158" s="22">
        <f>IF(AND(ISNUMBER(E158),ISNUMBER($M$15)),C158-$M$15,NA())</f>
        <v>0</v>
      </c>
      <c r="J158" s="28">
        <f>IF(ISNUMBER(E158),E158,NA())</f>
        <v>0</v>
      </c>
      <c r="K158" s="22">
        <f>IF(AND(ISNUMBER(C158),ISNUMBER(C159)),SIGN(C159-C158),"")</f>
        <v>0</v>
      </c>
    </row>
    <row r="159" spans="3:11">
      <c r="C159" s="22">
        <f>IF(ISNUMBER(A159),A159*conv,"")</f>
        <v>0</v>
      </c>
      <c r="D159" s="28">
        <f>IF(ISNUMBER(B159),AVERAGE(INDEX($B$2:$B$301,MAX(1,158-semi)):INDEX($B$2:$B$301,MIN($M$2,158+semi))),"")</f>
        <v>0</v>
      </c>
      <c r="E159" s="28">
        <f>IF(AND(ISNUMBER(D159),ISNUMBER($M$4)),(D159-$M$4)/($M$5-$M$4),"")</f>
        <v>0</v>
      </c>
      <c r="F159" s="22">
        <f>IF(AND(ISNUMBER(E159),ISNUMBER(E160),ISNUMBER($M$6)),IF(AND(159&lt;$M$6,E159&lt;0.5,E160&gt;=0.5),159,""),"")</f>
        <v>0</v>
      </c>
      <c r="G159" s="22">
        <f>IF(AND(ISNUMBER(E159),ISNUMBER(E160),ISNUMBER($M$6)),IF(AND(159&gt;=$M$6,E159&gt;=0.5,E160&lt;0.5),159,""),"")</f>
        <v>0</v>
      </c>
      <c r="H159" s="22">
        <f>IF(OR(ISNUMBER(F159),ISNUMBER(G159)),C159+(0.5-E159)*(C160-C159)/(E160-E159),"")</f>
        <v>0</v>
      </c>
      <c r="I159" s="22">
        <f>IF(AND(ISNUMBER(E159),ISNUMBER($M$15)),C159-$M$15,NA())</f>
        <v>0</v>
      </c>
      <c r="J159" s="28">
        <f>IF(ISNUMBER(E159),E159,NA())</f>
        <v>0</v>
      </c>
      <c r="K159" s="22">
        <f>IF(AND(ISNUMBER(C159),ISNUMBER(C160)),SIGN(C160-C159),"")</f>
        <v>0</v>
      </c>
    </row>
    <row r="160" spans="3:11">
      <c r="C160" s="22">
        <f>IF(ISNUMBER(A160),A160*conv,"")</f>
        <v>0</v>
      </c>
      <c r="D160" s="28">
        <f>IF(ISNUMBER(B160),AVERAGE(INDEX($B$2:$B$301,MAX(1,159-semi)):INDEX($B$2:$B$301,MIN($M$2,159+semi))),"")</f>
        <v>0</v>
      </c>
      <c r="E160" s="28">
        <f>IF(AND(ISNUMBER(D160),ISNUMBER($M$4)),(D160-$M$4)/($M$5-$M$4),"")</f>
        <v>0</v>
      </c>
      <c r="F160" s="22">
        <f>IF(AND(ISNUMBER(E160),ISNUMBER(E161),ISNUMBER($M$6)),IF(AND(160&lt;$M$6,E160&lt;0.5,E161&gt;=0.5),160,""),"")</f>
        <v>0</v>
      </c>
      <c r="G160" s="22">
        <f>IF(AND(ISNUMBER(E160),ISNUMBER(E161),ISNUMBER($M$6)),IF(AND(160&gt;=$M$6,E160&gt;=0.5,E161&lt;0.5),160,""),"")</f>
        <v>0</v>
      </c>
      <c r="H160" s="22">
        <f>IF(OR(ISNUMBER(F160),ISNUMBER(G160)),C160+(0.5-E160)*(C161-C160)/(E161-E160),"")</f>
        <v>0</v>
      </c>
      <c r="I160" s="22">
        <f>IF(AND(ISNUMBER(E160),ISNUMBER($M$15)),C160-$M$15,NA())</f>
        <v>0</v>
      </c>
      <c r="J160" s="28">
        <f>IF(ISNUMBER(E160),E160,NA())</f>
        <v>0</v>
      </c>
      <c r="K160" s="22">
        <f>IF(AND(ISNUMBER(C160),ISNUMBER(C161)),SIGN(C161-C160),"")</f>
        <v>0</v>
      </c>
    </row>
    <row r="161" spans="3:11">
      <c r="C161" s="22">
        <f>IF(ISNUMBER(A161),A161*conv,"")</f>
        <v>0</v>
      </c>
      <c r="D161" s="28">
        <f>IF(ISNUMBER(B161),AVERAGE(INDEX($B$2:$B$301,MAX(1,160-semi)):INDEX($B$2:$B$301,MIN($M$2,160+semi))),"")</f>
        <v>0</v>
      </c>
      <c r="E161" s="28">
        <f>IF(AND(ISNUMBER(D161),ISNUMBER($M$4)),(D161-$M$4)/($M$5-$M$4),"")</f>
        <v>0</v>
      </c>
      <c r="F161" s="22">
        <f>IF(AND(ISNUMBER(E161),ISNUMBER(E162),ISNUMBER($M$6)),IF(AND(161&lt;$M$6,E161&lt;0.5,E162&gt;=0.5),161,""),"")</f>
        <v>0</v>
      </c>
      <c r="G161" s="22">
        <f>IF(AND(ISNUMBER(E161),ISNUMBER(E162),ISNUMBER($M$6)),IF(AND(161&gt;=$M$6,E161&gt;=0.5,E162&lt;0.5),161,""),"")</f>
        <v>0</v>
      </c>
      <c r="H161" s="22">
        <f>IF(OR(ISNUMBER(F161),ISNUMBER(G161)),C161+(0.5-E161)*(C162-C161)/(E162-E161),"")</f>
        <v>0</v>
      </c>
      <c r="I161" s="22">
        <f>IF(AND(ISNUMBER(E161),ISNUMBER($M$15)),C161-$M$15,NA())</f>
        <v>0</v>
      </c>
      <c r="J161" s="28">
        <f>IF(ISNUMBER(E161),E161,NA())</f>
        <v>0</v>
      </c>
      <c r="K161" s="22">
        <f>IF(AND(ISNUMBER(C161),ISNUMBER(C162)),SIGN(C162-C161),"")</f>
        <v>0</v>
      </c>
    </row>
    <row r="162" spans="3:11">
      <c r="C162" s="22">
        <f>IF(ISNUMBER(A162),A162*conv,"")</f>
        <v>0</v>
      </c>
      <c r="D162" s="28">
        <f>IF(ISNUMBER(B162),AVERAGE(INDEX($B$2:$B$301,MAX(1,161-semi)):INDEX($B$2:$B$301,MIN($M$2,161+semi))),"")</f>
        <v>0</v>
      </c>
      <c r="E162" s="28">
        <f>IF(AND(ISNUMBER(D162),ISNUMBER($M$4)),(D162-$M$4)/($M$5-$M$4),"")</f>
        <v>0</v>
      </c>
      <c r="F162" s="22">
        <f>IF(AND(ISNUMBER(E162),ISNUMBER(E163),ISNUMBER($M$6)),IF(AND(162&lt;$M$6,E162&lt;0.5,E163&gt;=0.5),162,""),"")</f>
        <v>0</v>
      </c>
      <c r="G162" s="22">
        <f>IF(AND(ISNUMBER(E162),ISNUMBER(E163),ISNUMBER($M$6)),IF(AND(162&gt;=$M$6,E162&gt;=0.5,E163&lt;0.5),162,""),"")</f>
        <v>0</v>
      </c>
      <c r="H162" s="22">
        <f>IF(OR(ISNUMBER(F162),ISNUMBER(G162)),C162+(0.5-E162)*(C163-C162)/(E163-E162),"")</f>
        <v>0</v>
      </c>
      <c r="I162" s="22">
        <f>IF(AND(ISNUMBER(E162),ISNUMBER($M$15)),C162-$M$15,NA())</f>
        <v>0</v>
      </c>
      <c r="J162" s="28">
        <f>IF(ISNUMBER(E162),E162,NA())</f>
        <v>0</v>
      </c>
      <c r="K162" s="22">
        <f>IF(AND(ISNUMBER(C162),ISNUMBER(C163)),SIGN(C163-C162),"")</f>
        <v>0</v>
      </c>
    </row>
    <row r="163" spans="3:11">
      <c r="C163" s="22">
        <f>IF(ISNUMBER(A163),A163*conv,"")</f>
        <v>0</v>
      </c>
      <c r="D163" s="28">
        <f>IF(ISNUMBER(B163),AVERAGE(INDEX($B$2:$B$301,MAX(1,162-semi)):INDEX($B$2:$B$301,MIN($M$2,162+semi))),"")</f>
        <v>0</v>
      </c>
      <c r="E163" s="28">
        <f>IF(AND(ISNUMBER(D163),ISNUMBER($M$4)),(D163-$M$4)/($M$5-$M$4),"")</f>
        <v>0</v>
      </c>
      <c r="F163" s="22">
        <f>IF(AND(ISNUMBER(E163),ISNUMBER(E164),ISNUMBER($M$6)),IF(AND(163&lt;$M$6,E163&lt;0.5,E164&gt;=0.5),163,""),"")</f>
        <v>0</v>
      </c>
      <c r="G163" s="22">
        <f>IF(AND(ISNUMBER(E163),ISNUMBER(E164),ISNUMBER($M$6)),IF(AND(163&gt;=$M$6,E163&gt;=0.5,E164&lt;0.5),163,""),"")</f>
        <v>0</v>
      </c>
      <c r="H163" s="22">
        <f>IF(OR(ISNUMBER(F163),ISNUMBER(G163)),C163+(0.5-E163)*(C164-C163)/(E164-E163),"")</f>
        <v>0</v>
      </c>
      <c r="I163" s="22">
        <f>IF(AND(ISNUMBER(E163),ISNUMBER($M$15)),C163-$M$15,NA())</f>
        <v>0</v>
      </c>
      <c r="J163" s="28">
        <f>IF(ISNUMBER(E163),E163,NA())</f>
        <v>0</v>
      </c>
      <c r="K163" s="22">
        <f>IF(AND(ISNUMBER(C163),ISNUMBER(C164)),SIGN(C164-C163),"")</f>
        <v>0</v>
      </c>
    </row>
    <row r="164" spans="3:11">
      <c r="C164" s="22">
        <f>IF(ISNUMBER(A164),A164*conv,"")</f>
        <v>0</v>
      </c>
      <c r="D164" s="28">
        <f>IF(ISNUMBER(B164),AVERAGE(INDEX($B$2:$B$301,MAX(1,163-semi)):INDEX($B$2:$B$301,MIN($M$2,163+semi))),"")</f>
        <v>0</v>
      </c>
      <c r="E164" s="28">
        <f>IF(AND(ISNUMBER(D164),ISNUMBER($M$4)),(D164-$M$4)/($M$5-$M$4),"")</f>
        <v>0</v>
      </c>
      <c r="F164" s="22">
        <f>IF(AND(ISNUMBER(E164),ISNUMBER(E165),ISNUMBER($M$6)),IF(AND(164&lt;$M$6,E164&lt;0.5,E165&gt;=0.5),164,""),"")</f>
        <v>0</v>
      </c>
      <c r="G164" s="22">
        <f>IF(AND(ISNUMBER(E164),ISNUMBER(E165),ISNUMBER($M$6)),IF(AND(164&gt;=$M$6,E164&gt;=0.5,E165&lt;0.5),164,""),"")</f>
        <v>0</v>
      </c>
      <c r="H164" s="22">
        <f>IF(OR(ISNUMBER(F164),ISNUMBER(G164)),C164+(0.5-E164)*(C165-C164)/(E165-E164),"")</f>
        <v>0</v>
      </c>
      <c r="I164" s="22">
        <f>IF(AND(ISNUMBER(E164),ISNUMBER($M$15)),C164-$M$15,NA())</f>
        <v>0</v>
      </c>
      <c r="J164" s="28">
        <f>IF(ISNUMBER(E164),E164,NA())</f>
        <v>0</v>
      </c>
      <c r="K164" s="22">
        <f>IF(AND(ISNUMBER(C164),ISNUMBER(C165)),SIGN(C165-C164),"")</f>
        <v>0</v>
      </c>
    </row>
    <row r="165" spans="3:11">
      <c r="C165" s="22">
        <f>IF(ISNUMBER(A165),A165*conv,"")</f>
        <v>0</v>
      </c>
      <c r="D165" s="28">
        <f>IF(ISNUMBER(B165),AVERAGE(INDEX($B$2:$B$301,MAX(1,164-semi)):INDEX($B$2:$B$301,MIN($M$2,164+semi))),"")</f>
        <v>0</v>
      </c>
      <c r="E165" s="28">
        <f>IF(AND(ISNUMBER(D165),ISNUMBER($M$4)),(D165-$M$4)/($M$5-$M$4),"")</f>
        <v>0</v>
      </c>
      <c r="F165" s="22">
        <f>IF(AND(ISNUMBER(E165),ISNUMBER(E166),ISNUMBER($M$6)),IF(AND(165&lt;$M$6,E165&lt;0.5,E166&gt;=0.5),165,""),"")</f>
        <v>0</v>
      </c>
      <c r="G165" s="22">
        <f>IF(AND(ISNUMBER(E165),ISNUMBER(E166),ISNUMBER($M$6)),IF(AND(165&gt;=$M$6,E165&gt;=0.5,E166&lt;0.5),165,""),"")</f>
        <v>0</v>
      </c>
      <c r="H165" s="22">
        <f>IF(OR(ISNUMBER(F165),ISNUMBER(G165)),C165+(0.5-E165)*(C166-C165)/(E166-E165),"")</f>
        <v>0</v>
      </c>
      <c r="I165" s="22">
        <f>IF(AND(ISNUMBER(E165),ISNUMBER($M$15)),C165-$M$15,NA())</f>
        <v>0</v>
      </c>
      <c r="J165" s="28">
        <f>IF(ISNUMBER(E165),E165,NA())</f>
        <v>0</v>
      </c>
      <c r="K165" s="22">
        <f>IF(AND(ISNUMBER(C165),ISNUMBER(C166)),SIGN(C166-C165),"")</f>
        <v>0</v>
      </c>
    </row>
    <row r="166" spans="3:11">
      <c r="C166" s="22">
        <f>IF(ISNUMBER(A166),A166*conv,"")</f>
        <v>0</v>
      </c>
      <c r="D166" s="28">
        <f>IF(ISNUMBER(B166),AVERAGE(INDEX($B$2:$B$301,MAX(1,165-semi)):INDEX($B$2:$B$301,MIN($M$2,165+semi))),"")</f>
        <v>0</v>
      </c>
      <c r="E166" s="28">
        <f>IF(AND(ISNUMBER(D166),ISNUMBER($M$4)),(D166-$M$4)/($M$5-$M$4),"")</f>
        <v>0</v>
      </c>
      <c r="F166" s="22">
        <f>IF(AND(ISNUMBER(E166),ISNUMBER(E167),ISNUMBER($M$6)),IF(AND(166&lt;$M$6,E166&lt;0.5,E167&gt;=0.5),166,""),"")</f>
        <v>0</v>
      </c>
      <c r="G166" s="22">
        <f>IF(AND(ISNUMBER(E166),ISNUMBER(E167),ISNUMBER($M$6)),IF(AND(166&gt;=$M$6,E166&gt;=0.5,E167&lt;0.5),166,""),"")</f>
        <v>0</v>
      </c>
      <c r="H166" s="22">
        <f>IF(OR(ISNUMBER(F166),ISNUMBER(G166)),C166+(0.5-E166)*(C167-C166)/(E167-E166),"")</f>
        <v>0</v>
      </c>
      <c r="I166" s="22">
        <f>IF(AND(ISNUMBER(E166),ISNUMBER($M$15)),C166-$M$15,NA())</f>
        <v>0</v>
      </c>
      <c r="J166" s="28">
        <f>IF(ISNUMBER(E166),E166,NA())</f>
        <v>0</v>
      </c>
      <c r="K166" s="22">
        <f>IF(AND(ISNUMBER(C166),ISNUMBER(C167)),SIGN(C167-C166),"")</f>
        <v>0</v>
      </c>
    </row>
    <row r="167" spans="3:11">
      <c r="C167" s="22">
        <f>IF(ISNUMBER(A167),A167*conv,"")</f>
        <v>0</v>
      </c>
      <c r="D167" s="28">
        <f>IF(ISNUMBER(B167),AVERAGE(INDEX($B$2:$B$301,MAX(1,166-semi)):INDEX($B$2:$B$301,MIN($M$2,166+semi))),"")</f>
        <v>0</v>
      </c>
      <c r="E167" s="28">
        <f>IF(AND(ISNUMBER(D167),ISNUMBER($M$4)),(D167-$M$4)/($M$5-$M$4),"")</f>
        <v>0</v>
      </c>
      <c r="F167" s="22">
        <f>IF(AND(ISNUMBER(E167),ISNUMBER(E168),ISNUMBER($M$6)),IF(AND(167&lt;$M$6,E167&lt;0.5,E168&gt;=0.5),167,""),"")</f>
        <v>0</v>
      </c>
      <c r="G167" s="22">
        <f>IF(AND(ISNUMBER(E167),ISNUMBER(E168),ISNUMBER($M$6)),IF(AND(167&gt;=$M$6,E167&gt;=0.5,E168&lt;0.5),167,""),"")</f>
        <v>0</v>
      </c>
      <c r="H167" s="22">
        <f>IF(OR(ISNUMBER(F167),ISNUMBER(G167)),C167+(0.5-E167)*(C168-C167)/(E168-E167),"")</f>
        <v>0</v>
      </c>
      <c r="I167" s="22">
        <f>IF(AND(ISNUMBER(E167),ISNUMBER($M$15)),C167-$M$15,NA())</f>
        <v>0</v>
      </c>
      <c r="J167" s="28">
        <f>IF(ISNUMBER(E167),E167,NA())</f>
        <v>0</v>
      </c>
      <c r="K167" s="22">
        <f>IF(AND(ISNUMBER(C167),ISNUMBER(C168)),SIGN(C168-C167),"")</f>
        <v>0</v>
      </c>
    </row>
    <row r="168" spans="3:11">
      <c r="C168" s="22">
        <f>IF(ISNUMBER(A168),A168*conv,"")</f>
        <v>0</v>
      </c>
      <c r="D168" s="28">
        <f>IF(ISNUMBER(B168),AVERAGE(INDEX($B$2:$B$301,MAX(1,167-semi)):INDEX($B$2:$B$301,MIN($M$2,167+semi))),"")</f>
        <v>0</v>
      </c>
      <c r="E168" s="28">
        <f>IF(AND(ISNUMBER(D168),ISNUMBER($M$4)),(D168-$M$4)/($M$5-$M$4),"")</f>
        <v>0</v>
      </c>
      <c r="F168" s="22">
        <f>IF(AND(ISNUMBER(E168),ISNUMBER(E169),ISNUMBER($M$6)),IF(AND(168&lt;$M$6,E168&lt;0.5,E169&gt;=0.5),168,""),"")</f>
        <v>0</v>
      </c>
      <c r="G168" s="22">
        <f>IF(AND(ISNUMBER(E168),ISNUMBER(E169),ISNUMBER($M$6)),IF(AND(168&gt;=$M$6,E168&gt;=0.5,E169&lt;0.5),168,""),"")</f>
        <v>0</v>
      </c>
      <c r="H168" s="22">
        <f>IF(OR(ISNUMBER(F168),ISNUMBER(G168)),C168+(0.5-E168)*(C169-C168)/(E169-E168),"")</f>
        <v>0</v>
      </c>
      <c r="I168" s="22">
        <f>IF(AND(ISNUMBER(E168),ISNUMBER($M$15)),C168-$M$15,NA())</f>
        <v>0</v>
      </c>
      <c r="J168" s="28">
        <f>IF(ISNUMBER(E168),E168,NA())</f>
        <v>0</v>
      </c>
      <c r="K168" s="22">
        <f>IF(AND(ISNUMBER(C168),ISNUMBER(C169)),SIGN(C169-C168),"")</f>
        <v>0</v>
      </c>
    </row>
    <row r="169" spans="3:11">
      <c r="C169" s="22">
        <f>IF(ISNUMBER(A169),A169*conv,"")</f>
        <v>0</v>
      </c>
      <c r="D169" s="28">
        <f>IF(ISNUMBER(B169),AVERAGE(INDEX($B$2:$B$301,MAX(1,168-semi)):INDEX($B$2:$B$301,MIN($M$2,168+semi))),"")</f>
        <v>0</v>
      </c>
      <c r="E169" s="28">
        <f>IF(AND(ISNUMBER(D169),ISNUMBER($M$4)),(D169-$M$4)/($M$5-$M$4),"")</f>
        <v>0</v>
      </c>
      <c r="F169" s="22">
        <f>IF(AND(ISNUMBER(E169),ISNUMBER(E170),ISNUMBER($M$6)),IF(AND(169&lt;$M$6,E169&lt;0.5,E170&gt;=0.5),169,""),"")</f>
        <v>0</v>
      </c>
      <c r="G169" s="22">
        <f>IF(AND(ISNUMBER(E169),ISNUMBER(E170),ISNUMBER($M$6)),IF(AND(169&gt;=$M$6,E169&gt;=0.5,E170&lt;0.5),169,""),"")</f>
        <v>0</v>
      </c>
      <c r="H169" s="22">
        <f>IF(OR(ISNUMBER(F169),ISNUMBER(G169)),C169+(0.5-E169)*(C170-C169)/(E170-E169),"")</f>
        <v>0</v>
      </c>
      <c r="I169" s="22">
        <f>IF(AND(ISNUMBER(E169),ISNUMBER($M$15)),C169-$M$15,NA())</f>
        <v>0</v>
      </c>
      <c r="J169" s="28">
        <f>IF(ISNUMBER(E169),E169,NA())</f>
        <v>0</v>
      </c>
      <c r="K169" s="22">
        <f>IF(AND(ISNUMBER(C169),ISNUMBER(C170)),SIGN(C170-C169),"")</f>
        <v>0</v>
      </c>
    </row>
    <row r="170" spans="3:11">
      <c r="C170" s="22">
        <f>IF(ISNUMBER(A170),A170*conv,"")</f>
        <v>0</v>
      </c>
      <c r="D170" s="28">
        <f>IF(ISNUMBER(B170),AVERAGE(INDEX($B$2:$B$301,MAX(1,169-semi)):INDEX($B$2:$B$301,MIN($M$2,169+semi))),"")</f>
        <v>0</v>
      </c>
      <c r="E170" s="28">
        <f>IF(AND(ISNUMBER(D170),ISNUMBER($M$4)),(D170-$M$4)/($M$5-$M$4),"")</f>
        <v>0</v>
      </c>
      <c r="F170" s="22">
        <f>IF(AND(ISNUMBER(E170),ISNUMBER(E171),ISNUMBER($M$6)),IF(AND(170&lt;$M$6,E170&lt;0.5,E171&gt;=0.5),170,""),"")</f>
        <v>0</v>
      </c>
      <c r="G170" s="22">
        <f>IF(AND(ISNUMBER(E170),ISNUMBER(E171),ISNUMBER($M$6)),IF(AND(170&gt;=$M$6,E170&gt;=0.5,E171&lt;0.5),170,""),"")</f>
        <v>0</v>
      </c>
      <c r="H170" s="22">
        <f>IF(OR(ISNUMBER(F170),ISNUMBER(G170)),C170+(0.5-E170)*(C171-C170)/(E171-E170),"")</f>
        <v>0</v>
      </c>
      <c r="I170" s="22">
        <f>IF(AND(ISNUMBER(E170),ISNUMBER($M$15)),C170-$M$15,NA())</f>
        <v>0</v>
      </c>
      <c r="J170" s="28">
        <f>IF(ISNUMBER(E170),E170,NA())</f>
        <v>0</v>
      </c>
      <c r="K170" s="22">
        <f>IF(AND(ISNUMBER(C170),ISNUMBER(C171)),SIGN(C171-C170),"")</f>
        <v>0</v>
      </c>
    </row>
    <row r="171" spans="3:11">
      <c r="C171" s="22">
        <f>IF(ISNUMBER(A171),A171*conv,"")</f>
        <v>0</v>
      </c>
      <c r="D171" s="28">
        <f>IF(ISNUMBER(B171),AVERAGE(INDEX($B$2:$B$301,MAX(1,170-semi)):INDEX($B$2:$B$301,MIN($M$2,170+semi))),"")</f>
        <v>0</v>
      </c>
      <c r="E171" s="28">
        <f>IF(AND(ISNUMBER(D171),ISNUMBER($M$4)),(D171-$M$4)/($M$5-$M$4),"")</f>
        <v>0</v>
      </c>
      <c r="F171" s="22">
        <f>IF(AND(ISNUMBER(E171),ISNUMBER(E172),ISNUMBER($M$6)),IF(AND(171&lt;$M$6,E171&lt;0.5,E172&gt;=0.5),171,""),"")</f>
        <v>0</v>
      </c>
      <c r="G171" s="22">
        <f>IF(AND(ISNUMBER(E171),ISNUMBER(E172),ISNUMBER($M$6)),IF(AND(171&gt;=$M$6,E171&gt;=0.5,E172&lt;0.5),171,""),"")</f>
        <v>0</v>
      </c>
      <c r="H171" s="22">
        <f>IF(OR(ISNUMBER(F171),ISNUMBER(G171)),C171+(0.5-E171)*(C172-C171)/(E172-E171),"")</f>
        <v>0</v>
      </c>
      <c r="I171" s="22">
        <f>IF(AND(ISNUMBER(E171),ISNUMBER($M$15)),C171-$M$15,NA())</f>
        <v>0</v>
      </c>
      <c r="J171" s="28">
        <f>IF(ISNUMBER(E171),E171,NA())</f>
        <v>0</v>
      </c>
      <c r="K171" s="22">
        <f>IF(AND(ISNUMBER(C171),ISNUMBER(C172)),SIGN(C172-C171),"")</f>
        <v>0</v>
      </c>
    </row>
    <row r="172" spans="3:11">
      <c r="C172" s="22">
        <f>IF(ISNUMBER(A172),A172*conv,"")</f>
        <v>0</v>
      </c>
      <c r="D172" s="28">
        <f>IF(ISNUMBER(B172),AVERAGE(INDEX($B$2:$B$301,MAX(1,171-semi)):INDEX($B$2:$B$301,MIN($M$2,171+semi))),"")</f>
        <v>0</v>
      </c>
      <c r="E172" s="28">
        <f>IF(AND(ISNUMBER(D172),ISNUMBER($M$4)),(D172-$M$4)/($M$5-$M$4),"")</f>
        <v>0</v>
      </c>
      <c r="F172" s="22">
        <f>IF(AND(ISNUMBER(E172),ISNUMBER(E173),ISNUMBER($M$6)),IF(AND(172&lt;$M$6,E172&lt;0.5,E173&gt;=0.5),172,""),"")</f>
        <v>0</v>
      </c>
      <c r="G172" s="22">
        <f>IF(AND(ISNUMBER(E172),ISNUMBER(E173),ISNUMBER($M$6)),IF(AND(172&gt;=$M$6,E172&gt;=0.5,E173&lt;0.5),172,""),"")</f>
        <v>0</v>
      </c>
      <c r="H172" s="22">
        <f>IF(OR(ISNUMBER(F172),ISNUMBER(G172)),C172+(0.5-E172)*(C173-C172)/(E173-E172),"")</f>
        <v>0</v>
      </c>
      <c r="I172" s="22">
        <f>IF(AND(ISNUMBER(E172),ISNUMBER($M$15)),C172-$M$15,NA())</f>
        <v>0</v>
      </c>
      <c r="J172" s="28">
        <f>IF(ISNUMBER(E172),E172,NA())</f>
        <v>0</v>
      </c>
      <c r="K172" s="22">
        <f>IF(AND(ISNUMBER(C172),ISNUMBER(C173)),SIGN(C173-C172),"")</f>
        <v>0</v>
      </c>
    </row>
    <row r="173" spans="3:11">
      <c r="C173" s="22">
        <f>IF(ISNUMBER(A173),A173*conv,"")</f>
        <v>0</v>
      </c>
      <c r="D173" s="28">
        <f>IF(ISNUMBER(B173),AVERAGE(INDEX($B$2:$B$301,MAX(1,172-semi)):INDEX($B$2:$B$301,MIN($M$2,172+semi))),"")</f>
        <v>0</v>
      </c>
      <c r="E173" s="28">
        <f>IF(AND(ISNUMBER(D173),ISNUMBER($M$4)),(D173-$M$4)/($M$5-$M$4),"")</f>
        <v>0</v>
      </c>
      <c r="F173" s="22">
        <f>IF(AND(ISNUMBER(E173),ISNUMBER(E174),ISNUMBER($M$6)),IF(AND(173&lt;$M$6,E173&lt;0.5,E174&gt;=0.5),173,""),"")</f>
        <v>0</v>
      </c>
      <c r="G173" s="22">
        <f>IF(AND(ISNUMBER(E173),ISNUMBER(E174),ISNUMBER($M$6)),IF(AND(173&gt;=$M$6,E173&gt;=0.5,E174&lt;0.5),173,""),"")</f>
        <v>0</v>
      </c>
      <c r="H173" s="22">
        <f>IF(OR(ISNUMBER(F173),ISNUMBER(G173)),C173+(0.5-E173)*(C174-C173)/(E174-E173),"")</f>
        <v>0</v>
      </c>
      <c r="I173" s="22">
        <f>IF(AND(ISNUMBER(E173),ISNUMBER($M$15)),C173-$M$15,NA())</f>
        <v>0</v>
      </c>
      <c r="J173" s="28">
        <f>IF(ISNUMBER(E173),E173,NA())</f>
        <v>0</v>
      </c>
      <c r="K173" s="22">
        <f>IF(AND(ISNUMBER(C173),ISNUMBER(C174)),SIGN(C174-C173),"")</f>
        <v>0</v>
      </c>
    </row>
    <row r="174" spans="3:11">
      <c r="C174" s="22">
        <f>IF(ISNUMBER(A174),A174*conv,"")</f>
        <v>0</v>
      </c>
      <c r="D174" s="28">
        <f>IF(ISNUMBER(B174),AVERAGE(INDEX($B$2:$B$301,MAX(1,173-semi)):INDEX($B$2:$B$301,MIN($M$2,173+semi))),"")</f>
        <v>0</v>
      </c>
      <c r="E174" s="28">
        <f>IF(AND(ISNUMBER(D174),ISNUMBER($M$4)),(D174-$M$4)/($M$5-$M$4),"")</f>
        <v>0</v>
      </c>
      <c r="F174" s="22">
        <f>IF(AND(ISNUMBER(E174),ISNUMBER(E175),ISNUMBER($M$6)),IF(AND(174&lt;$M$6,E174&lt;0.5,E175&gt;=0.5),174,""),"")</f>
        <v>0</v>
      </c>
      <c r="G174" s="22">
        <f>IF(AND(ISNUMBER(E174),ISNUMBER(E175),ISNUMBER($M$6)),IF(AND(174&gt;=$M$6,E174&gt;=0.5,E175&lt;0.5),174,""),"")</f>
        <v>0</v>
      </c>
      <c r="H174" s="22">
        <f>IF(OR(ISNUMBER(F174),ISNUMBER(G174)),C174+(0.5-E174)*(C175-C174)/(E175-E174),"")</f>
        <v>0</v>
      </c>
      <c r="I174" s="22">
        <f>IF(AND(ISNUMBER(E174),ISNUMBER($M$15)),C174-$M$15,NA())</f>
        <v>0</v>
      </c>
      <c r="J174" s="28">
        <f>IF(ISNUMBER(E174),E174,NA())</f>
        <v>0</v>
      </c>
      <c r="K174" s="22">
        <f>IF(AND(ISNUMBER(C174),ISNUMBER(C175)),SIGN(C175-C174),"")</f>
        <v>0</v>
      </c>
    </row>
    <row r="175" spans="3:11">
      <c r="C175" s="22">
        <f>IF(ISNUMBER(A175),A175*conv,"")</f>
        <v>0</v>
      </c>
      <c r="D175" s="28">
        <f>IF(ISNUMBER(B175),AVERAGE(INDEX($B$2:$B$301,MAX(1,174-semi)):INDEX($B$2:$B$301,MIN($M$2,174+semi))),"")</f>
        <v>0</v>
      </c>
      <c r="E175" s="28">
        <f>IF(AND(ISNUMBER(D175),ISNUMBER($M$4)),(D175-$M$4)/($M$5-$M$4),"")</f>
        <v>0</v>
      </c>
      <c r="F175" s="22">
        <f>IF(AND(ISNUMBER(E175),ISNUMBER(E176),ISNUMBER($M$6)),IF(AND(175&lt;$M$6,E175&lt;0.5,E176&gt;=0.5),175,""),"")</f>
        <v>0</v>
      </c>
      <c r="G175" s="22">
        <f>IF(AND(ISNUMBER(E175),ISNUMBER(E176),ISNUMBER($M$6)),IF(AND(175&gt;=$M$6,E175&gt;=0.5,E176&lt;0.5),175,""),"")</f>
        <v>0</v>
      </c>
      <c r="H175" s="22">
        <f>IF(OR(ISNUMBER(F175),ISNUMBER(G175)),C175+(0.5-E175)*(C176-C175)/(E176-E175),"")</f>
        <v>0</v>
      </c>
      <c r="I175" s="22">
        <f>IF(AND(ISNUMBER(E175),ISNUMBER($M$15)),C175-$M$15,NA())</f>
        <v>0</v>
      </c>
      <c r="J175" s="28">
        <f>IF(ISNUMBER(E175),E175,NA())</f>
        <v>0</v>
      </c>
      <c r="K175" s="22">
        <f>IF(AND(ISNUMBER(C175),ISNUMBER(C176)),SIGN(C176-C175),"")</f>
        <v>0</v>
      </c>
    </row>
    <row r="176" spans="3:11">
      <c r="C176" s="22">
        <f>IF(ISNUMBER(A176),A176*conv,"")</f>
        <v>0</v>
      </c>
      <c r="D176" s="28">
        <f>IF(ISNUMBER(B176),AVERAGE(INDEX($B$2:$B$301,MAX(1,175-semi)):INDEX($B$2:$B$301,MIN($M$2,175+semi))),"")</f>
        <v>0</v>
      </c>
      <c r="E176" s="28">
        <f>IF(AND(ISNUMBER(D176),ISNUMBER($M$4)),(D176-$M$4)/($M$5-$M$4),"")</f>
        <v>0</v>
      </c>
      <c r="F176" s="22">
        <f>IF(AND(ISNUMBER(E176),ISNUMBER(E177),ISNUMBER($M$6)),IF(AND(176&lt;$M$6,E176&lt;0.5,E177&gt;=0.5),176,""),"")</f>
        <v>0</v>
      </c>
      <c r="G176" s="22">
        <f>IF(AND(ISNUMBER(E176),ISNUMBER(E177),ISNUMBER($M$6)),IF(AND(176&gt;=$M$6,E176&gt;=0.5,E177&lt;0.5),176,""),"")</f>
        <v>0</v>
      </c>
      <c r="H176" s="22">
        <f>IF(OR(ISNUMBER(F176),ISNUMBER(G176)),C176+(0.5-E176)*(C177-C176)/(E177-E176),"")</f>
        <v>0</v>
      </c>
      <c r="I176" s="22">
        <f>IF(AND(ISNUMBER(E176),ISNUMBER($M$15)),C176-$M$15,NA())</f>
        <v>0</v>
      </c>
      <c r="J176" s="28">
        <f>IF(ISNUMBER(E176),E176,NA())</f>
        <v>0</v>
      </c>
      <c r="K176" s="22">
        <f>IF(AND(ISNUMBER(C176),ISNUMBER(C177)),SIGN(C177-C176),"")</f>
        <v>0</v>
      </c>
    </row>
    <row r="177" spans="3:11">
      <c r="C177" s="22">
        <f>IF(ISNUMBER(A177),A177*conv,"")</f>
        <v>0</v>
      </c>
      <c r="D177" s="28">
        <f>IF(ISNUMBER(B177),AVERAGE(INDEX($B$2:$B$301,MAX(1,176-semi)):INDEX($B$2:$B$301,MIN($M$2,176+semi))),"")</f>
        <v>0</v>
      </c>
      <c r="E177" s="28">
        <f>IF(AND(ISNUMBER(D177),ISNUMBER($M$4)),(D177-$M$4)/($M$5-$M$4),"")</f>
        <v>0</v>
      </c>
      <c r="F177" s="22">
        <f>IF(AND(ISNUMBER(E177),ISNUMBER(E178),ISNUMBER($M$6)),IF(AND(177&lt;$M$6,E177&lt;0.5,E178&gt;=0.5),177,""),"")</f>
        <v>0</v>
      </c>
      <c r="G177" s="22">
        <f>IF(AND(ISNUMBER(E177),ISNUMBER(E178),ISNUMBER($M$6)),IF(AND(177&gt;=$M$6,E177&gt;=0.5,E178&lt;0.5),177,""),"")</f>
        <v>0</v>
      </c>
      <c r="H177" s="22">
        <f>IF(OR(ISNUMBER(F177),ISNUMBER(G177)),C177+(0.5-E177)*(C178-C177)/(E178-E177),"")</f>
        <v>0</v>
      </c>
      <c r="I177" s="22">
        <f>IF(AND(ISNUMBER(E177),ISNUMBER($M$15)),C177-$M$15,NA())</f>
        <v>0</v>
      </c>
      <c r="J177" s="28">
        <f>IF(ISNUMBER(E177),E177,NA())</f>
        <v>0</v>
      </c>
      <c r="K177" s="22">
        <f>IF(AND(ISNUMBER(C177),ISNUMBER(C178)),SIGN(C178-C177),"")</f>
        <v>0</v>
      </c>
    </row>
    <row r="178" spans="3:11">
      <c r="C178" s="22">
        <f>IF(ISNUMBER(A178),A178*conv,"")</f>
        <v>0</v>
      </c>
      <c r="D178" s="28">
        <f>IF(ISNUMBER(B178),AVERAGE(INDEX($B$2:$B$301,MAX(1,177-semi)):INDEX($B$2:$B$301,MIN($M$2,177+semi))),"")</f>
        <v>0</v>
      </c>
      <c r="E178" s="28">
        <f>IF(AND(ISNUMBER(D178),ISNUMBER($M$4)),(D178-$M$4)/($M$5-$M$4),"")</f>
        <v>0</v>
      </c>
      <c r="F178" s="22">
        <f>IF(AND(ISNUMBER(E178),ISNUMBER(E179),ISNUMBER($M$6)),IF(AND(178&lt;$M$6,E178&lt;0.5,E179&gt;=0.5),178,""),"")</f>
        <v>0</v>
      </c>
      <c r="G178" s="22">
        <f>IF(AND(ISNUMBER(E178),ISNUMBER(E179),ISNUMBER($M$6)),IF(AND(178&gt;=$M$6,E178&gt;=0.5,E179&lt;0.5),178,""),"")</f>
        <v>0</v>
      </c>
      <c r="H178" s="22">
        <f>IF(OR(ISNUMBER(F178),ISNUMBER(G178)),C178+(0.5-E178)*(C179-C178)/(E179-E178),"")</f>
        <v>0</v>
      </c>
      <c r="I178" s="22">
        <f>IF(AND(ISNUMBER(E178),ISNUMBER($M$15)),C178-$M$15,NA())</f>
        <v>0</v>
      </c>
      <c r="J178" s="28">
        <f>IF(ISNUMBER(E178),E178,NA())</f>
        <v>0</v>
      </c>
      <c r="K178" s="22">
        <f>IF(AND(ISNUMBER(C178),ISNUMBER(C179)),SIGN(C179-C178),"")</f>
        <v>0</v>
      </c>
    </row>
    <row r="179" spans="3:11">
      <c r="C179" s="22">
        <f>IF(ISNUMBER(A179),A179*conv,"")</f>
        <v>0</v>
      </c>
      <c r="D179" s="28">
        <f>IF(ISNUMBER(B179),AVERAGE(INDEX($B$2:$B$301,MAX(1,178-semi)):INDEX($B$2:$B$301,MIN($M$2,178+semi))),"")</f>
        <v>0</v>
      </c>
      <c r="E179" s="28">
        <f>IF(AND(ISNUMBER(D179),ISNUMBER($M$4)),(D179-$M$4)/($M$5-$M$4),"")</f>
        <v>0</v>
      </c>
      <c r="F179" s="22">
        <f>IF(AND(ISNUMBER(E179),ISNUMBER(E180),ISNUMBER($M$6)),IF(AND(179&lt;$M$6,E179&lt;0.5,E180&gt;=0.5),179,""),"")</f>
        <v>0</v>
      </c>
      <c r="G179" s="22">
        <f>IF(AND(ISNUMBER(E179),ISNUMBER(E180),ISNUMBER($M$6)),IF(AND(179&gt;=$M$6,E179&gt;=0.5,E180&lt;0.5),179,""),"")</f>
        <v>0</v>
      </c>
      <c r="H179" s="22">
        <f>IF(OR(ISNUMBER(F179),ISNUMBER(G179)),C179+(0.5-E179)*(C180-C179)/(E180-E179),"")</f>
        <v>0</v>
      </c>
      <c r="I179" s="22">
        <f>IF(AND(ISNUMBER(E179),ISNUMBER($M$15)),C179-$M$15,NA())</f>
        <v>0</v>
      </c>
      <c r="J179" s="28">
        <f>IF(ISNUMBER(E179),E179,NA())</f>
        <v>0</v>
      </c>
      <c r="K179" s="22">
        <f>IF(AND(ISNUMBER(C179),ISNUMBER(C180)),SIGN(C180-C179),"")</f>
        <v>0</v>
      </c>
    </row>
    <row r="180" spans="3:11">
      <c r="C180" s="22">
        <f>IF(ISNUMBER(A180),A180*conv,"")</f>
        <v>0</v>
      </c>
      <c r="D180" s="28">
        <f>IF(ISNUMBER(B180),AVERAGE(INDEX($B$2:$B$301,MAX(1,179-semi)):INDEX($B$2:$B$301,MIN($M$2,179+semi))),"")</f>
        <v>0</v>
      </c>
      <c r="E180" s="28">
        <f>IF(AND(ISNUMBER(D180),ISNUMBER($M$4)),(D180-$M$4)/($M$5-$M$4),"")</f>
        <v>0</v>
      </c>
      <c r="F180" s="22">
        <f>IF(AND(ISNUMBER(E180),ISNUMBER(E181),ISNUMBER($M$6)),IF(AND(180&lt;$M$6,E180&lt;0.5,E181&gt;=0.5),180,""),"")</f>
        <v>0</v>
      </c>
      <c r="G180" s="22">
        <f>IF(AND(ISNUMBER(E180),ISNUMBER(E181),ISNUMBER($M$6)),IF(AND(180&gt;=$M$6,E180&gt;=0.5,E181&lt;0.5),180,""),"")</f>
        <v>0</v>
      </c>
      <c r="H180" s="22">
        <f>IF(OR(ISNUMBER(F180),ISNUMBER(G180)),C180+(0.5-E180)*(C181-C180)/(E181-E180),"")</f>
        <v>0</v>
      </c>
      <c r="I180" s="22">
        <f>IF(AND(ISNUMBER(E180),ISNUMBER($M$15)),C180-$M$15,NA())</f>
        <v>0</v>
      </c>
      <c r="J180" s="28">
        <f>IF(ISNUMBER(E180),E180,NA())</f>
        <v>0</v>
      </c>
      <c r="K180" s="22">
        <f>IF(AND(ISNUMBER(C180),ISNUMBER(C181)),SIGN(C181-C180),"")</f>
        <v>0</v>
      </c>
    </row>
    <row r="181" spans="3:11">
      <c r="C181" s="22">
        <f>IF(ISNUMBER(A181),A181*conv,"")</f>
        <v>0</v>
      </c>
      <c r="D181" s="28">
        <f>IF(ISNUMBER(B181),AVERAGE(INDEX($B$2:$B$301,MAX(1,180-semi)):INDEX($B$2:$B$301,MIN($M$2,180+semi))),"")</f>
        <v>0</v>
      </c>
      <c r="E181" s="28">
        <f>IF(AND(ISNUMBER(D181),ISNUMBER($M$4)),(D181-$M$4)/($M$5-$M$4),"")</f>
        <v>0</v>
      </c>
      <c r="F181" s="22">
        <f>IF(AND(ISNUMBER(E181),ISNUMBER(E182),ISNUMBER($M$6)),IF(AND(181&lt;$M$6,E181&lt;0.5,E182&gt;=0.5),181,""),"")</f>
        <v>0</v>
      </c>
      <c r="G181" s="22">
        <f>IF(AND(ISNUMBER(E181),ISNUMBER(E182),ISNUMBER($M$6)),IF(AND(181&gt;=$M$6,E181&gt;=0.5,E182&lt;0.5),181,""),"")</f>
        <v>0</v>
      </c>
      <c r="H181" s="22">
        <f>IF(OR(ISNUMBER(F181),ISNUMBER(G181)),C181+(0.5-E181)*(C182-C181)/(E182-E181),"")</f>
        <v>0</v>
      </c>
      <c r="I181" s="22">
        <f>IF(AND(ISNUMBER(E181),ISNUMBER($M$15)),C181-$M$15,NA())</f>
        <v>0</v>
      </c>
      <c r="J181" s="28">
        <f>IF(ISNUMBER(E181),E181,NA())</f>
        <v>0</v>
      </c>
      <c r="K181" s="22">
        <f>IF(AND(ISNUMBER(C181),ISNUMBER(C182)),SIGN(C182-C181),"")</f>
        <v>0</v>
      </c>
    </row>
    <row r="182" spans="3:11">
      <c r="C182" s="22">
        <f>IF(ISNUMBER(A182),A182*conv,"")</f>
        <v>0</v>
      </c>
      <c r="D182" s="28">
        <f>IF(ISNUMBER(B182),AVERAGE(INDEX($B$2:$B$301,MAX(1,181-semi)):INDEX($B$2:$B$301,MIN($M$2,181+semi))),"")</f>
        <v>0</v>
      </c>
      <c r="E182" s="28">
        <f>IF(AND(ISNUMBER(D182),ISNUMBER($M$4)),(D182-$M$4)/($M$5-$M$4),"")</f>
        <v>0</v>
      </c>
      <c r="F182" s="22">
        <f>IF(AND(ISNUMBER(E182),ISNUMBER(E183),ISNUMBER($M$6)),IF(AND(182&lt;$M$6,E182&lt;0.5,E183&gt;=0.5),182,""),"")</f>
        <v>0</v>
      </c>
      <c r="G182" s="22">
        <f>IF(AND(ISNUMBER(E182),ISNUMBER(E183),ISNUMBER($M$6)),IF(AND(182&gt;=$M$6,E182&gt;=0.5,E183&lt;0.5),182,""),"")</f>
        <v>0</v>
      </c>
      <c r="H182" s="22">
        <f>IF(OR(ISNUMBER(F182),ISNUMBER(G182)),C182+(0.5-E182)*(C183-C182)/(E183-E182),"")</f>
        <v>0</v>
      </c>
      <c r="I182" s="22">
        <f>IF(AND(ISNUMBER(E182),ISNUMBER($M$15)),C182-$M$15,NA())</f>
        <v>0</v>
      </c>
      <c r="J182" s="28">
        <f>IF(ISNUMBER(E182),E182,NA())</f>
        <v>0</v>
      </c>
      <c r="K182" s="22">
        <f>IF(AND(ISNUMBER(C182),ISNUMBER(C183)),SIGN(C183-C182),"")</f>
        <v>0</v>
      </c>
    </row>
    <row r="183" spans="3:11">
      <c r="C183" s="22">
        <f>IF(ISNUMBER(A183),A183*conv,"")</f>
        <v>0</v>
      </c>
      <c r="D183" s="28">
        <f>IF(ISNUMBER(B183),AVERAGE(INDEX($B$2:$B$301,MAX(1,182-semi)):INDEX($B$2:$B$301,MIN($M$2,182+semi))),"")</f>
        <v>0</v>
      </c>
      <c r="E183" s="28">
        <f>IF(AND(ISNUMBER(D183),ISNUMBER($M$4)),(D183-$M$4)/($M$5-$M$4),"")</f>
        <v>0</v>
      </c>
      <c r="F183" s="22">
        <f>IF(AND(ISNUMBER(E183),ISNUMBER(E184),ISNUMBER($M$6)),IF(AND(183&lt;$M$6,E183&lt;0.5,E184&gt;=0.5),183,""),"")</f>
        <v>0</v>
      </c>
      <c r="G183" s="22">
        <f>IF(AND(ISNUMBER(E183),ISNUMBER(E184),ISNUMBER($M$6)),IF(AND(183&gt;=$M$6,E183&gt;=0.5,E184&lt;0.5),183,""),"")</f>
        <v>0</v>
      </c>
      <c r="H183" s="22">
        <f>IF(OR(ISNUMBER(F183),ISNUMBER(G183)),C183+(0.5-E183)*(C184-C183)/(E184-E183),"")</f>
        <v>0</v>
      </c>
      <c r="I183" s="22">
        <f>IF(AND(ISNUMBER(E183),ISNUMBER($M$15)),C183-$M$15,NA())</f>
        <v>0</v>
      </c>
      <c r="J183" s="28">
        <f>IF(ISNUMBER(E183),E183,NA())</f>
        <v>0</v>
      </c>
      <c r="K183" s="22">
        <f>IF(AND(ISNUMBER(C183),ISNUMBER(C184)),SIGN(C184-C183),"")</f>
        <v>0</v>
      </c>
    </row>
    <row r="184" spans="3:11">
      <c r="C184" s="22">
        <f>IF(ISNUMBER(A184),A184*conv,"")</f>
        <v>0</v>
      </c>
      <c r="D184" s="28">
        <f>IF(ISNUMBER(B184),AVERAGE(INDEX($B$2:$B$301,MAX(1,183-semi)):INDEX($B$2:$B$301,MIN($M$2,183+semi))),"")</f>
        <v>0</v>
      </c>
      <c r="E184" s="28">
        <f>IF(AND(ISNUMBER(D184),ISNUMBER($M$4)),(D184-$M$4)/($M$5-$M$4),"")</f>
        <v>0</v>
      </c>
      <c r="F184" s="22">
        <f>IF(AND(ISNUMBER(E184),ISNUMBER(E185),ISNUMBER($M$6)),IF(AND(184&lt;$M$6,E184&lt;0.5,E185&gt;=0.5),184,""),"")</f>
        <v>0</v>
      </c>
      <c r="G184" s="22">
        <f>IF(AND(ISNUMBER(E184),ISNUMBER(E185),ISNUMBER($M$6)),IF(AND(184&gt;=$M$6,E184&gt;=0.5,E185&lt;0.5),184,""),"")</f>
        <v>0</v>
      </c>
      <c r="H184" s="22">
        <f>IF(OR(ISNUMBER(F184),ISNUMBER(G184)),C184+(0.5-E184)*(C185-C184)/(E185-E184),"")</f>
        <v>0</v>
      </c>
      <c r="I184" s="22">
        <f>IF(AND(ISNUMBER(E184),ISNUMBER($M$15)),C184-$M$15,NA())</f>
        <v>0</v>
      </c>
      <c r="J184" s="28">
        <f>IF(ISNUMBER(E184),E184,NA())</f>
        <v>0</v>
      </c>
      <c r="K184" s="22">
        <f>IF(AND(ISNUMBER(C184),ISNUMBER(C185)),SIGN(C185-C184),"")</f>
        <v>0</v>
      </c>
    </row>
    <row r="185" spans="3:11">
      <c r="C185" s="22">
        <f>IF(ISNUMBER(A185),A185*conv,"")</f>
        <v>0</v>
      </c>
      <c r="D185" s="28">
        <f>IF(ISNUMBER(B185),AVERAGE(INDEX($B$2:$B$301,MAX(1,184-semi)):INDEX($B$2:$B$301,MIN($M$2,184+semi))),"")</f>
        <v>0</v>
      </c>
      <c r="E185" s="28">
        <f>IF(AND(ISNUMBER(D185),ISNUMBER($M$4)),(D185-$M$4)/($M$5-$M$4),"")</f>
        <v>0</v>
      </c>
      <c r="F185" s="22">
        <f>IF(AND(ISNUMBER(E185),ISNUMBER(E186),ISNUMBER($M$6)),IF(AND(185&lt;$M$6,E185&lt;0.5,E186&gt;=0.5),185,""),"")</f>
        <v>0</v>
      </c>
      <c r="G185" s="22">
        <f>IF(AND(ISNUMBER(E185),ISNUMBER(E186),ISNUMBER($M$6)),IF(AND(185&gt;=$M$6,E185&gt;=0.5,E186&lt;0.5),185,""),"")</f>
        <v>0</v>
      </c>
      <c r="H185" s="22">
        <f>IF(OR(ISNUMBER(F185),ISNUMBER(G185)),C185+(0.5-E185)*(C186-C185)/(E186-E185),"")</f>
        <v>0</v>
      </c>
      <c r="I185" s="22">
        <f>IF(AND(ISNUMBER(E185),ISNUMBER($M$15)),C185-$M$15,NA())</f>
        <v>0</v>
      </c>
      <c r="J185" s="28">
        <f>IF(ISNUMBER(E185),E185,NA())</f>
        <v>0</v>
      </c>
      <c r="K185" s="22">
        <f>IF(AND(ISNUMBER(C185),ISNUMBER(C186)),SIGN(C186-C185),"")</f>
        <v>0</v>
      </c>
    </row>
    <row r="186" spans="3:11">
      <c r="C186" s="22">
        <f>IF(ISNUMBER(A186),A186*conv,"")</f>
        <v>0</v>
      </c>
      <c r="D186" s="28">
        <f>IF(ISNUMBER(B186),AVERAGE(INDEX($B$2:$B$301,MAX(1,185-semi)):INDEX($B$2:$B$301,MIN($M$2,185+semi))),"")</f>
        <v>0</v>
      </c>
      <c r="E186" s="28">
        <f>IF(AND(ISNUMBER(D186),ISNUMBER($M$4)),(D186-$M$4)/($M$5-$M$4),"")</f>
        <v>0</v>
      </c>
      <c r="F186" s="22">
        <f>IF(AND(ISNUMBER(E186),ISNUMBER(E187),ISNUMBER($M$6)),IF(AND(186&lt;$M$6,E186&lt;0.5,E187&gt;=0.5),186,""),"")</f>
        <v>0</v>
      </c>
      <c r="G186" s="22">
        <f>IF(AND(ISNUMBER(E186),ISNUMBER(E187),ISNUMBER($M$6)),IF(AND(186&gt;=$M$6,E186&gt;=0.5,E187&lt;0.5),186,""),"")</f>
        <v>0</v>
      </c>
      <c r="H186" s="22">
        <f>IF(OR(ISNUMBER(F186),ISNUMBER(G186)),C186+(0.5-E186)*(C187-C186)/(E187-E186),"")</f>
        <v>0</v>
      </c>
      <c r="I186" s="22">
        <f>IF(AND(ISNUMBER(E186),ISNUMBER($M$15)),C186-$M$15,NA())</f>
        <v>0</v>
      </c>
      <c r="J186" s="28">
        <f>IF(ISNUMBER(E186),E186,NA())</f>
        <v>0</v>
      </c>
      <c r="K186" s="22">
        <f>IF(AND(ISNUMBER(C186),ISNUMBER(C187)),SIGN(C187-C186),"")</f>
        <v>0</v>
      </c>
    </row>
    <row r="187" spans="3:11">
      <c r="C187" s="22">
        <f>IF(ISNUMBER(A187),A187*conv,"")</f>
        <v>0</v>
      </c>
      <c r="D187" s="28">
        <f>IF(ISNUMBER(B187),AVERAGE(INDEX($B$2:$B$301,MAX(1,186-semi)):INDEX($B$2:$B$301,MIN($M$2,186+semi))),"")</f>
        <v>0</v>
      </c>
      <c r="E187" s="28">
        <f>IF(AND(ISNUMBER(D187),ISNUMBER($M$4)),(D187-$M$4)/($M$5-$M$4),"")</f>
        <v>0</v>
      </c>
      <c r="F187" s="22">
        <f>IF(AND(ISNUMBER(E187),ISNUMBER(E188),ISNUMBER($M$6)),IF(AND(187&lt;$M$6,E187&lt;0.5,E188&gt;=0.5),187,""),"")</f>
        <v>0</v>
      </c>
      <c r="G187" s="22">
        <f>IF(AND(ISNUMBER(E187),ISNUMBER(E188),ISNUMBER($M$6)),IF(AND(187&gt;=$M$6,E187&gt;=0.5,E188&lt;0.5),187,""),"")</f>
        <v>0</v>
      </c>
      <c r="H187" s="22">
        <f>IF(OR(ISNUMBER(F187),ISNUMBER(G187)),C187+(0.5-E187)*(C188-C187)/(E188-E187),"")</f>
        <v>0</v>
      </c>
      <c r="I187" s="22">
        <f>IF(AND(ISNUMBER(E187),ISNUMBER($M$15)),C187-$M$15,NA())</f>
        <v>0</v>
      </c>
      <c r="J187" s="28">
        <f>IF(ISNUMBER(E187),E187,NA())</f>
        <v>0</v>
      </c>
      <c r="K187" s="22">
        <f>IF(AND(ISNUMBER(C187),ISNUMBER(C188)),SIGN(C188-C187),"")</f>
        <v>0</v>
      </c>
    </row>
    <row r="188" spans="3:11">
      <c r="C188" s="22">
        <f>IF(ISNUMBER(A188),A188*conv,"")</f>
        <v>0</v>
      </c>
      <c r="D188" s="28">
        <f>IF(ISNUMBER(B188),AVERAGE(INDEX($B$2:$B$301,MAX(1,187-semi)):INDEX($B$2:$B$301,MIN($M$2,187+semi))),"")</f>
        <v>0</v>
      </c>
      <c r="E188" s="28">
        <f>IF(AND(ISNUMBER(D188),ISNUMBER($M$4)),(D188-$M$4)/($M$5-$M$4),"")</f>
        <v>0</v>
      </c>
      <c r="F188" s="22">
        <f>IF(AND(ISNUMBER(E188),ISNUMBER(E189),ISNUMBER($M$6)),IF(AND(188&lt;$M$6,E188&lt;0.5,E189&gt;=0.5),188,""),"")</f>
        <v>0</v>
      </c>
      <c r="G188" s="22">
        <f>IF(AND(ISNUMBER(E188),ISNUMBER(E189),ISNUMBER($M$6)),IF(AND(188&gt;=$M$6,E188&gt;=0.5,E189&lt;0.5),188,""),"")</f>
        <v>0</v>
      </c>
      <c r="H188" s="22">
        <f>IF(OR(ISNUMBER(F188),ISNUMBER(G188)),C188+(0.5-E188)*(C189-C188)/(E189-E188),"")</f>
        <v>0</v>
      </c>
      <c r="I188" s="22">
        <f>IF(AND(ISNUMBER(E188),ISNUMBER($M$15)),C188-$M$15,NA())</f>
        <v>0</v>
      </c>
      <c r="J188" s="28">
        <f>IF(ISNUMBER(E188),E188,NA())</f>
        <v>0</v>
      </c>
      <c r="K188" s="22">
        <f>IF(AND(ISNUMBER(C188),ISNUMBER(C189)),SIGN(C189-C188),"")</f>
        <v>0</v>
      </c>
    </row>
    <row r="189" spans="3:11">
      <c r="C189" s="22">
        <f>IF(ISNUMBER(A189),A189*conv,"")</f>
        <v>0</v>
      </c>
      <c r="D189" s="28">
        <f>IF(ISNUMBER(B189),AVERAGE(INDEX($B$2:$B$301,MAX(1,188-semi)):INDEX($B$2:$B$301,MIN($M$2,188+semi))),"")</f>
        <v>0</v>
      </c>
      <c r="E189" s="28">
        <f>IF(AND(ISNUMBER(D189),ISNUMBER($M$4)),(D189-$M$4)/($M$5-$M$4),"")</f>
        <v>0</v>
      </c>
      <c r="F189" s="22">
        <f>IF(AND(ISNUMBER(E189),ISNUMBER(E190),ISNUMBER($M$6)),IF(AND(189&lt;$M$6,E189&lt;0.5,E190&gt;=0.5),189,""),"")</f>
        <v>0</v>
      </c>
      <c r="G189" s="22">
        <f>IF(AND(ISNUMBER(E189),ISNUMBER(E190),ISNUMBER($M$6)),IF(AND(189&gt;=$M$6,E189&gt;=0.5,E190&lt;0.5),189,""),"")</f>
        <v>0</v>
      </c>
      <c r="H189" s="22">
        <f>IF(OR(ISNUMBER(F189),ISNUMBER(G189)),C189+(0.5-E189)*(C190-C189)/(E190-E189),"")</f>
        <v>0</v>
      </c>
      <c r="I189" s="22">
        <f>IF(AND(ISNUMBER(E189),ISNUMBER($M$15)),C189-$M$15,NA())</f>
        <v>0</v>
      </c>
      <c r="J189" s="28">
        <f>IF(ISNUMBER(E189),E189,NA())</f>
        <v>0</v>
      </c>
      <c r="K189" s="22">
        <f>IF(AND(ISNUMBER(C189),ISNUMBER(C190)),SIGN(C190-C189),"")</f>
        <v>0</v>
      </c>
    </row>
    <row r="190" spans="3:11">
      <c r="C190" s="22">
        <f>IF(ISNUMBER(A190),A190*conv,"")</f>
        <v>0</v>
      </c>
      <c r="D190" s="28">
        <f>IF(ISNUMBER(B190),AVERAGE(INDEX($B$2:$B$301,MAX(1,189-semi)):INDEX($B$2:$B$301,MIN($M$2,189+semi))),"")</f>
        <v>0</v>
      </c>
      <c r="E190" s="28">
        <f>IF(AND(ISNUMBER(D190),ISNUMBER($M$4)),(D190-$M$4)/($M$5-$M$4),"")</f>
        <v>0</v>
      </c>
      <c r="F190" s="22">
        <f>IF(AND(ISNUMBER(E190),ISNUMBER(E191),ISNUMBER($M$6)),IF(AND(190&lt;$M$6,E190&lt;0.5,E191&gt;=0.5),190,""),"")</f>
        <v>0</v>
      </c>
      <c r="G190" s="22">
        <f>IF(AND(ISNUMBER(E190),ISNUMBER(E191),ISNUMBER($M$6)),IF(AND(190&gt;=$M$6,E190&gt;=0.5,E191&lt;0.5),190,""),"")</f>
        <v>0</v>
      </c>
      <c r="H190" s="22">
        <f>IF(OR(ISNUMBER(F190),ISNUMBER(G190)),C190+(0.5-E190)*(C191-C190)/(E191-E190),"")</f>
        <v>0</v>
      </c>
      <c r="I190" s="22">
        <f>IF(AND(ISNUMBER(E190),ISNUMBER($M$15)),C190-$M$15,NA())</f>
        <v>0</v>
      </c>
      <c r="J190" s="28">
        <f>IF(ISNUMBER(E190),E190,NA())</f>
        <v>0</v>
      </c>
      <c r="K190" s="22">
        <f>IF(AND(ISNUMBER(C190),ISNUMBER(C191)),SIGN(C191-C190),"")</f>
        <v>0</v>
      </c>
    </row>
    <row r="191" spans="3:11">
      <c r="C191" s="22">
        <f>IF(ISNUMBER(A191),A191*conv,"")</f>
        <v>0</v>
      </c>
      <c r="D191" s="28">
        <f>IF(ISNUMBER(B191),AVERAGE(INDEX($B$2:$B$301,MAX(1,190-semi)):INDEX($B$2:$B$301,MIN($M$2,190+semi))),"")</f>
        <v>0</v>
      </c>
      <c r="E191" s="28">
        <f>IF(AND(ISNUMBER(D191),ISNUMBER($M$4)),(D191-$M$4)/($M$5-$M$4),"")</f>
        <v>0</v>
      </c>
      <c r="F191" s="22">
        <f>IF(AND(ISNUMBER(E191),ISNUMBER(E192),ISNUMBER($M$6)),IF(AND(191&lt;$M$6,E191&lt;0.5,E192&gt;=0.5),191,""),"")</f>
        <v>0</v>
      </c>
      <c r="G191" s="22">
        <f>IF(AND(ISNUMBER(E191),ISNUMBER(E192),ISNUMBER($M$6)),IF(AND(191&gt;=$M$6,E191&gt;=0.5,E192&lt;0.5),191,""),"")</f>
        <v>0</v>
      </c>
      <c r="H191" s="22">
        <f>IF(OR(ISNUMBER(F191),ISNUMBER(G191)),C191+(0.5-E191)*(C192-C191)/(E192-E191),"")</f>
        <v>0</v>
      </c>
      <c r="I191" s="22">
        <f>IF(AND(ISNUMBER(E191),ISNUMBER($M$15)),C191-$M$15,NA())</f>
        <v>0</v>
      </c>
      <c r="J191" s="28">
        <f>IF(ISNUMBER(E191),E191,NA())</f>
        <v>0</v>
      </c>
      <c r="K191" s="22">
        <f>IF(AND(ISNUMBER(C191),ISNUMBER(C192)),SIGN(C192-C191),"")</f>
        <v>0</v>
      </c>
    </row>
    <row r="192" spans="3:11">
      <c r="C192" s="22">
        <f>IF(ISNUMBER(A192),A192*conv,"")</f>
        <v>0</v>
      </c>
      <c r="D192" s="28">
        <f>IF(ISNUMBER(B192),AVERAGE(INDEX($B$2:$B$301,MAX(1,191-semi)):INDEX($B$2:$B$301,MIN($M$2,191+semi))),"")</f>
        <v>0</v>
      </c>
      <c r="E192" s="28">
        <f>IF(AND(ISNUMBER(D192),ISNUMBER($M$4)),(D192-$M$4)/($M$5-$M$4),"")</f>
        <v>0</v>
      </c>
      <c r="F192" s="22">
        <f>IF(AND(ISNUMBER(E192),ISNUMBER(E193),ISNUMBER($M$6)),IF(AND(192&lt;$M$6,E192&lt;0.5,E193&gt;=0.5),192,""),"")</f>
        <v>0</v>
      </c>
      <c r="G192" s="22">
        <f>IF(AND(ISNUMBER(E192),ISNUMBER(E193),ISNUMBER($M$6)),IF(AND(192&gt;=$M$6,E192&gt;=0.5,E193&lt;0.5),192,""),"")</f>
        <v>0</v>
      </c>
      <c r="H192" s="22">
        <f>IF(OR(ISNUMBER(F192),ISNUMBER(G192)),C192+(0.5-E192)*(C193-C192)/(E193-E192),"")</f>
        <v>0</v>
      </c>
      <c r="I192" s="22">
        <f>IF(AND(ISNUMBER(E192),ISNUMBER($M$15)),C192-$M$15,NA())</f>
        <v>0</v>
      </c>
      <c r="J192" s="28">
        <f>IF(ISNUMBER(E192),E192,NA())</f>
        <v>0</v>
      </c>
      <c r="K192" s="22">
        <f>IF(AND(ISNUMBER(C192),ISNUMBER(C193)),SIGN(C193-C192),"")</f>
        <v>0</v>
      </c>
    </row>
    <row r="193" spans="3:11">
      <c r="C193" s="22">
        <f>IF(ISNUMBER(A193),A193*conv,"")</f>
        <v>0</v>
      </c>
      <c r="D193" s="28">
        <f>IF(ISNUMBER(B193),AVERAGE(INDEX($B$2:$B$301,MAX(1,192-semi)):INDEX($B$2:$B$301,MIN($M$2,192+semi))),"")</f>
        <v>0</v>
      </c>
      <c r="E193" s="28">
        <f>IF(AND(ISNUMBER(D193),ISNUMBER($M$4)),(D193-$M$4)/($M$5-$M$4),"")</f>
        <v>0</v>
      </c>
      <c r="F193" s="22">
        <f>IF(AND(ISNUMBER(E193),ISNUMBER(E194),ISNUMBER($M$6)),IF(AND(193&lt;$M$6,E193&lt;0.5,E194&gt;=0.5),193,""),"")</f>
        <v>0</v>
      </c>
      <c r="G193" s="22">
        <f>IF(AND(ISNUMBER(E193),ISNUMBER(E194),ISNUMBER($M$6)),IF(AND(193&gt;=$M$6,E193&gt;=0.5,E194&lt;0.5),193,""),"")</f>
        <v>0</v>
      </c>
      <c r="H193" s="22">
        <f>IF(OR(ISNUMBER(F193),ISNUMBER(G193)),C193+(0.5-E193)*(C194-C193)/(E194-E193),"")</f>
        <v>0</v>
      </c>
      <c r="I193" s="22">
        <f>IF(AND(ISNUMBER(E193),ISNUMBER($M$15)),C193-$M$15,NA())</f>
        <v>0</v>
      </c>
      <c r="J193" s="28">
        <f>IF(ISNUMBER(E193),E193,NA())</f>
        <v>0</v>
      </c>
      <c r="K193" s="22">
        <f>IF(AND(ISNUMBER(C193),ISNUMBER(C194)),SIGN(C194-C193),"")</f>
        <v>0</v>
      </c>
    </row>
    <row r="194" spans="3:11">
      <c r="C194" s="22">
        <f>IF(ISNUMBER(A194),A194*conv,"")</f>
        <v>0</v>
      </c>
      <c r="D194" s="28">
        <f>IF(ISNUMBER(B194),AVERAGE(INDEX($B$2:$B$301,MAX(1,193-semi)):INDEX($B$2:$B$301,MIN($M$2,193+semi))),"")</f>
        <v>0</v>
      </c>
      <c r="E194" s="28">
        <f>IF(AND(ISNUMBER(D194),ISNUMBER($M$4)),(D194-$M$4)/($M$5-$M$4),"")</f>
        <v>0</v>
      </c>
      <c r="F194" s="22">
        <f>IF(AND(ISNUMBER(E194),ISNUMBER(E195),ISNUMBER($M$6)),IF(AND(194&lt;$M$6,E194&lt;0.5,E195&gt;=0.5),194,""),"")</f>
        <v>0</v>
      </c>
      <c r="G194" s="22">
        <f>IF(AND(ISNUMBER(E194),ISNUMBER(E195),ISNUMBER($M$6)),IF(AND(194&gt;=$M$6,E194&gt;=0.5,E195&lt;0.5),194,""),"")</f>
        <v>0</v>
      </c>
      <c r="H194" s="22">
        <f>IF(OR(ISNUMBER(F194),ISNUMBER(G194)),C194+(0.5-E194)*(C195-C194)/(E195-E194),"")</f>
        <v>0</v>
      </c>
      <c r="I194" s="22">
        <f>IF(AND(ISNUMBER(E194),ISNUMBER($M$15)),C194-$M$15,NA())</f>
        <v>0</v>
      </c>
      <c r="J194" s="28">
        <f>IF(ISNUMBER(E194),E194,NA())</f>
        <v>0</v>
      </c>
      <c r="K194" s="22">
        <f>IF(AND(ISNUMBER(C194),ISNUMBER(C195)),SIGN(C195-C194),"")</f>
        <v>0</v>
      </c>
    </row>
    <row r="195" spans="3:11">
      <c r="C195" s="22">
        <f>IF(ISNUMBER(A195),A195*conv,"")</f>
        <v>0</v>
      </c>
      <c r="D195" s="28">
        <f>IF(ISNUMBER(B195),AVERAGE(INDEX($B$2:$B$301,MAX(1,194-semi)):INDEX($B$2:$B$301,MIN($M$2,194+semi))),"")</f>
        <v>0</v>
      </c>
      <c r="E195" s="28">
        <f>IF(AND(ISNUMBER(D195),ISNUMBER($M$4)),(D195-$M$4)/($M$5-$M$4),"")</f>
        <v>0</v>
      </c>
      <c r="F195" s="22">
        <f>IF(AND(ISNUMBER(E195),ISNUMBER(E196),ISNUMBER($M$6)),IF(AND(195&lt;$M$6,E195&lt;0.5,E196&gt;=0.5),195,""),"")</f>
        <v>0</v>
      </c>
      <c r="G195" s="22">
        <f>IF(AND(ISNUMBER(E195),ISNUMBER(E196),ISNUMBER($M$6)),IF(AND(195&gt;=$M$6,E195&gt;=0.5,E196&lt;0.5),195,""),"")</f>
        <v>0</v>
      </c>
      <c r="H195" s="22">
        <f>IF(OR(ISNUMBER(F195),ISNUMBER(G195)),C195+(0.5-E195)*(C196-C195)/(E196-E195),"")</f>
        <v>0</v>
      </c>
      <c r="I195" s="22">
        <f>IF(AND(ISNUMBER(E195),ISNUMBER($M$15)),C195-$M$15,NA())</f>
        <v>0</v>
      </c>
      <c r="J195" s="28">
        <f>IF(ISNUMBER(E195),E195,NA())</f>
        <v>0</v>
      </c>
      <c r="K195" s="22">
        <f>IF(AND(ISNUMBER(C195),ISNUMBER(C196)),SIGN(C196-C195),"")</f>
        <v>0</v>
      </c>
    </row>
    <row r="196" spans="3:11">
      <c r="C196" s="22">
        <f>IF(ISNUMBER(A196),A196*conv,"")</f>
        <v>0</v>
      </c>
      <c r="D196" s="28">
        <f>IF(ISNUMBER(B196),AVERAGE(INDEX($B$2:$B$301,MAX(1,195-semi)):INDEX($B$2:$B$301,MIN($M$2,195+semi))),"")</f>
        <v>0</v>
      </c>
      <c r="E196" s="28">
        <f>IF(AND(ISNUMBER(D196),ISNUMBER($M$4)),(D196-$M$4)/($M$5-$M$4),"")</f>
        <v>0</v>
      </c>
      <c r="F196" s="22">
        <f>IF(AND(ISNUMBER(E196),ISNUMBER(E197),ISNUMBER($M$6)),IF(AND(196&lt;$M$6,E196&lt;0.5,E197&gt;=0.5),196,""),"")</f>
        <v>0</v>
      </c>
      <c r="G196" s="22">
        <f>IF(AND(ISNUMBER(E196),ISNUMBER(E197),ISNUMBER($M$6)),IF(AND(196&gt;=$M$6,E196&gt;=0.5,E197&lt;0.5),196,""),"")</f>
        <v>0</v>
      </c>
      <c r="H196" s="22">
        <f>IF(OR(ISNUMBER(F196),ISNUMBER(G196)),C196+(0.5-E196)*(C197-C196)/(E197-E196),"")</f>
        <v>0</v>
      </c>
      <c r="I196" s="22">
        <f>IF(AND(ISNUMBER(E196),ISNUMBER($M$15)),C196-$M$15,NA())</f>
        <v>0</v>
      </c>
      <c r="J196" s="28">
        <f>IF(ISNUMBER(E196),E196,NA())</f>
        <v>0</v>
      </c>
      <c r="K196" s="22">
        <f>IF(AND(ISNUMBER(C196),ISNUMBER(C197)),SIGN(C197-C196),"")</f>
        <v>0</v>
      </c>
    </row>
    <row r="197" spans="3:11">
      <c r="C197" s="22">
        <f>IF(ISNUMBER(A197),A197*conv,"")</f>
        <v>0</v>
      </c>
      <c r="D197" s="28">
        <f>IF(ISNUMBER(B197),AVERAGE(INDEX($B$2:$B$301,MAX(1,196-semi)):INDEX($B$2:$B$301,MIN($M$2,196+semi))),"")</f>
        <v>0</v>
      </c>
      <c r="E197" s="28">
        <f>IF(AND(ISNUMBER(D197),ISNUMBER($M$4)),(D197-$M$4)/($M$5-$M$4),"")</f>
        <v>0</v>
      </c>
      <c r="F197" s="22">
        <f>IF(AND(ISNUMBER(E197),ISNUMBER(E198),ISNUMBER($M$6)),IF(AND(197&lt;$M$6,E197&lt;0.5,E198&gt;=0.5),197,""),"")</f>
        <v>0</v>
      </c>
      <c r="G197" s="22">
        <f>IF(AND(ISNUMBER(E197),ISNUMBER(E198),ISNUMBER($M$6)),IF(AND(197&gt;=$M$6,E197&gt;=0.5,E198&lt;0.5),197,""),"")</f>
        <v>0</v>
      </c>
      <c r="H197" s="22">
        <f>IF(OR(ISNUMBER(F197),ISNUMBER(G197)),C197+(0.5-E197)*(C198-C197)/(E198-E197),"")</f>
        <v>0</v>
      </c>
      <c r="I197" s="22">
        <f>IF(AND(ISNUMBER(E197),ISNUMBER($M$15)),C197-$M$15,NA())</f>
        <v>0</v>
      </c>
      <c r="J197" s="28">
        <f>IF(ISNUMBER(E197),E197,NA())</f>
        <v>0</v>
      </c>
      <c r="K197" s="22">
        <f>IF(AND(ISNUMBER(C197),ISNUMBER(C198)),SIGN(C198-C197),"")</f>
        <v>0</v>
      </c>
    </row>
    <row r="198" spans="3:11">
      <c r="C198" s="22">
        <f>IF(ISNUMBER(A198),A198*conv,"")</f>
        <v>0</v>
      </c>
      <c r="D198" s="28">
        <f>IF(ISNUMBER(B198),AVERAGE(INDEX($B$2:$B$301,MAX(1,197-semi)):INDEX($B$2:$B$301,MIN($M$2,197+semi))),"")</f>
        <v>0</v>
      </c>
      <c r="E198" s="28">
        <f>IF(AND(ISNUMBER(D198),ISNUMBER($M$4)),(D198-$M$4)/($M$5-$M$4),"")</f>
        <v>0</v>
      </c>
      <c r="F198" s="22">
        <f>IF(AND(ISNUMBER(E198),ISNUMBER(E199),ISNUMBER($M$6)),IF(AND(198&lt;$M$6,E198&lt;0.5,E199&gt;=0.5),198,""),"")</f>
        <v>0</v>
      </c>
      <c r="G198" s="22">
        <f>IF(AND(ISNUMBER(E198),ISNUMBER(E199),ISNUMBER($M$6)),IF(AND(198&gt;=$M$6,E198&gt;=0.5,E199&lt;0.5),198,""),"")</f>
        <v>0</v>
      </c>
      <c r="H198" s="22">
        <f>IF(OR(ISNUMBER(F198),ISNUMBER(G198)),C198+(0.5-E198)*(C199-C198)/(E199-E198),"")</f>
        <v>0</v>
      </c>
      <c r="I198" s="22">
        <f>IF(AND(ISNUMBER(E198),ISNUMBER($M$15)),C198-$M$15,NA())</f>
        <v>0</v>
      </c>
      <c r="J198" s="28">
        <f>IF(ISNUMBER(E198),E198,NA())</f>
        <v>0</v>
      </c>
      <c r="K198" s="22">
        <f>IF(AND(ISNUMBER(C198),ISNUMBER(C199)),SIGN(C199-C198),"")</f>
        <v>0</v>
      </c>
    </row>
    <row r="199" spans="3:11">
      <c r="C199" s="22">
        <f>IF(ISNUMBER(A199),A199*conv,"")</f>
        <v>0</v>
      </c>
      <c r="D199" s="28">
        <f>IF(ISNUMBER(B199),AVERAGE(INDEX($B$2:$B$301,MAX(1,198-semi)):INDEX($B$2:$B$301,MIN($M$2,198+semi))),"")</f>
        <v>0</v>
      </c>
      <c r="E199" s="28">
        <f>IF(AND(ISNUMBER(D199),ISNUMBER($M$4)),(D199-$M$4)/($M$5-$M$4),"")</f>
        <v>0</v>
      </c>
      <c r="F199" s="22">
        <f>IF(AND(ISNUMBER(E199),ISNUMBER(E200),ISNUMBER($M$6)),IF(AND(199&lt;$M$6,E199&lt;0.5,E200&gt;=0.5),199,""),"")</f>
        <v>0</v>
      </c>
      <c r="G199" s="22">
        <f>IF(AND(ISNUMBER(E199),ISNUMBER(E200),ISNUMBER($M$6)),IF(AND(199&gt;=$M$6,E199&gt;=0.5,E200&lt;0.5),199,""),"")</f>
        <v>0</v>
      </c>
      <c r="H199" s="22">
        <f>IF(OR(ISNUMBER(F199),ISNUMBER(G199)),C199+(0.5-E199)*(C200-C199)/(E200-E199),"")</f>
        <v>0</v>
      </c>
      <c r="I199" s="22">
        <f>IF(AND(ISNUMBER(E199),ISNUMBER($M$15)),C199-$M$15,NA())</f>
        <v>0</v>
      </c>
      <c r="J199" s="28">
        <f>IF(ISNUMBER(E199),E199,NA())</f>
        <v>0</v>
      </c>
      <c r="K199" s="22">
        <f>IF(AND(ISNUMBER(C199),ISNUMBER(C200)),SIGN(C200-C199),"")</f>
        <v>0</v>
      </c>
    </row>
    <row r="200" spans="3:11">
      <c r="C200" s="22">
        <f>IF(ISNUMBER(A200),A200*conv,"")</f>
        <v>0</v>
      </c>
      <c r="D200" s="28">
        <f>IF(ISNUMBER(B200),AVERAGE(INDEX($B$2:$B$301,MAX(1,199-semi)):INDEX($B$2:$B$301,MIN($M$2,199+semi))),"")</f>
        <v>0</v>
      </c>
      <c r="E200" s="28">
        <f>IF(AND(ISNUMBER(D200),ISNUMBER($M$4)),(D200-$M$4)/($M$5-$M$4),"")</f>
        <v>0</v>
      </c>
      <c r="F200" s="22">
        <f>IF(AND(ISNUMBER(E200),ISNUMBER(E201),ISNUMBER($M$6)),IF(AND(200&lt;$M$6,E200&lt;0.5,E201&gt;=0.5),200,""),"")</f>
        <v>0</v>
      </c>
      <c r="G200" s="22">
        <f>IF(AND(ISNUMBER(E200),ISNUMBER(E201),ISNUMBER($M$6)),IF(AND(200&gt;=$M$6,E200&gt;=0.5,E201&lt;0.5),200,""),"")</f>
        <v>0</v>
      </c>
      <c r="H200" s="22">
        <f>IF(OR(ISNUMBER(F200),ISNUMBER(G200)),C200+(0.5-E200)*(C201-C200)/(E201-E200),"")</f>
        <v>0</v>
      </c>
      <c r="I200" s="22">
        <f>IF(AND(ISNUMBER(E200),ISNUMBER($M$15)),C200-$M$15,NA())</f>
        <v>0</v>
      </c>
      <c r="J200" s="28">
        <f>IF(ISNUMBER(E200),E200,NA())</f>
        <v>0</v>
      </c>
      <c r="K200" s="22">
        <f>IF(AND(ISNUMBER(C200),ISNUMBER(C201)),SIGN(C201-C200),"")</f>
        <v>0</v>
      </c>
    </row>
    <row r="201" spans="3:11">
      <c r="C201" s="22">
        <f>IF(ISNUMBER(A201),A201*conv,"")</f>
        <v>0</v>
      </c>
      <c r="D201" s="28">
        <f>IF(ISNUMBER(B201),AVERAGE(INDEX($B$2:$B$301,MAX(1,200-semi)):INDEX($B$2:$B$301,MIN($M$2,200+semi))),"")</f>
        <v>0</v>
      </c>
      <c r="E201" s="28">
        <f>IF(AND(ISNUMBER(D201),ISNUMBER($M$4)),(D201-$M$4)/($M$5-$M$4),"")</f>
        <v>0</v>
      </c>
      <c r="F201" s="22">
        <f>IF(AND(ISNUMBER(E201),ISNUMBER(E202),ISNUMBER($M$6)),IF(AND(201&lt;$M$6,E201&lt;0.5,E202&gt;=0.5),201,""),"")</f>
        <v>0</v>
      </c>
      <c r="G201" s="22">
        <f>IF(AND(ISNUMBER(E201),ISNUMBER(E202),ISNUMBER($M$6)),IF(AND(201&gt;=$M$6,E201&gt;=0.5,E202&lt;0.5),201,""),"")</f>
        <v>0</v>
      </c>
      <c r="H201" s="22">
        <f>IF(OR(ISNUMBER(F201),ISNUMBER(G201)),C201+(0.5-E201)*(C202-C201)/(E202-E201),"")</f>
        <v>0</v>
      </c>
      <c r="I201" s="22">
        <f>IF(AND(ISNUMBER(E201),ISNUMBER($M$15)),C201-$M$15,NA())</f>
        <v>0</v>
      </c>
      <c r="J201" s="28">
        <f>IF(ISNUMBER(E201),E201,NA())</f>
        <v>0</v>
      </c>
      <c r="K201" s="22">
        <f>IF(AND(ISNUMBER(C201),ISNUMBER(C202)),SIGN(C202-C201),"")</f>
        <v>0</v>
      </c>
    </row>
    <row r="202" spans="3:11">
      <c r="C202" s="22">
        <f>IF(ISNUMBER(A202),A202*conv,"")</f>
        <v>0</v>
      </c>
      <c r="D202" s="28">
        <f>IF(ISNUMBER(B202),AVERAGE(INDEX($B$2:$B$301,MAX(1,201-semi)):INDEX($B$2:$B$301,MIN($M$2,201+semi))),"")</f>
        <v>0</v>
      </c>
      <c r="E202" s="28">
        <f>IF(AND(ISNUMBER(D202),ISNUMBER($M$4)),(D202-$M$4)/($M$5-$M$4),"")</f>
        <v>0</v>
      </c>
      <c r="F202" s="22">
        <f>IF(AND(ISNUMBER(E202),ISNUMBER(E203),ISNUMBER($M$6)),IF(AND(202&lt;$M$6,E202&lt;0.5,E203&gt;=0.5),202,""),"")</f>
        <v>0</v>
      </c>
      <c r="G202" s="22">
        <f>IF(AND(ISNUMBER(E202),ISNUMBER(E203),ISNUMBER($M$6)),IF(AND(202&gt;=$M$6,E202&gt;=0.5,E203&lt;0.5),202,""),"")</f>
        <v>0</v>
      </c>
      <c r="H202" s="22">
        <f>IF(OR(ISNUMBER(F202),ISNUMBER(G202)),C202+(0.5-E202)*(C203-C202)/(E203-E202),"")</f>
        <v>0</v>
      </c>
      <c r="I202" s="22">
        <f>IF(AND(ISNUMBER(E202),ISNUMBER($M$15)),C202-$M$15,NA())</f>
        <v>0</v>
      </c>
      <c r="J202" s="28">
        <f>IF(ISNUMBER(E202),E202,NA())</f>
        <v>0</v>
      </c>
      <c r="K202" s="22">
        <f>IF(AND(ISNUMBER(C202),ISNUMBER(C203)),SIGN(C203-C202),"")</f>
        <v>0</v>
      </c>
    </row>
    <row r="203" spans="3:11">
      <c r="C203" s="22">
        <f>IF(ISNUMBER(A203),A203*conv,"")</f>
        <v>0</v>
      </c>
      <c r="D203" s="28">
        <f>IF(ISNUMBER(B203),AVERAGE(INDEX($B$2:$B$301,MAX(1,202-semi)):INDEX($B$2:$B$301,MIN($M$2,202+semi))),"")</f>
        <v>0</v>
      </c>
      <c r="E203" s="28">
        <f>IF(AND(ISNUMBER(D203),ISNUMBER($M$4)),(D203-$M$4)/($M$5-$M$4),"")</f>
        <v>0</v>
      </c>
      <c r="F203" s="22">
        <f>IF(AND(ISNUMBER(E203),ISNUMBER(E204),ISNUMBER($M$6)),IF(AND(203&lt;$M$6,E203&lt;0.5,E204&gt;=0.5),203,""),"")</f>
        <v>0</v>
      </c>
      <c r="G203" s="22">
        <f>IF(AND(ISNUMBER(E203),ISNUMBER(E204),ISNUMBER($M$6)),IF(AND(203&gt;=$M$6,E203&gt;=0.5,E204&lt;0.5),203,""),"")</f>
        <v>0</v>
      </c>
      <c r="H203" s="22">
        <f>IF(OR(ISNUMBER(F203),ISNUMBER(G203)),C203+(0.5-E203)*(C204-C203)/(E204-E203),"")</f>
        <v>0</v>
      </c>
      <c r="I203" s="22">
        <f>IF(AND(ISNUMBER(E203),ISNUMBER($M$15)),C203-$M$15,NA())</f>
        <v>0</v>
      </c>
      <c r="J203" s="28">
        <f>IF(ISNUMBER(E203),E203,NA())</f>
        <v>0</v>
      </c>
      <c r="K203" s="22">
        <f>IF(AND(ISNUMBER(C203),ISNUMBER(C204)),SIGN(C204-C203),"")</f>
        <v>0</v>
      </c>
    </row>
    <row r="204" spans="3:11">
      <c r="C204" s="22">
        <f>IF(ISNUMBER(A204),A204*conv,"")</f>
        <v>0</v>
      </c>
      <c r="D204" s="28">
        <f>IF(ISNUMBER(B204),AVERAGE(INDEX($B$2:$B$301,MAX(1,203-semi)):INDEX($B$2:$B$301,MIN($M$2,203+semi))),"")</f>
        <v>0</v>
      </c>
      <c r="E204" s="28">
        <f>IF(AND(ISNUMBER(D204),ISNUMBER($M$4)),(D204-$M$4)/($M$5-$M$4),"")</f>
        <v>0</v>
      </c>
      <c r="F204" s="22">
        <f>IF(AND(ISNUMBER(E204),ISNUMBER(E205),ISNUMBER($M$6)),IF(AND(204&lt;$M$6,E204&lt;0.5,E205&gt;=0.5),204,""),"")</f>
        <v>0</v>
      </c>
      <c r="G204" s="22">
        <f>IF(AND(ISNUMBER(E204),ISNUMBER(E205),ISNUMBER($M$6)),IF(AND(204&gt;=$M$6,E204&gt;=0.5,E205&lt;0.5),204,""),"")</f>
        <v>0</v>
      </c>
      <c r="H204" s="22">
        <f>IF(OR(ISNUMBER(F204),ISNUMBER(G204)),C204+(0.5-E204)*(C205-C204)/(E205-E204),"")</f>
        <v>0</v>
      </c>
      <c r="I204" s="22">
        <f>IF(AND(ISNUMBER(E204),ISNUMBER($M$15)),C204-$M$15,NA())</f>
        <v>0</v>
      </c>
      <c r="J204" s="28">
        <f>IF(ISNUMBER(E204),E204,NA())</f>
        <v>0</v>
      </c>
      <c r="K204" s="22">
        <f>IF(AND(ISNUMBER(C204),ISNUMBER(C205)),SIGN(C205-C204),"")</f>
        <v>0</v>
      </c>
    </row>
    <row r="205" spans="3:11">
      <c r="C205" s="22">
        <f>IF(ISNUMBER(A205),A205*conv,"")</f>
        <v>0</v>
      </c>
      <c r="D205" s="28">
        <f>IF(ISNUMBER(B205),AVERAGE(INDEX($B$2:$B$301,MAX(1,204-semi)):INDEX($B$2:$B$301,MIN($M$2,204+semi))),"")</f>
        <v>0</v>
      </c>
      <c r="E205" s="28">
        <f>IF(AND(ISNUMBER(D205),ISNUMBER($M$4)),(D205-$M$4)/($M$5-$M$4),"")</f>
        <v>0</v>
      </c>
      <c r="F205" s="22">
        <f>IF(AND(ISNUMBER(E205),ISNUMBER(E206),ISNUMBER($M$6)),IF(AND(205&lt;$M$6,E205&lt;0.5,E206&gt;=0.5),205,""),"")</f>
        <v>0</v>
      </c>
      <c r="G205" s="22">
        <f>IF(AND(ISNUMBER(E205),ISNUMBER(E206),ISNUMBER($M$6)),IF(AND(205&gt;=$M$6,E205&gt;=0.5,E206&lt;0.5),205,""),"")</f>
        <v>0</v>
      </c>
      <c r="H205" s="22">
        <f>IF(OR(ISNUMBER(F205),ISNUMBER(G205)),C205+(0.5-E205)*(C206-C205)/(E206-E205),"")</f>
        <v>0</v>
      </c>
      <c r="I205" s="22">
        <f>IF(AND(ISNUMBER(E205),ISNUMBER($M$15)),C205-$M$15,NA())</f>
        <v>0</v>
      </c>
      <c r="J205" s="28">
        <f>IF(ISNUMBER(E205),E205,NA())</f>
        <v>0</v>
      </c>
      <c r="K205" s="22">
        <f>IF(AND(ISNUMBER(C205),ISNUMBER(C206)),SIGN(C206-C205),"")</f>
        <v>0</v>
      </c>
    </row>
    <row r="206" spans="3:11">
      <c r="C206" s="22">
        <f>IF(ISNUMBER(A206),A206*conv,"")</f>
        <v>0</v>
      </c>
      <c r="D206" s="28">
        <f>IF(ISNUMBER(B206),AVERAGE(INDEX($B$2:$B$301,MAX(1,205-semi)):INDEX($B$2:$B$301,MIN($M$2,205+semi))),"")</f>
        <v>0</v>
      </c>
      <c r="E206" s="28">
        <f>IF(AND(ISNUMBER(D206),ISNUMBER($M$4)),(D206-$M$4)/($M$5-$M$4),"")</f>
        <v>0</v>
      </c>
      <c r="F206" s="22">
        <f>IF(AND(ISNUMBER(E206),ISNUMBER(E207),ISNUMBER($M$6)),IF(AND(206&lt;$M$6,E206&lt;0.5,E207&gt;=0.5),206,""),"")</f>
        <v>0</v>
      </c>
      <c r="G206" s="22">
        <f>IF(AND(ISNUMBER(E206),ISNUMBER(E207),ISNUMBER($M$6)),IF(AND(206&gt;=$M$6,E206&gt;=0.5,E207&lt;0.5),206,""),"")</f>
        <v>0</v>
      </c>
      <c r="H206" s="22">
        <f>IF(OR(ISNUMBER(F206),ISNUMBER(G206)),C206+(0.5-E206)*(C207-C206)/(E207-E206),"")</f>
        <v>0</v>
      </c>
      <c r="I206" s="22">
        <f>IF(AND(ISNUMBER(E206),ISNUMBER($M$15)),C206-$M$15,NA())</f>
        <v>0</v>
      </c>
      <c r="J206" s="28">
        <f>IF(ISNUMBER(E206),E206,NA())</f>
        <v>0</v>
      </c>
      <c r="K206" s="22">
        <f>IF(AND(ISNUMBER(C206),ISNUMBER(C207)),SIGN(C207-C206),"")</f>
        <v>0</v>
      </c>
    </row>
    <row r="207" spans="3:11">
      <c r="C207" s="22">
        <f>IF(ISNUMBER(A207),A207*conv,"")</f>
        <v>0</v>
      </c>
      <c r="D207" s="28">
        <f>IF(ISNUMBER(B207),AVERAGE(INDEX($B$2:$B$301,MAX(1,206-semi)):INDEX($B$2:$B$301,MIN($M$2,206+semi))),"")</f>
        <v>0</v>
      </c>
      <c r="E207" s="28">
        <f>IF(AND(ISNUMBER(D207),ISNUMBER($M$4)),(D207-$M$4)/($M$5-$M$4),"")</f>
        <v>0</v>
      </c>
      <c r="F207" s="22">
        <f>IF(AND(ISNUMBER(E207),ISNUMBER(E208),ISNUMBER($M$6)),IF(AND(207&lt;$M$6,E207&lt;0.5,E208&gt;=0.5),207,""),"")</f>
        <v>0</v>
      </c>
      <c r="G207" s="22">
        <f>IF(AND(ISNUMBER(E207),ISNUMBER(E208),ISNUMBER($M$6)),IF(AND(207&gt;=$M$6,E207&gt;=0.5,E208&lt;0.5),207,""),"")</f>
        <v>0</v>
      </c>
      <c r="H207" s="22">
        <f>IF(OR(ISNUMBER(F207),ISNUMBER(G207)),C207+(0.5-E207)*(C208-C207)/(E208-E207),"")</f>
        <v>0</v>
      </c>
      <c r="I207" s="22">
        <f>IF(AND(ISNUMBER(E207),ISNUMBER($M$15)),C207-$M$15,NA())</f>
        <v>0</v>
      </c>
      <c r="J207" s="28">
        <f>IF(ISNUMBER(E207),E207,NA())</f>
        <v>0</v>
      </c>
      <c r="K207" s="22">
        <f>IF(AND(ISNUMBER(C207),ISNUMBER(C208)),SIGN(C208-C207),"")</f>
        <v>0</v>
      </c>
    </row>
    <row r="208" spans="3:11">
      <c r="C208" s="22">
        <f>IF(ISNUMBER(A208),A208*conv,"")</f>
        <v>0</v>
      </c>
      <c r="D208" s="28">
        <f>IF(ISNUMBER(B208),AVERAGE(INDEX($B$2:$B$301,MAX(1,207-semi)):INDEX($B$2:$B$301,MIN($M$2,207+semi))),"")</f>
        <v>0</v>
      </c>
      <c r="E208" s="28">
        <f>IF(AND(ISNUMBER(D208),ISNUMBER($M$4)),(D208-$M$4)/($M$5-$M$4),"")</f>
        <v>0</v>
      </c>
      <c r="F208" s="22">
        <f>IF(AND(ISNUMBER(E208),ISNUMBER(E209),ISNUMBER($M$6)),IF(AND(208&lt;$M$6,E208&lt;0.5,E209&gt;=0.5),208,""),"")</f>
        <v>0</v>
      </c>
      <c r="G208" s="22">
        <f>IF(AND(ISNUMBER(E208),ISNUMBER(E209),ISNUMBER($M$6)),IF(AND(208&gt;=$M$6,E208&gt;=0.5,E209&lt;0.5),208,""),"")</f>
        <v>0</v>
      </c>
      <c r="H208" s="22">
        <f>IF(OR(ISNUMBER(F208),ISNUMBER(G208)),C208+(0.5-E208)*(C209-C208)/(E209-E208),"")</f>
        <v>0</v>
      </c>
      <c r="I208" s="22">
        <f>IF(AND(ISNUMBER(E208),ISNUMBER($M$15)),C208-$M$15,NA())</f>
        <v>0</v>
      </c>
      <c r="J208" s="28">
        <f>IF(ISNUMBER(E208),E208,NA())</f>
        <v>0</v>
      </c>
      <c r="K208" s="22">
        <f>IF(AND(ISNUMBER(C208),ISNUMBER(C209)),SIGN(C209-C208),"")</f>
        <v>0</v>
      </c>
    </row>
    <row r="209" spans="3:11">
      <c r="C209" s="22">
        <f>IF(ISNUMBER(A209),A209*conv,"")</f>
        <v>0</v>
      </c>
      <c r="D209" s="28">
        <f>IF(ISNUMBER(B209),AVERAGE(INDEX($B$2:$B$301,MAX(1,208-semi)):INDEX($B$2:$B$301,MIN($M$2,208+semi))),"")</f>
        <v>0</v>
      </c>
      <c r="E209" s="28">
        <f>IF(AND(ISNUMBER(D209),ISNUMBER($M$4)),(D209-$M$4)/($M$5-$M$4),"")</f>
        <v>0</v>
      </c>
      <c r="F209" s="22">
        <f>IF(AND(ISNUMBER(E209),ISNUMBER(E210),ISNUMBER($M$6)),IF(AND(209&lt;$M$6,E209&lt;0.5,E210&gt;=0.5),209,""),"")</f>
        <v>0</v>
      </c>
      <c r="G209" s="22">
        <f>IF(AND(ISNUMBER(E209),ISNUMBER(E210),ISNUMBER($M$6)),IF(AND(209&gt;=$M$6,E209&gt;=0.5,E210&lt;0.5),209,""),"")</f>
        <v>0</v>
      </c>
      <c r="H209" s="22">
        <f>IF(OR(ISNUMBER(F209),ISNUMBER(G209)),C209+(0.5-E209)*(C210-C209)/(E210-E209),"")</f>
        <v>0</v>
      </c>
      <c r="I209" s="22">
        <f>IF(AND(ISNUMBER(E209),ISNUMBER($M$15)),C209-$M$15,NA())</f>
        <v>0</v>
      </c>
      <c r="J209" s="28">
        <f>IF(ISNUMBER(E209),E209,NA())</f>
        <v>0</v>
      </c>
      <c r="K209" s="22">
        <f>IF(AND(ISNUMBER(C209),ISNUMBER(C210)),SIGN(C210-C209),"")</f>
        <v>0</v>
      </c>
    </row>
    <row r="210" spans="3:11">
      <c r="C210" s="22">
        <f>IF(ISNUMBER(A210),A210*conv,"")</f>
        <v>0</v>
      </c>
      <c r="D210" s="28">
        <f>IF(ISNUMBER(B210),AVERAGE(INDEX($B$2:$B$301,MAX(1,209-semi)):INDEX($B$2:$B$301,MIN($M$2,209+semi))),"")</f>
        <v>0</v>
      </c>
      <c r="E210" s="28">
        <f>IF(AND(ISNUMBER(D210),ISNUMBER($M$4)),(D210-$M$4)/($M$5-$M$4),"")</f>
        <v>0</v>
      </c>
      <c r="F210" s="22">
        <f>IF(AND(ISNUMBER(E210),ISNUMBER(E211),ISNUMBER($M$6)),IF(AND(210&lt;$M$6,E210&lt;0.5,E211&gt;=0.5),210,""),"")</f>
        <v>0</v>
      </c>
      <c r="G210" s="22">
        <f>IF(AND(ISNUMBER(E210),ISNUMBER(E211),ISNUMBER($M$6)),IF(AND(210&gt;=$M$6,E210&gt;=0.5,E211&lt;0.5),210,""),"")</f>
        <v>0</v>
      </c>
      <c r="H210" s="22">
        <f>IF(OR(ISNUMBER(F210),ISNUMBER(G210)),C210+(0.5-E210)*(C211-C210)/(E211-E210),"")</f>
        <v>0</v>
      </c>
      <c r="I210" s="22">
        <f>IF(AND(ISNUMBER(E210),ISNUMBER($M$15)),C210-$M$15,NA())</f>
        <v>0</v>
      </c>
      <c r="J210" s="28">
        <f>IF(ISNUMBER(E210),E210,NA())</f>
        <v>0</v>
      </c>
      <c r="K210" s="22">
        <f>IF(AND(ISNUMBER(C210),ISNUMBER(C211)),SIGN(C211-C210),"")</f>
        <v>0</v>
      </c>
    </row>
    <row r="211" spans="3:11">
      <c r="C211" s="22">
        <f>IF(ISNUMBER(A211),A211*conv,"")</f>
        <v>0</v>
      </c>
      <c r="D211" s="28">
        <f>IF(ISNUMBER(B211),AVERAGE(INDEX($B$2:$B$301,MAX(1,210-semi)):INDEX($B$2:$B$301,MIN($M$2,210+semi))),"")</f>
        <v>0</v>
      </c>
      <c r="E211" s="28">
        <f>IF(AND(ISNUMBER(D211),ISNUMBER($M$4)),(D211-$M$4)/($M$5-$M$4),"")</f>
        <v>0</v>
      </c>
      <c r="F211" s="22">
        <f>IF(AND(ISNUMBER(E211),ISNUMBER(E212),ISNUMBER($M$6)),IF(AND(211&lt;$M$6,E211&lt;0.5,E212&gt;=0.5),211,""),"")</f>
        <v>0</v>
      </c>
      <c r="G211" s="22">
        <f>IF(AND(ISNUMBER(E211),ISNUMBER(E212),ISNUMBER($M$6)),IF(AND(211&gt;=$M$6,E211&gt;=0.5,E212&lt;0.5),211,""),"")</f>
        <v>0</v>
      </c>
      <c r="H211" s="22">
        <f>IF(OR(ISNUMBER(F211),ISNUMBER(G211)),C211+(0.5-E211)*(C212-C211)/(E212-E211),"")</f>
        <v>0</v>
      </c>
      <c r="I211" s="22">
        <f>IF(AND(ISNUMBER(E211),ISNUMBER($M$15)),C211-$M$15,NA())</f>
        <v>0</v>
      </c>
      <c r="J211" s="28">
        <f>IF(ISNUMBER(E211),E211,NA())</f>
        <v>0</v>
      </c>
      <c r="K211" s="22">
        <f>IF(AND(ISNUMBER(C211),ISNUMBER(C212)),SIGN(C212-C211),"")</f>
        <v>0</v>
      </c>
    </row>
    <row r="212" spans="3:11">
      <c r="C212" s="22">
        <f>IF(ISNUMBER(A212),A212*conv,"")</f>
        <v>0</v>
      </c>
      <c r="D212" s="28">
        <f>IF(ISNUMBER(B212),AVERAGE(INDEX($B$2:$B$301,MAX(1,211-semi)):INDEX($B$2:$B$301,MIN($M$2,211+semi))),"")</f>
        <v>0</v>
      </c>
      <c r="E212" s="28">
        <f>IF(AND(ISNUMBER(D212),ISNUMBER($M$4)),(D212-$M$4)/($M$5-$M$4),"")</f>
        <v>0</v>
      </c>
      <c r="F212" s="22">
        <f>IF(AND(ISNUMBER(E212),ISNUMBER(E213),ISNUMBER($M$6)),IF(AND(212&lt;$M$6,E212&lt;0.5,E213&gt;=0.5),212,""),"")</f>
        <v>0</v>
      </c>
      <c r="G212" s="22">
        <f>IF(AND(ISNUMBER(E212),ISNUMBER(E213),ISNUMBER($M$6)),IF(AND(212&gt;=$M$6,E212&gt;=0.5,E213&lt;0.5),212,""),"")</f>
        <v>0</v>
      </c>
      <c r="H212" s="22">
        <f>IF(OR(ISNUMBER(F212),ISNUMBER(G212)),C212+(0.5-E212)*(C213-C212)/(E213-E212),"")</f>
        <v>0</v>
      </c>
      <c r="I212" s="22">
        <f>IF(AND(ISNUMBER(E212),ISNUMBER($M$15)),C212-$M$15,NA())</f>
        <v>0</v>
      </c>
      <c r="J212" s="28">
        <f>IF(ISNUMBER(E212),E212,NA())</f>
        <v>0</v>
      </c>
      <c r="K212" s="22">
        <f>IF(AND(ISNUMBER(C212),ISNUMBER(C213)),SIGN(C213-C212),"")</f>
        <v>0</v>
      </c>
    </row>
    <row r="213" spans="3:11">
      <c r="C213" s="22">
        <f>IF(ISNUMBER(A213),A213*conv,"")</f>
        <v>0</v>
      </c>
      <c r="D213" s="28">
        <f>IF(ISNUMBER(B213),AVERAGE(INDEX($B$2:$B$301,MAX(1,212-semi)):INDEX($B$2:$B$301,MIN($M$2,212+semi))),"")</f>
        <v>0</v>
      </c>
      <c r="E213" s="28">
        <f>IF(AND(ISNUMBER(D213),ISNUMBER($M$4)),(D213-$M$4)/($M$5-$M$4),"")</f>
        <v>0</v>
      </c>
      <c r="F213" s="22">
        <f>IF(AND(ISNUMBER(E213),ISNUMBER(E214),ISNUMBER($M$6)),IF(AND(213&lt;$M$6,E213&lt;0.5,E214&gt;=0.5),213,""),"")</f>
        <v>0</v>
      </c>
      <c r="G213" s="22">
        <f>IF(AND(ISNUMBER(E213),ISNUMBER(E214),ISNUMBER($M$6)),IF(AND(213&gt;=$M$6,E213&gt;=0.5,E214&lt;0.5),213,""),"")</f>
        <v>0</v>
      </c>
      <c r="H213" s="22">
        <f>IF(OR(ISNUMBER(F213),ISNUMBER(G213)),C213+(0.5-E213)*(C214-C213)/(E214-E213),"")</f>
        <v>0</v>
      </c>
      <c r="I213" s="22">
        <f>IF(AND(ISNUMBER(E213),ISNUMBER($M$15)),C213-$M$15,NA())</f>
        <v>0</v>
      </c>
      <c r="J213" s="28">
        <f>IF(ISNUMBER(E213),E213,NA())</f>
        <v>0</v>
      </c>
      <c r="K213" s="22">
        <f>IF(AND(ISNUMBER(C213),ISNUMBER(C214)),SIGN(C214-C213),"")</f>
        <v>0</v>
      </c>
    </row>
    <row r="214" spans="3:11">
      <c r="C214" s="22">
        <f>IF(ISNUMBER(A214),A214*conv,"")</f>
        <v>0</v>
      </c>
      <c r="D214" s="28">
        <f>IF(ISNUMBER(B214),AVERAGE(INDEX($B$2:$B$301,MAX(1,213-semi)):INDEX($B$2:$B$301,MIN($M$2,213+semi))),"")</f>
        <v>0</v>
      </c>
      <c r="E214" s="28">
        <f>IF(AND(ISNUMBER(D214),ISNUMBER($M$4)),(D214-$M$4)/($M$5-$M$4),"")</f>
        <v>0</v>
      </c>
      <c r="F214" s="22">
        <f>IF(AND(ISNUMBER(E214),ISNUMBER(E215),ISNUMBER($M$6)),IF(AND(214&lt;$M$6,E214&lt;0.5,E215&gt;=0.5),214,""),"")</f>
        <v>0</v>
      </c>
      <c r="G214" s="22">
        <f>IF(AND(ISNUMBER(E214),ISNUMBER(E215),ISNUMBER($M$6)),IF(AND(214&gt;=$M$6,E214&gt;=0.5,E215&lt;0.5),214,""),"")</f>
        <v>0</v>
      </c>
      <c r="H214" s="22">
        <f>IF(OR(ISNUMBER(F214),ISNUMBER(G214)),C214+(0.5-E214)*(C215-C214)/(E215-E214),"")</f>
        <v>0</v>
      </c>
      <c r="I214" s="22">
        <f>IF(AND(ISNUMBER(E214),ISNUMBER($M$15)),C214-$M$15,NA())</f>
        <v>0</v>
      </c>
      <c r="J214" s="28">
        <f>IF(ISNUMBER(E214),E214,NA())</f>
        <v>0</v>
      </c>
      <c r="K214" s="22">
        <f>IF(AND(ISNUMBER(C214),ISNUMBER(C215)),SIGN(C215-C214),"")</f>
        <v>0</v>
      </c>
    </row>
    <row r="215" spans="3:11">
      <c r="C215" s="22">
        <f>IF(ISNUMBER(A215),A215*conv,"")</f>
        <v>0</v>
      </c>
      <c r="D215" s="28">
        <f>IF(ISNUMBER(B215),AVERAGE(INDEX($B$2:$B$301,MAX(1,214-semi)):INDEX($B$2:$B$301,MIN($M$2,214+semi))),"")</f>
        <v>0</v>
      </c>
      <c r="E215" s="28">
        <f>IF(AND(ISNUMBER(D215),ISNUMBER($M$4)),(D215-$M$4)/($M$5-$M$4),"")</f>
        <v>0</v>
      </c>
      <c r="F215" s="22">
        <f>IF(AND(ISNUMBER(E215),ISNUMBER(E216),ISNUMBER($M$6)),IF(AND(215&lt;$M$6,E215&lt;0.5,E216&gt;=0.5),215,""),"")</f>
        <v>0</v>
      </c>
      <c r="G215" s="22">
        <f>IF(AND(ISNUMBER(E215),ISNUMBER(E216),ISNUMBER($M$6)),IF(AND(215&gt;=$M$6,E215&gt;=0.5,E216&lt;0.5),215,""),"")</f>
        <v>0</v>
      </c>
      <c r="H215" s="22">
        <f>IF(OR(ISNUMBER(F215),ISNUMBER(G215)),C215+(0.5-E215)*(C216-C215)/(E216-E215),"")</f>
        <v>0</v>
      </c>
      <c r="I215" s="22">
        <f>IF(AND(ISNUMBER(E215),ISNUMBER($M$15)),C215-$M$15,NA())</f>
        <v>0</v>
      </c>
      <c r="J215" s="28">
        <f>IF(ISNUMBER(E215),E215,NA())</f>
        <v>0</v>
      </c>
      <c r="K215" s="22">
        <f>IF(AND(ISNUMBER(C215),ISNUMBER(C216)),SIGN(C216-C215),"")</f>
        <v>0</v>
      </c>
    </row>
    <row r="216" spans="3:11">
      <c r="C216" s="22">
        <f>IF(ISNUMBER(A216),A216*conv,"")</f>
        <v>0</v>
      </c>
      <c r="D216" s="28">
        <f>IF(ISNUMBER(B216),AVERAGE(INDEX($B$2:$B$301,MAX(1,215-semi)):INDEX($B$2:$B$301,MIN($M$2,215+semi))),"")</f>
        <v>0</v>
      </c>
      <c r="E216" s="28">
        <f>IF(AND(ISNUMBER(D216),ISNUMBER($M$4)),(D216-$M$4)/($M$5-$M$4),"")</f>
        <v>0</v>
      </c>
      <c r="F216" s="22">
        <f>IF(AND(ISNUMBER(E216),ISNUMBER(E217),ISNUMBER($M$6)),IF(AND(216&lt;$M$6,E216&lt;0.5,E217&gt;=0.5),216,""),"")</f>
        <v>0</v>
      </c>
      <c r="G216" s="22">
        <f>IF(AND(ISNUMBER(E216),ISNUMBER(E217),ISNUMBER($M$6)),IF(AND(216&gt;=$M$6,E216&gt;=0.5,E217&lt;0.5),216,""),"")</f>
        <v>0</v>
      </c>
      <c r="H216" s="22">
        <f>IF(OR(ISNUMBER(F216),ISNUMBER(G216)),C216+(0.5-E216)*(C217-C216)/(E217-E216),"")</f>
        <v>0</v>
      </c>
      <c r="I216" s="22">
        <f>IF(AND(ISNUMBER(E216),ISNUMBER($M$15)),C216-$M$15,NA())</f>
        <v>0</v>
      </c>
      <c r="J216" s="28">
        <f>IF(ISNUMBER(E216),E216,NA())</f>
        <v>0</v>
      </c>
      <c r="K216" s="22">
        <f>IF(AND(ISNUMBER(C216),ISNUMBER(C217)),SIGN(C217-C216),"")</f>
        <v>0</v>
      </c>
    </row>
    <row r="217" spans="3:11">
      <c r="C217" s="22">
        <f>IF(ISNUMBER(A217),A217*conv,"")</f>
        <v>0</v>
      </c>
      <c r="D217" s="28">
        <f>IF(ISNUMBER(B217),AVERAGE(INDEX($B$2:$B$301,MAX(1,216-semi)):INDEX($B$2:$B$301,MIN($M$2,216+semi))),"")</f>
        <v>0</v>
      </c>
      <c r="E217" s="28">
        <f>IF(AND(ISNUMBER(D217),ISNUMBER($M$4)),(D217-$M$4)/($M$5-$M$4),"")</f>
        <v>0</v>
      </c>
      <c r="F217" s="22">
        <f>IF(AND(ISNUMBER(E217),ISNUMBER(E218),ISNUMBER($M$6)),IF(AND(217&lt;$M$6,E217&lt;0.5,E218&gt;=0.5),217,""),"")</f>
        <v>0</v>
      </c>
      <c r="G217" s="22">
        <f>IF(AND(ISNUMBER(E217),ISNUMBER(E218),ISNUMBER($M$6)),IF(AND(217&gt;=$M$6,E217&gt;=0.5,E218&lt;0.5),217,""),"")</f>
        <v>0</v>
      </c>
      <c r="H217" s="22">
        <f>IF(OR(ISNUMBER(F217),ISNUMBER(G217)),C217+(0.5-E217)*(C218-C217)/(E218-E217),"")</f>
        <v>0</v>
      </c>
      <c r="I217" s="22">
        <f>IF(AND(ISNUMBER(E217),ISNUMBER($M$15)),C217-$M$15,NA())</f>
        <v>0</v>
      </c>
      <c r="J217" s="28">
        <f>IF(ISNUMBER(E217),E217,NA())</f>
        <v>0</v>
      </c>
      <c r="K217" s="22">
        <f>IF(AND(ISNUMBER(C217),ISNUMBER(C218)),SIGN(C218-C217),"")</f>
        <v>0</v>
      </c>
    </row>
    <row r="218" spans="3:11">
      <c r="C218" s="22">
        <f>IF(ISNUMBER(A218),A218*conv,"")</f>
        <v>0</v>
      </c>
      <c r="D218" s="28">
        <f>IF(ISNUMBER(B218),AVERAGE(INDEX($B$2:$B$301,MAX(1,217-semi)):INDEX($B$2:$B$301,MIN($M$2,217+semi))),"")</f>
        <v>0</v>
      </c>
      <c r="E218" s="28">
        <f>IF(AND(ISNUMBER(D218),ISNUMBER($M$4)),(D218-$M$4)/($M$5-$M$4),"")</f>
        <v>0</v>
      </c>
      <c r="F218" s="22">
        <f>IF(AND(ISNUMBER(E218),ISNUMBER(E219),ISNUMBER($M$6)),IF(AND(218&lt;$M$6,E218&lt;0.5,E219&gt;=0.5),218,""),"")</f>
        <v>0</v>
      </c>
      <c r="G218" s="22">
        <f>IF(AND(ISNUMBER(E218),ISNUMBER(E219),ISNUMBER($M$6)),IF(AND(218&gt;=$M$6,E218&gt;=0.5,E219&lt;0.5),218,""),"")</f>
        <v>0</v>
      </c>
      <c r="H218" s="22">
        <f>IF(OR(ISNUMBER(F218),ISNUMBER(G218)),C218+(0.5-E218)*(C219-C218)/(E219-E218),"")</f>
        <v>0</v>
      </c>
      <c r="I218" s="22">
        <f>IF(AND(ISNUMBER(E218),ISNUMBER($M$15)),C218-$M$15,NA())</f>
        <v>0</v>
      </c>
      <c r="J218" s="28">
        <f>IF(ISNUMBER(E218),E218,NA())</f>
        <v>0</v>
      </c>
      <c r="K218" s="22">
        <f>IF(AND(ISNUMBER(C218),ISNUMBER(C219)),SIGN(C219-C218),"")</f>
        <v>0</v>
      </c>
    </row>
    <row r="219" spans="3:11">
      <c r="C219" s="22">
        <f>IF(ISNUMBER(A219),A219*conv,"")</f>
        <v>0</v>
      </c>
      <c r="D219" s="28">
        <f>IF(ISNUMBER(B219),AVERAGE(INDEX($B$2:$B$301,MAX(1,218-semi)):INDEX($B$2:$B$301,MIN($M$2,218+semi))),"")</f>
        <v>0</v>
      </c>
      <c r="E219" s="28">
        <f>IF(AND(ISNUMBER(D219),ISNUMBER($M$4)),(D219-$M$4)/($M$5-$M$4),"")</f>
        <v>0</v>
      </c>
      <c r="F219" s="22">
        <f>IF(AND(ISNUMBER(E219),ISNUMBER(E220),ISNUMBER($M$6)),IF(AND(219&lt;$M$6,E219&lt;0.5,E220&gt;=0.5),219,""),"")</f>
        <v>0</v>
      </c>
      <c r="G219" s="22">
        <f>IF(AND(ISNUMBER(E219),ISNUMBER(E220),ISNUMBER($M$6)),IF(AND(219&gt;=$M$6,E219&gt;=0.5,E220&lt;0.5),219,""),"")</f>
        <v>0</v>
      </c>
      <c r="H219" s="22">
        <f>IF(OR(ISNUMBER(F219),ISNUMBER(G219)),C219+(0.5-E219)*(C220-C219)/(E220-E219),"")</f>
        <v>0</v>
      </c>
      <c r="I219" s="22">
        <f>IF(AND(ISNUMBER(E219),ISNUMBER($M$15)),C219-$M$15,NA())</f>
        <v>0</v>
      </c>
      <c r="J219" s="28">
        <f>IF(ISNUMBER(E219),E219,NA())</f>
        <v>0</v>
      </c>
      <c r="K219" s="22">
        <f>IF(AND(ISNUMBER(C219),ISNUMBER(C220)),SIGN(C220-C219),"")</f>
        <v>0</v>
      </c>
    </row>
    <row r="220" spans="3:11">
      <c r="C220" s="22">
        <f>IF(ISNUMBER(A220),A220*conv,"")</f>
        <v>0</v>
      </c>
      <c r="D220" s="28">
        <f>IF(ISNUMBER(B220),AVERAGE(INDEX($B$2:$B$301,MAX(1,219-semi)):INDEX($B$2:$B$301,MIN($M$2,219+semi))),"")</f>
        <v>0</v>
      </c>
      <c r="E220" s="28">
        <f>IF(AND(ISNUMBER(D220),ISNUMBER($M$4)),(D220-$M$4)/($M$5-$M$4),"")</f>
        <v>0</v>
      </c>
      <c r="F220" s="22">
        <f>IF(AND(ISNUMBER(E220),ISNUMBER(E221),ISNUMBER($M$6)),IF(AND(220&lt;$M$6,E220&lt;0.5,E221&gt;=0.5),220,""),"")</f>
        <v>0</v>
      </c>
      <c r="G220" s="22">
        <f>IF(AND(ISNUMBER(E220),ISNUMBER(E221),ISNUMBER($M$6)),IF(AND(220&gt;=$M$6,E220&gt;=0.5,E221&lt;0.5),220,""),"")</f>
        <v>0</v>
      </c>
      <c r="H220" s="22">
        <f>IF(OR(ISNUMBER(F220),ISNUMBER(G220)),C220+(0.5-E220)*(C221-C220)/(E221-E220),"")</f>
        <v>0</v>
      </c>
      <c r="I220" s="22">
        <f>IF(AND(ISNUMBER(E220),ISNUMBER($M$15)),C220-$M$15,NA())</f>
        <v>0</v>
      </c>
      <c r="J220" s="28">
        <f>IF(ISNUMBER(E220),E220,NA())</f>
        <v>0</v>
      </c>
      <c r="K220" s="22">
        <f>IF(AND(ISNUMBER(C220),ISNUMBER(C221)),SIGN(C221-C220),"")</f>
        <v>0</v>
      </c>
    </row>
    <row r="221" spans="3:11">
      <c r="C221" s="22">
        <f>IF(ISNUMBER(A221),A221*conv,"")</f>
        <v>0</v>
      </c>
      <c r="D221" s="28">
        <f>IF(ISNUMBER(B221),AVERAGE(INDEX($B$2:$B$301,MAX(1,220-semi)):INDEX($B$2:$B$301,MIN($M$2,220+semi))),"")</f>
        <v>0</v>
      </c>
      <c r="E221" s="28">
        <f>IF(AND(ISNUMBER(D221),ISNUMBER($M$4)),(D221-$M$4)/($M$5-$M$4),"")</f>
        <v>0</v>
      </c>
      <c r="F221" s="22">
        <f>IF(AND(ISNUMBER(E221),ISNUMBER(E222),ISNUMBER($M$6)),IF(AND(221&lt;$M$6,E221&lt;0.5,E222&gt;=0.5),221,""),"")</f>
        <v>0</v>
      </c>
      <c r="G221" s="22">
        <f>IF(AND(ISNUMBER(E221),ISNUMBER(E222),ISNUMBER($M$6)),IF(AND(221&gt;=$M$6,E221&gt;=0.5,E222&lt;0.5),221,""),"")</f>
        <v>0</v>
      </c>
      <c r="H221" s="22">
        <f>IF(OR(ISNUMBER(F221),ISNUMBER(G221)),C221+(0.5-E221)*(C222-C221)/(E222-E221),"")</f>
        <v>0</v>
      </c>
      <c r="I221" s="22">
        <f>IF(AND(ISNUMBER(E221),ISNUMBER($M$15)),C221-$M$15,NA())</f>
        <v>0</v>
      </c>
      <c r="J221" s="28">
        <f>IF(ISNUMBER(E221),E221,NA())</f>
        <v>0</v>
      </c>
      <c r="K221" s="22">
        <f>IF(AND(ISNUMBER(C221),ISNUMBER(C222)),SIGN(C222-C221),"")</f>
        <v>0</v>
      </c>
    </row>
    <row r="222" spans="3:11">
      <c r="C222" s="22">
        <f>IF(ISNUMBER(A222),A222*conv,"")</f>
        <v>0</v>
      </c>
      <c r="D222" s="28">
        <f>IF(ISNUMBER(B222),AVERAGE(INDEX($B$2:$B$301,MAX(1,221-semi)):INDEX($B$2:$B$301,MIN($M$2,221+semi))),"")</f>
        <v>0</v>
      </c>
      <c r="E222" s="28">
        <f>IF(AND(ISNUMBER(D222),ISNUMBER($M$4)),(D222-$M$4)/($M$5-$M$4),"")</f>
        <v>0</v>
      </c>
      <c r="F222" s="22">
        <f>IF(AND(ISNUMBER(E222),ISNUMBER(E223),ISNUMBER($M$6)),IF(AND(222&lt;$M$6,E222&lt;0.5,E223&gt;=0.5),222,""),"")</f>
        <v>0</v>
      </c>
      <c r="G222" s="22">
        <f>IF(AND(ISNUMBER(E222),ISNUMBER(E223),ISNUMBER($M$6)),IF(AND(222&gt;=$M$6,E222&gt;=0.5,E223&lt;0.5),222,""),"")</f>
        <v>0</v>
      </c>
      <c r="H222" s="22">
        <f>IF(OR(ISNUMBER(F222),ISNUMBER(G222)),C222+(0.5-E222)*(C223-C222)/(E223-E222),"")</f>
        <v>0</v>
      </c>
      <c r="I222" s="22">
        <f>IF(AND(ISNUMBER(E222),ISNUMBER($M$15)),C222-$M$15,NA())</f>
        <v>0</v>
      </c>
      <c r="J222" s="28">
        <f>IF(ISNUMBER(E222),E222,NA())</f>
        <v>0</v>
      </c>
      <c r="K222" s="22">
        <f>IF(AND(ISNUMBER(C222),ISNUMBER(C223)),SIGN(C223-C222),"")</f>
        <v>0</v>
      </c>
    </row>
    <row r="223" spans="3:11">
      <c r="C223" s="22">
        <f>IF(ISNUMBER(A223),A223*conv,"")</f>
        <v>0</v>
      </c>
      <c r="D223" s="28">
        <f>IF(ISNUMBER(B223),AVERAGE(INDEX($B$2:$B$301,MAX(1,222-semi)):INDEX($B$2:$B$301,MIN($M$2,222+semi))),"")</f>
        <v>0</v>
      </c>
      <c r="E223" s="28">
        <f>IF(AND(ISNUMBER(D223),ISNUMBER($M$4)),(D223-$M$4)/($M$5-$M$4),"")</f>
        <v>0</v>
      </c>
      <c r="F223" s="22">
        <f>IF(AND(ISNUMBER(E223),ISNUMBER(E224),ISNUMBER($M$6)),IF(AND(223&lt;$M$6,E223&lt;0.5,E224&gt;=0.5),223,""),"")</f>
        <v>0</v>
      </c>
      <c r="G223" s="22">
        <f>IF(AND(ISNUMBER(E223),ISNUMBER(E224),ISNUMBER($M$6)),IF(AND(223&gt;=$M$6,E223&gt;=0.5,E224&lt;0.5),223,""),"")</f>
        <v>0</v>
      </c>
      <c r="H223" s="22">
        <f>IF(OR(ISNUMBER(F223),ISNUMBER(G223)),C223+(0.5-E223)*(C224-C223)/(E224-E223),"")</f>
        <v>0</v>
      </c>
      <c r="I223" s="22">
        <f>IF(AND(ISNUMBER(E223),ISNUMBER($M$15)),C223-$M$15,NA())</f>
        <v>0</v>
      </c>
      <c r="J223" s="28">
        <f>IF(ISNUMBER(E223),E223,NA())</f>
        <v>0</v>
      </c>
      <c r="K223" s="22">
        <f>IF(AND(ISNUMBER(C223),ISNUMBER(C224)),SIGN(C224-C223),"")</f>
        <v>0</v>
      </c>
    </row>
    <row r="224" spans="3:11">
      <c r="C224" s="22">
        <f>IF(ISNUMBER(A224),A224*conv,"")</f>
        <v>0</v>
      </c>
      <c r="D224" s="28">
        <f>IF(ISNUMBER(B224),AVERAGE(INDEX($B$2:$B$301,MAX(1,223-semi)):INDEX($B$2:$B$301,MIN($M$2,223+semi))),"")</f>
        <v>0</v>
      </c>
      <c r="E224" s="28">
        <f>IF(AND(ISNUMBER(D224),ISNUMBER($M$4)),(D224-$M$4)/($M$5-$M$4),"")</f>
        <v>0</v>
      </c>
      <c r="F224" s="22">
        <f>IF(AND(ISNUMBER(E224),ISNUMBER(E225),ISNUMBER($M$6)),IF(AND(224&lt;$M$6,E224&lt;0.5,E225&gt;=0.5),224,""),"")</f>
        <v>0</v>
      </c>
      <c r="G224" s="22">
        <f>IF(AND(ISNUMBER(E224),ISNUMBER(E225),ISNUMBER($M$6)),IF(AND(224&gt;=$M$6,E224&gt;=0.5,E225&lt;0.5),224,""),"")</f>
        <v>0</v>
      </c>
      <c r="H224" s="22">
        <f>IF(OR(ISNUMBER(F224),ISNUMBER(G224)),C224+(0.5-E224)*(C225-C224)/(E225-E224),"")</f>
        <v>0</v>
      </c>
      <c r="I224" s="22">
        <f>IF(AND(ISNUMBER(E224),ISNUMBER($M$15)),C224-$M$15,NA())</f>
        <v>0</v>
      </c>
      <c r="J224" s="28">
        <f>IF(ISNUMBER(E224),E224,NA())</f>
        <v>0</v>
      </c>
      <c r="K224" s="22">
        <f>IF(AND(ISNUMBER(C224),ISNUMBER(C225)),SIGN(C225-C224),"")</f>
        <v>0</v>
      </c>
    </row>
    <row r="225" spans="3:11">
      <c r="C225" s="22">
        <f>IF(ISNUMBER(A225),A225*conv,"")</f>
        <v>0</v>
      </c>
      <c r="D225" s="28">
        <f>IF(ISNUMBER(B225),AVERAGE(INDEX($B$2:$B$301,MAX(1,224-semi)):INDEX($B$2:$B$301,MIN($M$2,224+semi))),"")</f>
        <v>0</v>
      </c>
      <c r="E225" s="28">
        <f>IF(AND(ISNUMBER(D225),ISNUMBER($M$4)),(D225-$M$4)/($M$5-$M$4),"")</f>
        <v>0</v>
      </c>
      <c r="F225" s="22">
        <f>IF(AND(ISNUMBER(E225),ISNUMBER(E226),ISNUMBER($M$6)),IF(AND(225&lt;$M$6,E225&lt;0.5,E226&gt;=0.5),225,""),"")</f>
        <v>0</v>
      </c>
      <c r="G225" s="22">
        <f>IF(AND(ISNUMBER(E225),ISNUMBER(E226),ISNUMBER($M$6)),IF(AND(225&gt;=$M$6,E225&gt;=0.5,E226&lt;0.5),225,""),"")</f>
        <v>0</v>
      </c>
      <c r="H225" s="22">
        <f>IF(OR(ISNUMBER(F225),ISNUMBER(G225)),C225+(0.5-E225)*(C226-C225)/(E226-E225),"")</f>
        <v>0</v>
      </c>
      <c r="I225" s="22">
        <f>IF(AND(ISNUMBER(E225),ISNUMBER($M$15)),C225-$M$15,NA())</f>
        <v>0</v>
      </c>
      <c r="J225" s="28">
        <f>IF(ISNUMBER(E225),E225,NA())</f>
        <v>0</v>
      </c>
      <c r="K225" s="22">
        <f>IF(AND(ISNUMBER(C225),ISNUMBER(C226)),SIGN(C226-C225),"")</f>
        <v>0</v>
      </c>
    </row>
    <row r="226" spans="3:11">
      <c r="C226" s="22">
        <f>IF(ISNUMBER(A226),A226*conv,"")</f>
        <v>0</v>
      </c>
      <c r="D226" s="28">
        <f>IF(ISNUMBER(B226),AVERAGE(INDEX($B$2:$B$301,MAX(1,225-semi)):INDEX($B$2:$B$301,MIN($M$2,225+semi))),"")</f>
        <v>0</v>
      </c>
      <c r="E226" s="28">
        <f>IF(AND(ISNUMBER(D226),ISNUMBER($M$4)),(D226-$M$4)/($M$5-$M$4),"")</f>
        <v>0</v>
      </c>
      <c r="F226" s="22">
        <f>IF(AND(ISNUMBER(E226),ISNUMBER(E227),ISNUMBER($M$6)),IF(AND(226&lt;$M$6,E226&lt;0.5,E227&gt;=0.5),226,""),"")</f>
        <v>0</v>
      </c>
      <c r="G226" s="22">
        <f>IF(AND(ISNUMBER(E226),ISNUMBER(E227),ISNUMBER($M$6)),IF(AND(226&gt;=$M$6,E226&gt;=0.5,E227&lt;0.5),226,""),"")</f>
        <v>0</v>
      </c>
      <c r="H226" s="22">
        <f>IF(OR(ISNUMBER(F226),ISNUMBER(G226)),C226+(0.5-E226)*(C227-C226)/(E227-E226),"")</f>
        <v>0</v>
      </c>
      <c r="I226" s="22">
        <f>IF(AND(ISNUMBER(E226),ISNUMBER($M$15)),C226-$M$15,NA())</f>
        <v>0</v>
      </c>
      <c r="J226" s="28">
        <f>IF(ISNUMBER(E226),E226,NA())</f>
        <v>0</v>
      </c>
      <c r="K226" s="22">
        <f>IF(AND(ISNUMBER(C226),ISNUMBER(C227)),SIGN(C227-C226),"")</f>
        <v>0</v>
      </c>
    </row>
    <row r="227" spans="3:11">
      <c r="C227" s="22">
        <f>IF(ISNUMBER(A227),A227*conv,"")</f>
        <v>0</v>
      </c>
      <c r="D227" s="28">
        <f>IF(ISNUMBER(B227),AVERAGE(INDEX($B$2:$B$301,MAX(1,226-semi)):INDEX($B$2:$B$301,MIN($M$2,226+semi))),"")</f>
        <v>0</v>
      </c>
      <c r="E227" s="28">
        <f>IF(AND(ISNUMBER(D227),ISNUMBER($M$4)),(D227-$M$4)/($M$5-$M$4),"")</f>
        <v>0</v>
      </c>
      <c r="F227" s="22">
        <f>IF(AND(ISNUMBER(E227),ISNUMBER(E228),ISNUMBER($M$6)),IF(AND(227&lt;$M$6,E227&lt;0.5,E228&gt;=0.5),227,""),"")</f>
        <v>0</v>
      </c>
      <c r="G227" s="22">
        <f>IF(AND(ISNUMBER(E227),ISNUMBER(E228),ISNUMBER($M$6)),IF(AND(227&gt;=$M$6,E227&gt;=0.5,E228&lt;0.5),227,""),"")</f>
        <v>0</v>
      </c>
      <c r="H227" s="22">
        <f>IF(OR(ISNUMBER(F227),ISNUMBER(G227)),C227+(0.5-E227)*(C228-C227)/(E228-E227),"")</f>
        <v>0</v>
      </c>
      <c r="I227" s="22">
        <f>IF(AND(ISNUMBER(E227),ISNUMBER($M$15)),C227-$M$15,NA())</f>
        <v>0</v>
      </c>
      <c r="J227" s="28">
        <f>IF(ISNUMBER(E227),E227,NA())</f>
        <v>0</v>
      </c>
      <c r="K227" s="22">
        <f>IF(AND(ISNUMBER(C227),ISNUMBER(C228)),SIGN(C228-C227),"")</f>
        <v>0</v>
      </c>
    </row>
    <row r="228" spans="3:11">
      <c r="C228" s="22">
        <f>IF(ISNUMBER(A228),A228*conv,"")</f>
        <v>0</v>
      </c>
      <c r="D228" s="28">
        <f>IF(ISNUMBER(B228),AVERAGE(INDEX($B$2:$B$301,MAX(1,227-semi)):INDEX($B$2:$B$301,MIN($M$2,227+semi))),"")</f>
        <v>0</v>
      </c>
      <c r="E228" s="28">
        <f>IF(AND(ISNUMBER(D228),ISNUMBER($M$4)),(D228-$M$4)/($M$5-$M$4),"")</f>
        <v>0</v>
      </c>
      <c r="F228" s="22">
        <f>IF(AND(ISNUMBER(E228),ISNUMBER(E229),ISNUMBER($M$6)),IF(AND(228&lt;$M$6,E228&lt;0.5,E229&gt;=0.5),228,""),"")</f>
        <v>0</v>
      </c>
      <c r="G228" s="22">
        <f>IF(AND(ISNUMBER(E228),ISNUMBER(E229),ISNUMBER($M$6)),IF(AND(228&gt;=$M$6,E228&gt;=0.5,E229&lt;0.5),228,""),"")</f>
        <v>0</v>
      </c>
      <c r="H228" s="22">
        <f>IF(OR(ISNUMBER(F228),ISNUMBER(G228)),C228+(0.5-E228)*(C229-C228)/(E229-E228),"")</f>
        <v>0</v>
      </c>
      <c r="I228" s="22">
        <f>IF(AND(ISNUMBER(E228),ISNUMBER($M$15)),C228-$M$15,NA())</f>
        <v>0</v>
      </c>
      <c r="J228" s="28">
        <f>IF(ISNUMBER(E228),E228,NA())</f>
        <v>0</v>
      </c>
      <c r="K228" s="22">
        <f>IF(AND(ISNUMBER(C228),ISNUMBER(C229)),SIGN(C229-C228),"")</f>
        <v>0</v>
      </c>
    </row>
    <row r="229" spans="3:11">
      <c r="C229" s="22">
        <f>IF(ISNUMBER(A229),A229*conv,"")</f>
        <v>0</v>
      </c>
      <c r="D229" s="28">
        <f>IF(ISNUMBER(B229),AVERAGE(INDEX($B$2:$B$301,MAX(1,228-semi)):INDEX($B$2:$B$301,MIN($M$2,228+semi))),"")</f>
        <v>0</v>
      </c>
      <c r="E229" s="28">
        <f>IF(AND(ISNUMBER(D229),ISNUMBER($M$4)),(D229-$M$4)/($M$5-$M$4),"")</f>
        <v>0</v>
      </c>
      <c r="F229" s="22">
        <f>IF(AND(ISNUMBER(E229),ISNUMBER(E230),ISNUMBER($M$6)),IF(AND(229&lt;$M$6,E229&lt;0.5,E230&gt;=0.5),229,""),"")</f>
        <v>0</v>
      </c>
      <c r="G229" s="22">
        <f>IF(AND(ISNUMBER(E229),ISNUMBER(E230),ISNUMBER($M$6)),IF(AND(229&gt;=$M$6,E229&gt;=0.5,E230&lt;0.5),229,""),"")</f>
        <v>0</v>
      </c>
      <c r="H229" s="22">
        <f>IF(OR(ISNUMBER(F229),ISNUMBER(G229)),C229+(0.5-E229)*(C230-C229)/(E230-E229),"")</f>
        <v>0</v>
      </c>
      <c r="I229" s="22">
        <f>IF(AND(ISNUMBER(E229),ISNUMBER($M$15)),C229-$M$15,NA())</f>
        <v>0</v>
      </c>
      <c r="J229" s="28">
        <f>IF(ISNUMBER(E229),E229,NA())</f>
        <v>0</v>
      </c>
      <c r="K229" s="22">
        <f>IF(AND(ISNUMBER(C229),ISNUMBER(C230)),SIGN(C230-C229),"")</f>
        <v>0</v>
      </c>
    </row>
    <row r="230" spans="3:11">
      <c r="C230" s="22">
        <f>IF(ISNUMBER(A230),A230*conv,"")</f>
        <v>0</v>
      </c>
      <c r="D230" s="28">
        <f>IF(ISNUMBER(B230),AVERAGE(INDEX($B$2:$B$301,MAX(1,229-semi)):INDEX($B$2:$B$301,MIN($M$2,229+semi))),"")</f>
        <v>0</v>
      </c>
      <c r="E230" s="28">
        <f>IF(AND(ISNUMBER(D230),ISNUMBER($M$4)),(D230-$M$4)/($M$5-$M$4),"")</f>
        <v>0</v>
      </c>
      <c r="F230" s="22">
        <f>IF(AND(ISNUMBER(E230),ISNUMBER(E231),ISNUMBER($M$6)),IF(AND(230&lt;$M$6,E230&lt;0.5,E231&gt;=0.5),230,""),"")</f>
        <v>0</v>
      </c>
      <c r="G230" s="22">
        <f>IF(AND(ISNUMBER(E230),ISNUMBER(E231),ISNUMBER($M$6)),IF(AND(230&gt;=$M$6,E230&gt;=0.5,E231&lt;0.5),230,""),"")</f>
        <v>0</v>
      </c>
      <c r="H230" s="22">
        <f>IF(OR(ISNUMBER(F230),ISNUMBER(G230)),C230+(0.5-E230)*(C231-C230)/(E231-E230),"")</f>
        <v>0</v>
      </c>
      <c r="I230" s="22">
        <f>IF(AND(ISNUMBER(E230),ISNUMBER($M$15)),C230-$M$15,NA())</f>
        <v>0</v>
      </c>
      <c r="J230" s="28">
        <f>IF(ISNUMBER(E230),E230,NA())</f>
        <v>0</v>
      </c>
      <c r="K230" s="22">
        <f>IF(AND(ISNUMBER(C230),ISNUMBER(C231)),SIGN(C231-C230),"")</f>
        <v>0</v>
      </c>
    </row>
    <row r="231" spans="3:11">
      <c r="C231" s="22">
        <f>IF(ISNUMBER(A231),A231*conv,"")</f>
        <v>0</v>
      </c>
      <c r="D231" s="28">
        <f>IF(ISNUMBER(B231),AVERAGE(INDEX($B$2:$B$301,MAX(1,230-semi)):INDEX($B$2:$B$301,MIN($M$2,230+semi))),"")</f>
        <v>0</v>
      </c>
      <c r="E231" s="28">
        <f>IF(AND(ISNUMBER(D231),ISNUMBER($M$4)),(D231-$M$4)/($M$5-$M$4),"")</f>
        <v>0</v>
      </c>
      <c r="F231" s="22">
        <f>IF(AND(ISNUMBER(E231),ISNUMBER(E232),ISNUMBER($M$6)),IF(AND(231&lt;$M$6,E231&lt;0.5,E232&gt;=0.5),231,""),"")</f>
        <v>0</v>
      </c>
      <c r="G231" s="22">
        <f>IF(AND(ISNUMBER(E231),ISNUMBER(E232),ISNUMBER($M$6)),IF(AND(231&gt;=$M$6,E231&gt;=0.5,E232&lt;0.5),231,""),"")</f>
        <v>0</v>
      </c>
      <c r="H231" s="22">
        <f>IF(OR(ISNUMBER(F231),ISNUMBER(G231)),C231+(0.5-E231)*(C232-C231)/(E232-E231),"")</f>
        <v>0</v>
      </c>
      <c r="I231" s="22">
        <f>IF(AND(ISNUMBER(E231),ISNUMBER($M$15)),C231-$M$15,NA())</f>
        <v>0</v>
      </c>
      <c r="J231" s="28">
        <f>IF(ISNUMBER(E231),E231,NA())</f>
        <v>0</v>
      </c>
      <c r="K231" s="22">
        <f>IF(AND(ISNUMBER(C231),ISNUMBER(C232)),SIGN(C232-C231),"")</f>
        <v>0</v>
      </c>
    </row>
    <row r="232" spans="3:11">
      <c r="C232" s="22">
        <f>IF(ISNUMBER(A232),A232*conv,"")</f>
        <v>0</v>
      </c>
      <c r="D232" s="28">
        <f>IF(ISNUMBER(B232),AVERAGE(INDEX($B$2:$B$301,MAX(1,231-semi)):INDEX($B$2:$B$301,MIN($M$2,231+semi))),"")</f>
        <v>0</v>
      </c>
      <c r="E232" s="28">
        <f>IF(AND(ISNUMBER(D232),ISNUMBER($M$4)),(D232-$M$4)/($M$5-$M$4),"")</f>
        <v>0</v>
      </c>
      <c r="F232" s="22">
        <f>IF(AND(ISNUMBER(E232),ISNUMBER(E233),ISNUMBER($M$6)),IF(AND(232&lt;$M$6,E232&lt;0.5,E233&gt;=0.5),232,""),"")</f>
        <v>0</v>
      </c>
      <c r="G232" s="22">
        <f>IF(AND(ISNUMBER(E232),ISNUMBER(E233),ISNUMBER($M$6)),IF(AND(232&gt;=$M$6,E232&gt;=0.5,E233&lt;0.5),232,""),"")</f>
        <v>0</v>
      </c>
      <c r="H232" s="22">
        <f>IF(OR(ISNUMBER(F232),ISNUMBER(G232)),C232+(0.5-E232)*(C233-C232)/(E233-E232),"")</f>
        <v>0</v>
      </c>
      <c r="I232" s="22">
        <f>IF(AND(ISNUMBER(E232),ISNUMBER($M$15)),C232-$M$15,NA())</f>
        <v>0</v>
      </c>
      <c r="J232" s="28">
        <f>IF(ISNUMBER(E232),E232,NA())</f>
        <v>0</v>
      </c>
      <c r="K232" s="22">
        <f>IF(AND(ISNUMBER(C232),ISNUMBER(C233)),SIGN(C233-C232),"")</f>
        <v>0</v>
      </c>
    </row>
    <row r="233" spans="3:11">
      <c r="C233" s="22">
        <f>IF(ISNUMBER(A233),A233*conv,"")</f>
        <v>0</v>
      </c>
      <c r="D233" s="28">
        <f>IF(ISNUMBER(B233),AVERAGE(INDEX($B$2:$B$301,MAX(1,232-semi)):INDEX($B$2:$B$301,MIN($M$2,232+semi))),"")</f>
        <v>0</v>
      </c>
      <c r="E233" s="28">
        <f>IF(AND(ISNUMBER(D233),ISNUMBER($M$4)),(D233-$M$4)/($M$5-$M$4),"")</f>
        <v>0</v>
      </c>
      <c r="F233" s="22">
        <f>IF(AND(ISNUMBER(E233),ISNUMBER(E234),ISNUMBER($M$6)),IF(AND(233&lt;$M$6,E233&lt;0.5,E234&gt;=0.5),233,""),"")</f>
        <v>0</v>
      </c>
      <c r="G233" s="22">
        <f>IF(AND(ISNUMBER(E233),ISNUMBER(E234),ISNUMBER($M$6)),IF(AND(233&gt;=$M$6,E233&gt;=0.5,E234&lt;0.5),233,""),"")</f>
        <v>0</v>
      </c>
      <c r="H233" s="22">
        <f>IF(OR(ISNUMBER(F233),ISNUMBER(G233)),C233+(0.5-E233)*(C234-C233)/(E234-E233),"")</f>
        <v>0</v>
      </c>
      <c r="I233" s="22">
        <f>IF(AND(ISNUMBER(E233),ISNUMBER($M$15)),C233-$M$15,NA())</f>
        <v>0</v>
      </c>
      <c r="J233" s="28">
        <f>IF(ISNUMBER(E233),E233,NA())</f>
        <v>0</v>
      </c>
      <c r="K233" s="22">
        <f>IF(AND(ISNUMBER(C233),ISNUMBER(C234)),SIGN(C234-C233),"")</f>
        <v>0</v>
      </c>
    </row>
    <row r="234" spans="3:11">
      <c r="C234" s="22">
        <f>IF(ISNUMBER(A234),A234*conv,"")</f>
        <v>0</v>
      </c>
      <c r="D234" s="28">
        <f>IF(ISNUMBER(B234),AVERAGE(INDEX($B$2:$B$301,MAX(1,233-semi)):INDEX($B$2:$B$301,MIN($M$2,233+semi))),"")</f>
        <v>0</v>
      </c>
      <c r="E234" s="28">
        <f>IF(AND(ISNUMBER(D234),ISNUMBER($M$4)),(D234-$M$4)/($M$5-$M$4),"")</f>
        <v>0</v>
      </c>
      <c r="F234" s="22">
        <f>IF(AND(ISNUMBER(E234),ISNUMBER(E235),ISNUMBER($M$6)),IF(AND(234&lt;$M$6,E234&lt;0.5,E235&gt;=0.5),234,""),"")</f>
        <v>0</v>
      </c>
      <c r="G234" s="22">
        <f>IF(AND(ISNUMBER(E234),ISNUMBER(E235),ISNUMBER($M$6)),IF(AND(234&gt;=$M$6,E234&gt;=0.5,E235&lt;0.5),234,""),"")</f>
        <v>0</v>
      </c>
      <c r="H234" s="22">
        <f>IF(OR(ISNUMBER(F234),ISNUMBER(G234)),C234+(0.5-E234)*(C235-C234)/(E235-E234),"")</f>
        <v>0</v>
      </c>
      <c r="I234" s="22">
        <f>IF(AND(ISNUMBER(E234),ISNUMBER($M$15)),C234-$M$15,NA())</f>
        <v>0</v>
      </c>
      <c r="J234" s="28">
        <f>IF(ISNUMBER(E234),E234,NA())</f>
        <v>0</v>
      </c>
      <c r="K234" s="22">
        <f>IF(AND(ISNUMBER(C234),ISNUMBER(C235)),SIGN(C235-C234),"")</f>
        <v>0</v>
      </c>
    </row>
    <row r="235" spans="3:11">
      <c r="C235" s="22">
        <f>IF(ISNUMBER(A235),A235*conv,"")</f>
        <v>0</v>
      </c>
      <c r="D235" s="28">
        <f>IF(ISNUMBER(B235),AVERAGE(INDEX($B$2:$B$301,MAX(1,234-semi)):INDEX($B$2:$B$301,MIN($M$2,234+semi))),"")</f>
        <v>0</v>
      </c>
      <c r="E235" s="28">
        <f>IF(AND(ISNUMBER(D235),ISNUMBER($M$4)),(D235-$M$4)/($M$5-$M$4),"")</f>
        <v>0</v>
      </c>
      <c r="F235" s="22">
        <f>IF(AND(ISNUMBER(E235),ISNUMBER(E236),ISNUMBER($M$6)),IF(AND(235&lt;$M$6,E235&lt;0.5,E236&gt;=0.5),235,""),"")</f>
        <v>0</v>
      </c>
      <c r="G235" s="22">
        <f>IF(AND(ISNUMBER(E235),ISNUMBER(E236),ISNUMBER($M$6)),IF(AND(235&gt;=$M$6,E235&gt;=0.5,E236&lt;0.5),235,""),"")</f>
        <v>0</v>
      </c>
      <c r="H235" s="22">
        <f>IF(OR(ISNUMBER(F235),ISNUMBER(G235)),C235+(0.5-E235)*(C236-C235)/(E236-E235),"")</f>
        <v>0</v>
      </c>
      <c r="I235" s="22">
        <f>IF(AND(ISNUMBER(E235),ISNUMBER($M$15)),C235-$M$15,NA())</f>
        <v>0</v>
      </c>
      <c r="J235" s="28">
        <f>IF(ISNUMBER(E235),E235,NA())</f>
        <v>0</v>
      </c>
      <c r="K235" s="22">
        <f>IF(AND(ISNUMBER(C235),ISNUMBER(C236)),SIGN(C236-C235),"")</f>
        <v>0</v>
      </c>
    </row>
    <row r="236" spans="3:11">
      <c r="C236" s="22">
        <f>IF(ISNUMBER(A236),A236*conv,"")</f>
        <v>0</v>
      </c>
      <c r="D236" s="28">
        <f>IF(ISNUMBER(B236),AVERAGE(INDEX($B$2:$B$301,MAX(1,235-semi)):INDEX($B$2:$B$301,MIN($M$2,235+semi))),"")</f>
        <v>0</v>
      </c>
      <c r="E236" s="28">
        <f>IF(AND(ISNUMBER(D236),ISNUMBER($M$4)),(D236-$M$4)/($M$5-$M$4),"")</f>
        <v>0</v>
      </c>
      <c r="F236" s="22">
        <f>IF(AND(ISNUMBER(E236),ISNUMBER(E237),ISNUMBER($M$6)),IF(AND(236&lt;$M$6,E236&lt;0.5,E237&gt;=0.5),236,""),"")</f>
        <v>0</v>
      </c>
      <c r="G236" s="22">
        <f>IF(AND(ISNUMBER(E236),ISNUMBER(E237),ISNUMBER($M$6)),IF(AND(236&gt;=$M$6,E236&gt;=0.5,E237&lt;0.5),236,""),"")</f>
        <v>0</v>
      </c>
      <c r="H236" s="22">
        <f>IF(OR(ISNUMBER(F236),ISNUMBER(G236)),C236+(0.5-E236)*(C237-C236)/(E237-E236),"")</f>
        <v>0</v>
      </c>
      <c r="I236" s="22">
        <f>IF(AND(ISNUMBER(E236),ISNUMBER($M$15)),C236-$M$15,NA())</f>
        <v>0</v>
      </c>
      <c r="J236" s="28">
        <f>IF(ISNUMBER(E236),E236,NA())</f>
        <v>0</v>
      </c>
      <c r="K236" s="22">
        <f>IF(AND(ISNUMBER(C236),ISNUMBER(C237)),SIGN(C237-C236),"")</f>
        <v>0</v>
      </c>
    </row>
    <row r="237" spans="3:11">
      <c r="C237" s="22">
        <f>IF(ISNUMBER(A237),A237*conv,"")</f>
        <v>0</v>
      </c>
      <c r="D237" s="28">
        <f>IF(ISNUMBER(B237),AVERAGE(INDEX($B$2:$B$301,MAX(1,236-semi)):INDEX($B$2:$B$301,MIN($M$2,236+semi))),"")</f>
        <v>0</v>
      </c>
      <c r="E237" s="28">
        <f>IF(AND(ISNUMBER(D237),ISNUMBER($M$4)),(D237-$M$4)/($M$5-$M$4),"")</f>
        <v>0</v>
      </c>
      <c r="F237" s="22">
        <f>IF(AND(ISNUMBER(E237),ISNUMBER(E238),ISNUMBER($M$6)),IF(AND(237&lt;$M$6,E237&lt;0.5,E238&gt;=0.5),237,""),"")</f>
        <v>0</v>
      </c>
      <c r="G237" s="22">
        <f>IF(AND(ISNUMBER(E237),ISNUMBER(E238),ISNUMBER($M$6)),IF(AND(237&gt;=$M$6,E237&gt;=0.5,E238&lt;0.5),237,""),"")</f>
        <v>0</v>
      </c>
      <c r="H237" s="22">
        <f>IF(OR(ISNUMBER(F237),ISNUMBER(G237)),C237+(0.5-E237)*(C238-C237)/(E238-E237),"")</f>
        <v>0</v>
      </c>
      <c r="I237" s="22">
        <f>IF(AND(ISNUMBER(E237),ISNUMBER($M$15)),C237-$M$15,NA())</f>
        <v>0</v>
      </c>
      <c r="J237" s="28">
        <f>IF(ISNUMBER(E237),E237,NA())</f>
        <v>0</v>
      </c>
      <c r="K237" s="22">
        <f>IF(AND(ISNUMBER(C237),ISNUMBER(C238)),SIGN(C238-C237),"")</f>
        <v>0</v>
      </c>
    </row>
    <row r="238" spans="3:11">
      <c r="C238" s="22">
        <f>IF(ISNUMBER(A238),A238*conv,"")</f>
        <v>0</v>
      </c>
      <c r="D238" s="28">
        <f>IF(ISNUMBER(B238),AVERAGE(INDEX($B$2:$B$301,MAX(1,237-semi)):INDEX($B$2:$B$301,MIN($M$2,237+semi))),"")</f>
        <v>0</v>
      </c>
      <c r="E238" s="28">
        <f>IF(AND(ISNUMBER(D238),ISNUMBER($M$4)),(D238-$M$4)/($M$5-$M$4),"")</f>
        <v>0</v>
      </c>
      <c r="F238" s="22">
        <f>IF(AND(ISNUMBER(E238),ISNUMBER(E239),ISNUMBER($M$6)),IF(AND(238&lt;$M$6,E238&lt;0.5,E239&gt;=0.5),238,""),"")</f>
        <v>0</v>
      </c>
      <c r="G238" s="22">
        <f>IF(AND(ISNUMBER(E238),ISNUMBER(E239),ISNUMBER($M$6)),IF(AND(238&gt;=$M$6,E238&gt;=0.5,E239&lt;0.5),238,""),"")</f>
        <v>0</v>
      </c>
      <c r="H238" s="22">
        <f>IF(OR(ISNUMBER(F238),ISNUMBER(G238)),C238+(0.5-E238)*(C239-C238)/(E239-E238),"")</f>
        <v>0</v>
      </c>
      <c r="I238" s="22">
        <f>IF(AND(ISNUMBER(E238),ISNUMBER($M$15)),C238-$M$15,NA())</f>
        <v>0</v>
      </c>
      <c r="J238" s="28">
        <f>IF(ISNUMBER(E238),E238,NA())</f>
        <v>0</v>
      </c>
      <c r="K238" s="22">
        <f>IF(AND(ISNUMBER(C238),ISNUMBER(C239)),SIGN(C239-C238),"")</f>
        <v>0</v>
      </c>
    </row>
    <row r="239" spans="3:11">
      <c r="C239" s="22">
        <f>IF(ISNUMBER(A239),A239*conv,"")</f>
        <v>0</v>
      </c>
      <c r="D239" s="28">
        <f>IF(ISNUMBER(B239),AVERAGE(INDEX($B$2:$B$301,MAX(1,238-semi)):INDEX($B$2:$B$301,MIN($M$2,238+semi))),"")</f>
        <v>0</v>
      </c>
      <c r="E239" s="28">
        <f>IF(AND(ISNUMBER(D239),ISNUMBER($M$4)),(D239-$M$4)/($M$5-$M$4),"")</f>
        <v>0</v>
      </c>
      <c r="F239" s="22">
        <f>IF(AND(ISNUMBER(E239),ISNUMBER(E240),ISNUMBER($M$6)),IF(AND(239&lt;$M$6,E239&lt;0.5,E240&gt;=0.5),239,""),"")</f>
        <v>0</v>
      </c>
      <c r="G239" s="22">
        <f>IF(AND(ISNUMBER(E239),ISNUMBER(E240),ISNUMBER($M$6)),IF(AND(239&gt;=$M$6,E239&gt;=0.5,E240&lt;0.5),239,""),"")</f>
        <v>0</v>
      </c>
      <c r="H239" s="22">
        <f>IF(OR(ISNUMBER(F239),ISNUMBER(G239)),C239+(0.5-E239)*(C240-C239)/(E240-E239),"")</f>
        <v>0</v>
      </c>
      <c r="I239" s="22">
        <f>IF(AND(ISNUMBER(E239),ISNUMBER($M$15)),C239-$M$15,NA())</f>
        <v>0</v>
      </c>
      <c r="J239" s="28">
        <f>IF(ISNUMBER(E239),E239,NA())</f>
        <v>0</v>
      </c>
      <c r="K239" s="22">
        <f>IF(AND(ISNUMBER(C239),ISNUMBER(C240)),SIGN(C240-C239),"")</f>
        <v>0</v>
      </c>
    </row>
    <row r="240" spans="3:11">
      <c r="C240" s="22">
        <f>IF(ISNUMBER(A240),A240*conv,"")</f>
        <v>0</v>
      </c>
      <c r="D240" s="28">
        <f>IF(ISNUMBER(B240),AVERAGE(INDEX($B$2:$B$301,MAX(1,239-semi)):INDEX($B$2:$B$301,MIN($M$2,239+semi))),"")</f>
        <v>0</v>
      </c>
      <c r="E240" s="28">
        <f>IF(AND(ISNUMBER(D240),ISNUMBER($M$4)),(D240-$M$4)/($M$5-$M$4),"")</f>
        <v>0</v>
      </c>
      <c r="F240" s="22">
        <f>IF(AND(ISNUMBER(E240),ISNUMBER(E241),ISNUMBER($M$6)),IF(AND(240&lt;$M$6,E240&lt;0.5,E241&gt;=0.5),240,""),"")</f>
        <v>0</v>
      </c>
      <c r="G240" s="22">
        <f>IF(AND(ISNUMBER(E240),ISNUMBER(E241),ISNUMBER($M$6)),IF(AND(240&gt;=$M$6,E240&gt;=0.5,E241&lt;0.5),240,""),"")</f>
        <v>0</v>
      </c>
      <c r="H240" s="22">
        <f>IF(OR(ISNUMBER(F240),ISNUMBER(G240)),C240+(0.5-E240)*(C241-C240)/(E241-E240),"")</f>
        <v>0</v>
      </c>
      <c r="I240" s="22">
        <f>IF(AND(ISNUMBER(E240),ISNUMBER($M$15)),C240-$M$15,NA())</f>
        <v>0</v>
      </c>
      <c r="J240" s="28">
        <f>IF(ISNUMBER(E240),E240,NA())</f>
        <v>0</v>
      </c>
      <c r="K240" s="22">
        <f>IF(AND(ISNUMBER(C240),ISNUMBER(C241)),SIGN(C241-C240),"")</f>
        <v>0</v>
      </c>
    </row>
    <row r="241" spans="3:11">
      <c r="C241" s="22">
        <f>IF(ISNUMBER(A241),A241*conv,"")</f>
        <v>0</v>
      </c>
      <c r="D241" s="28">
        <f>IF(ISNUMBER(B241),AVERAGE(INDEX($B$2:$B$301,MAX(1,240-semi)):INDEX($B$2:$B$301,MIN($M$2,240+semi))),"")</f>
        <v>0</v>
      </c>
      <c r="E241" s="28">
        <f>IF(AND(ISNUMBER(D241),ISNUMBER($M$4)),(D241-$M$4)/($M$5-$M$4),"")</f>
        <v>0</v>
      </c>
      <c r="F241" s="22">
        <f>IF(AND(ISNUMBER(E241),ISNUMBER(E242),ISNUMBER($M$6)),IF(AND(241&lt;$M$6,E241&lt;0.5,E242&gt;=0.5),241,""),"")</f>
        <v>0</v>
      </c>
      <c r="G241" s="22">
        <f>IF(AND(ISNUMBER(E241),ISNUMBER(E242),ISNUMBER($M$6)),IF(AND(241&gt;=$M$6,E241&gt;=0.5,E242&lt;0.5),241,""),"")</f>
        <v>0</v>
      </c>
      <c r="H241" s="22">
        <f>IF(OR(ISNUMBER(F241),ISNUMBER(G241)),C241+(0.5-E241)*(C242-C241)/(E242-E241),"")</f>
        <v>0</v>
      </c>
      <c r="I241" s="22">
        <f>IF(AND(ISNUMBER(E241),ISNUMBER($M$15)),C241-$M$15,NA())</f>
        <v>0</v>
      </c>
      <c r="J241" s="28">
        <f>IF(ISNUMBER(E241),E241,NA())</f>
        <v>0</v>
      </c>
      <c r="K241" s="22">
        <f>IF(AND(ISNUMBER(C241),ISNUMBER(C242)),SIGN(C242-C241),"")</f>
        <v>0</v>
      </c>
    </row>
    <row r="242" spans="3:11">
      <c r="C242" s="22">
        <f>IF(ISNUMBER(A242),A242*conv,"")</f>
        <v>0</v>
      </c>
      <c r="D242" s="28">
        <f>IF(ISNUMBER(B242),AVERAGE(INDEX($B$2:$B$301,MAX(1,241-semi)):INDEX($B$2:$B$301,MIN($M$2,241+semi))),"")</f>
        <v>0</v>
      </c>
      <c r="E242" s="28">
        <f>IF(AND(ISNUMBER(D242),ISNUMBER($M$4)),(D242-$M$4)/($M$5-$M$4),"")</f>
        <v>0</v>
      </c>
      <c r="F242" s="22">
        <f>IF(AND(ISNUMBER(E242),ISNUMBER(E243),ISNUMBER($M$6)),IF(AND(242&lt;$M$6,E242&lt;0.5,E243&gt;=0.5),242,""),"")</f>
        <v>0</v>
      </c>
      <c r="G242" s="22">
        <f>IF(AND(ISNUMBER(E242),ISNUMBER(E243),ISNUMBER($M$6)),IF(AND(242&gt;=$M$6,E242&gt;=0.5,E243&lt;0.5),242,""),"")</f>
        <v>0</v>
      </c>
      <c r="H242" s="22">
        <f>IF(OR(ISNUMBER(F242),ISNUMBER(G242)),C242+(0.5-E242)*(C243-C242)/(E243-E242),"")</f>
        <v>0</v>
      </c>
      <c r="I242" s="22">
        <f>IF(AND(ISNUMBER(E242),ISNUMBER($M$15)),C242-$M$15,NA())</f>
        <v>0</v>
      </c>
      <c r="J242" s="28">
        <f>IF(ISNUMBER(E242),E242,NA())</f>
        <v>0</v>
      </c>
      <c r="K242" s="22">
        <f>IF(AND(ISNUMBER(C242),ISNUMBER(C243)),SIGN(C243-C242),"")</f>
        <v>0</v>
      </c>
    </row>
    <row r="243" spans="3:11">
      <c r="C243" s="22">
        <f>IF(ISNUMBER(A243),A243*conv,"")</f>
        <v>0</v>
      </c>
      <c r="D243" s="28">
        <f>IF(ISNUMBER(B243),AVERAGE(INDEX($B$2:$B$301,MAX(1,242-semi)):INDEX($B$2:$B$301,MIN($M$2,242+semi))),"")</f>
        <v>0</v>
      </c>
      <c r="E243" s="28">
        <f>IF(AND(ISNUMBER(D243),ISNUMBER($M$4)),(D243-$M$4)/($M$5-$M$4),"")</f>
        <v>0</v>
      </c>
      <c r="F243" s="22">
        <f>IF(AND(ISNUMBER(E243),ISNUMBER(E244),ISNUMBER($M$6)),IF(AND(243&lt;$M$6,E243&lt;0.5,E244&gt;=0.5),243,""),"")</f>
        <v>0</v>
      </c>
      <c r="G243" s="22">
        <f>IF(AND(ISNUMBER(E243),ISNUMBER(E244),ISNUMBER($M$6)),IF(AND(243&gt;=$M$6,E243&gt;=0.5,E244&lt;0.5),243,""),"")</f>
        <v>0</v>
      </c>
      <c r="H243" s="22">
        <f>IF(OR(ISNUMBER(F243),ISNUMBER(G243)),C243+(0.5-E243)*(C244-C243)/(E244-E243),"")</f>
        <v>0</v>
      </c>
      <c r="I243" s="22">
        <f>IF(AND(ISNUMBER(E243),ISNUMBER($M$15)),C243-$M$15,NA())</f>
        <v>0</v>
      </c>
      <c r="J243" s="28">
        <f>IF(ISNUMBER(E243),E243,NA())</f>
        <v>0</v>
      </c>
      <c r="K243" s="22">
        <f>IF(AND(ISNUMBER(C243),ISNUMBER(C244)),SIGN(C244-C243),"")</f>
        <v>0</v>
      </c>
    </row>
    <row r="244" spans="3:11">
      <c r="C244" s="22">
        <f>IF(ISNUMBER(A244),A244*conv,"")</f>
        <v>0</v>
      </c>
      <c r="D244" s="28">
        <f>IF(ISNUMBER(B244),AVERAGE(INDEX($B$2:$B$301,MAX(1,243-semi)):INDEX($B$2:$B$301,MIN($M$2,243+semi))),"")</f>
        <v>0</v>
      </c>
      <c r="E244" s="28">
        <f>IF(AND(ISNUMBER(D244),ISNUMBER($M$4)),(D244-$M$4)/($M$5-$M$4),"")</f>
        <v>0</v>
      </c>
      <c r="F244" s="22">
        <f>IF(AND(ISNUMBER(E244),ISNUMBER(E245),ISNUMBER($M$6)),IF(AND(244&lt;$M$6,E244&lt;0.5,E245&gt;=0.5),244,""),"")</f>
        <v>0</v>
      </c>
      <c r="G244" s="22">
        <f>IF(AND(ISNUMBER(E244),ISNUMBER(E245),ISNUMBER($M$6)),IF(AND(244&gt;=$M$6,E244&gt;=0.5,E245&lt;0.5),244,""),"")</f>
        <v>0</v>
      </c>
      <c r="H244" s="22">
        <f>IF(OR(ISNUMBER(F244),ISNUMBER(G244)),C244+(0.5-E244)*(C245-C244)/(E245-E244),"")</f>
        <v>0</v>
      </c>
      <c r="I244" s="22">
        <f>IF(AND(ISNUMBER(E244),ISNUMBER($M$15)),C244-$M$15,NA())</f>
        <v>0</v>
      </c>
      <c r="J244" s="28">
        <f>IF(ISNUMBER(E244),E244,NA())</f>
        <v>0</v>
      </c>
      <c r="K244" s="22">
        <f>IF(AND(ISNUMBER(C244),ISNUMBER(C245)),SIGN(C245-C244),"")</f>
        <v>0</v>
      </c>
    </row>
    <row r="245" spans="3:11">
      <c r="C245" s="22">
        <f>IF(ISNUMBER(A245),A245*conv,"")</f>
        <v>0</v>
      </c>
      <c r="D245" s="28">
        <f>IF(ISNUMBER(B245),AVERAGE(INDEX($B$2:$B$301,MAX(1,244-semi)):INDEX($B$2:$B$301,MIN($M$2,244+semi))),"")</f>
        <v>0</v>
      </c>
      <c r="E245" s="28">
        <f>IF(AND(ISNUMBER(D245),ISNUMBER($M$4)),(D245-$M$4)/($M$5-$M$4),"")</f>
        <v>0</v>
      </c>
      <c r="F245" s="22">
        <f>IF(AND(ISNUMBER(E245),ISNUMBER(E246),ISNUMBER($M$6)),IF(AND(245&lt;$M$6,E245&lt;0.5,E246&gt;=0.5),245,""),"")</f>
        <v>0</v>
      </c>
      <c r="G245" s="22">
        <f>IF(AND(ISNUMBER(E245),ISNUMBER(E246),ISNUMBER($M$6)),IF(AND(245&gt;=$M$6,E245&gt;=0.5,E246&lt;0.5),245,""),"")</f>
        <v>0</v>
      </c>
      <c r="H245" s="22">
        <f>IF(OR(ISNUMBER(F245),ISNUMBER(G245)),C245+(0.5-E245)*(C246-C245)/(E246-E245),"")</f>
        <v>0</v>
      </c>
      <c r="I245" s="22">
        <f>IF(AND(ISNUMBER(E245),ISNUMBER($M$15)),C245-$M$15,NA())</f>
        <v>0</v>
      </c>
      <c r="J245" s="28">
        <f>IF(ISNUMBER(E245),E245,NA())</f>
        <v>0</v>
      </c>
      <c r="K245" s="22">
        <f>IF(AND(ISNUMBER(C245),ISNUMBER(C246)),SIGN(C246-C245),"")</f>
        <v>0</v>
      </c>
    </row>
    <row r="246" spans="3:11">
      <c r="C246" s="22">
        <f>IF(ISNUMBER(A246),A246*conv,"")</f>
        <v>0</v>
      </c>
      <c r="D246" s="28">
        <f>IF(ISNUMBER(B246),AVERAGE(INDEX($B$2:$B$301,MAX(1,245-semi)):INDEX($B$2:$B$301,MIN($M$2,245+semi))),"")</f>
        <v>0</v>
      </c>
      <c r="E246" s="28">
        <f>IF(AND(ISNUMBER(D246),ISNUMBER($M$4)),(D246-$M$4)/($M$5-$M$4),"")</f>
        <v>0</v>
      </c>
      <c r="F246" s="22">
        <f>IF(AND(ISNUMBER(E246),ISNUMBER(E247),ISNUMBER($M$6)),IF(AND(246&lt;$M$6,E246&lt;0.5,E247&gt;=0.5),246,""),"")</f>
        <v>0</v>
      </c>
      <c r="G246" s="22">
        <f>IF(AND(ISNUMBER(E246),ISNUMBER(E247),ISNUMBER($M$6)),IF(AND(246&gt;=$M$6,E246&gt;=0.5,E247&lt;0.5),246,""),"")</f>
        <v>0</v>
      </c>
      <c r="H246" s="22">
        <f>IF(OR(ISNUMBER(F246),ISNUMBER(G246)),C246+(0.5-E246)*(C247-C246)/(E247-E246),"")</f>
        <v>0</v>
      </c>
      <c r="I246" s="22">
        <f>IF(AND(ISNUMBER(E246),ISNUMBER($M$15)),C246-$M$15,NA())</f>
        <v>0</v>
      </c>
      <c r="J246" s="28">
        <f>IF(ISNUMBER(E246),E246,NA())</f>
        <v>0</v>
      </c>
      <c r="K246" s="22">
        <f>IF(AND(ISNUMBER(C246),ISNUMBER(C247)),SIGN(C247-C246),"")</f>
        <v>0</v>
      </c>
    </row>
    <row r="247" spans="3:11">
      <c r="C247" s="22">
        <f>IF(ISNUMBER(A247),A247*conv,"")</f>
        <v>0</v>
      </c>
      <c r="D247" s="28">
        <f>IF(ISNUMBER(B247),AVERAGE(INDEX($B$2:$B$301,MAX(1,246-semi)):INDEX($B$2:$B$301,MIN($M$2,246+semi))),"")</f>
        <v>0</v>
      </c>
      <c r="E247" s="28">
        <f>IF(AND(ISNUMBER(D247),ISNUMBER($M$4)),(D247-$M$4)/($M$5-$M$4),"")</f>
        <v>0</v>
      </c>
      <c r="F247" s="22">
        <f>IF(AND(ISNUMBER(E247),ISNUMBER(E248),ISNUMBER($M$6)),IF(AND(247&lt;$M$6,E247&lt;0.5,E248&gt;=0.5),247,""),"")</f>
        <v>0</v>
      </c>
      <c r="G247" s="22">
        <f>IF(AND(ISNUMBER(E247),ISNUMBER(E248),ISNUMBER($M$6)),IF(AND(247&gt;=$M$6,E247&gt;=0.5,E248&lt;0.5),247,""),"")</f>
        <v>0</v>
      </c>
      <c r="H247" s="22">
        <f>IF(OR(ISNUMBER(F247),ISNUMBER(G247)),C247+(0.5-E247)*(C248-C247)/(E248-E247),"")</f>
        <v>0</v>
      </c>
      <c r="I247" s="22">
        <f>IF(AND(ISNUMBER(E247),ISNUMBER($M$15)),C247-$M$15,NA())</f>
        <v>0</v>
      </c>
      <c r="J247" s="28">
        <f>IF(ISNUMBER(E247),E247,NA())</f>
        <v>0</v>
      </c>
      <c r="K247" s="22">
        <f>IF(AND(ISNUMBER(C247),ISNUMBER(C248)),SIGN(C248-C247),"")</f>
        <v>0</v>
      </c>
    </row>
    <row r="248" spans="3:11">
      <c r="C248" s="22">
        <f>IF(ISNUMBER(A248),A248*conv,"")</f>
        <v>0</v>
      </c>
      <c r="D248" s="28">
        <f>IF(ISNUMBER(B248),AVERAGE(INDEX($B$2:$B$301,MAX(1,247-semi)):INDEX($B$2:$B$301,MIN($M$2,247+semi))),"")</f>
        <v>0</v>
      </c>
      <c r="E248" s="28">
        <f>IF(AND(ISNUMBER(D248),ISNUMBER($M$4)),(D248-$M$4)/($M$5-$M$4),"")</f>
        <v>0</v>
      </c>
      <c r="F248" s="22">
        <f>IF(AND(ISNUMBER(E248),ISNUMBER(E249),ISNUMBER($M$6)),IF(AND(248&lt;$M$6,E248&lt;0.5,E249&gt;=0.5),248,""),"")</f>
        <v>0</v>
      </c>
      <c r="G248" s="22">
        <f>IF(AND(ISNUMBER(E248),ISNUMBER(E249),ISNUMBER($M$6)),IF(AND(248&gt;=$M$6,E248&gt;=0.5,E249&lt;0.5),248,""),"")</f>
        <v>0</v>
      </c>
      <c r="H248" s="22">
        <f>IF(OR(ISNUMBER(F248),ISNUMBER(G248)),C248+(0.5-E248)*(C249-C248)/(E249-E248),"")</f>
        <v>0</v>
      </c>
      <c r="I248" s="22">
        <f>IF(AND(ISNUMBER(E248),ISNUMBER($M$15)),C248-$M$15,NA())</f>
        <v>0</v>
      </c>
      <c r="J248" s="28">
        <f>IF(ISNUMBER(E248),E248,NA())</f>
        <v>0</v>
      </c>
      <c r="K248" s="22">
        <f>IF(AND(ISNUMBER(C248),ISNUMBER(C249)),SIGN(C249-C248),"")</f>
        <v>0</v>
      </c>
    </row>
    <row r="249" spans="3:11">
      <c r="C249" s="22">
        <f>IF(ISNUMBER(A249),A249*conv,"")</f>
        <v>0</v>
      </c>
      <c r="D249" s="28">
        <f>IF(ISNUMBER(B249),AVERAGE(INDEX($B$2:$B$301,MAX(1,248-semi)):INDEX($B$2:$B$301,MIN($M$2,248+semi))),"")</f>
        <v>0</v>
      </c>
      <c r="E249" s="28">
        <f>IF(AND(ISNUMBER(D249),ISNUMBER($M$4)),(D249-$M$4)/($M$5-$M$4),"")</f>
        <v>0</v>
      </c>
      <c r="F249" s="22">
        <f>IF(AND(ISNUMBER(E249),ISNUMBER(E250),ISNUMBER($M$6)),IF(AND(249&lt;$M$6,E249&lt;0.5,E250&gt;=0.5),249,""),"")</f>
        <v>0</v>
      </c>
      <c r="G249" s="22">
        <f>IF(AND(ISNUMBER(E249),ISNUMBER(E250),ISNUMBER($M$6)),IF(AND(249&gt;=$M$6,E249&gt;=0.5,E250&lt;0.5),249,""),"")</f>
        <v>0</v>
      </c>
      <c r="H249" s="22">
        <f>IF(OR(ISNUMBER(F249),ISNUMBER(G249)),C249+(0.5-E249)*(C250-C249)/(E250-E249),"")</f>
        <v>0</v>
      </c>
      <c r="I249" s="22">
        <f>IF(AND(ISNUMBER(E249),ISNUMBER($M$15)),C249-$M$15,NA())</f>
        <v>0</v>
      </c>
      <c r="J249" s="28">
        <f>IF(ISNUMBER(E249),E249,NA())</f>
        <v>0</v>
      </c>
      <c r="K249" s="22">
        <f>IF(AND(ISNUMBER(C249),ISNUMBER(C250)),SIGN(C250-C249),"")</f>
        <v>0</v>
      </c>
    </row>
    <row r="250" spans="3:11">
      <c r="C250" s="22">
        <f>IF(ISNUMBER(A250),A250*conv,"")</f>
        <v>0</v>
      </c>
      <c r="D250" s="28">
        <f>IF(ISNUMBER(B250),AVERAGE(INDEX($B$2:$B$301,MAX(1,249-semi)):INDEX($B$2:$B$301,MIN($M$2,249+semi))),"")</f>
        <v>0</v>
      </c>
      <c r="E250" s="28">
        <f>IF(AND(ISNUMBER(D250),ISNUMBER($M$4)),(D250-$M$4)/($M$5-$M$4),"")</f>
        <v>0</v>
      </c>
      <c r="F250" s="22">
        <f>IF(AND(ISNUMBER(E250),ISNUMBER(E251),ISNUMBER($M$6)),IF(AND(250&lt;$M$6,E250&lt;0.5,E251&gt;=0.5),250,""),"")</f>
        <v>0</v>
      </c>
      <c r="G250" s="22">
        <f>IF(AND(ISNUMBER(E250),ISNUMBER(E251),ISNUMBER($M$6)),IF(AND(250&gt;=$M$6,E250&gt;=0.5,E251&lt;0.5),250,""),"")</f>
        <v>0</v>
      </c>
      <c r="H250" s="22">
        <f>IF(OR(ISNUMBER(F250),ISNUMBER(G250)),C250+(0.5-E250)*(C251-C250)/(E251-E250),"")</f>
        <v>0</v>
      </c>
      <c r="I250" s="22">
        <f>IF(AND(ISNUMBER(E250),ISNUMBER($M$15)),C250-$M$15,NA())</f>
        <v>0</v>
      </c>
      <c r="J250" s="28">
        <f>IF(ISNUMBER(E250),E250,NA())</f>
        <v>0</v>
      </c>
      <c r="K250" s="22">
        <f>IF(AND(ISNUMBER(C250),ISNUMBER(C251)),SIGN(C251-C250),"")</f>
        <v>0</v>
      </c>
    </row>
    <row r="251" spans="3:11">
      <c r="C251" s="22">
        <f>IF(ISNUMBER(A251),A251*conv,"")</f>
        <v>0</v>
      </c>
      <c r="D251" s="28">
        <f>IF(ISNUMBER(B251),AVERAGE(INDEX($B$2:$B$301,MAX(1,250-semi)):INDEX($B$2:$B$301,MIN($M$2,250+semi))),"")</f>
        <v>0</v>
      </c>
      <c r="E251" s="28">
        <f>IF(AND(ISNUMBER(D251),ISNUMBER($M$4)),(D251-$M$4)/($M$5-$M$4),"")</f>
        <v>0</v>
      </c>
      <c r="F251" s="22">
        <f>IF(AND(ISNUMBER(E251),ISNUMBER(E252),ISNUMBER($M$6)),IF(AND(251&lt;$M$6,E251&lt;0.5,E252&gt;=0.5),251,""),"")</f>
        <v>0</v>
      </c>
      <c r="G251" s="22">
        <f>IF(AND(ISNUMBER(E251),ISNUMBER(E252),ISNUMBER($M$6)),IF(AND(251&gt;=$M$6,E251&gt;=0.5,E252&lt;0.5),251,""),"")</f>
        <v>0</v>
      </c>
      <c r="H251" s="22">
        <f>IF(OR(ISNUMBER(F251),ISNUMBER(G251)),C251+(0.5-E251)*(C252-C251)/(E252-E251),"")</f>
        <v>0</v>
      </c>
      <c r="I251" s="22">
        <f>IF(AND(ISNUMBER(E251),ISNUMBER($M$15)),C251-$M$15,NA())</f>
        <v>0</v>
      </c>
      <c r="J251" s="28">
        <f>IF(ISNUMBER(E251),E251,NA())</f>
        <v>0</v>
      </c>
      <c r="K251" s="22">
        <f>IF(AND(ISNUMBER(C251),ISNUMBER(C252)),SIGN(C252-C251),"")</f>
        <v>0</v>
      </c>
    </row>
    <row r="252" spans="3:11">
      <c r="C252" s="22">
        <f>IF(ISNUMBER(A252),A252*conv,"")</f>
        <v>0</v>
      </c>
      <c r="D252" s="28">
        <f>IF(ISNUMBER(B252),AVERAGE(INDEX($B$2:$B$301,MAX(1,251-semi)):INDEX($B$2:$B$301,MIN($M$2,251+semi))),"")</f>
        <v>0</v>
      </c>
      <c r="E252" s="28">
        <f>IF(AND(ISNUMBER(D252),ISNUMBER($M$4)),(D252-$M$4)/($M$5-$M$4),"")</f>
        <v>0</v>
      </c>
      <c r="F252" s="22">
        <f>IF(AND(ISNUMBER(E252),ISNUMBER(E253),ISNUMBER($M$6)),IF(AND(252&lt;$M$6,E252&lt;0.5,E253&gt;=0.5),252,""),"")</f>
        <v>0</v>
      </c>
      <c r="G252" s="22">
        <f>IF(AND(ISNUMBER(E252),ISNUMBER(E253),ISNUMBER($M$6)),IF(AND(252&gt;=$M$6,E252&gt;=0.5,E253&lt;0.5),252,""),"")</f>
        <v>0</v>
      </c>
      <c r="H252" s="22">
        <f>IF(OR(ISNUMBER(F252),ISNUMBER(G252)),C252+(0.5-E252)*(C253-C252)/(E253-E252),"")</f>
        <v>0</v>
      </c>
      <c r="I252" s="22">
        <f>IF(AND(ISNUMBER(E252),ISNUMBER($M$15)),C252-$M$15,NA())</f>
        <v>0</v>
      </c>
      <c r="J252" s="28">
        <f>IF(ISNUMBER(E252),E252,NA())</f>
        <v>0</v>
      </c>
      <c r="K252" s="22">
        <f>IF(AND(ISNUMBER(C252),ISNUMBER(C253)),SIGN(C253-C252),"")</f>
        <v>0</v>
      </c>
    </row>
    <row r="253" spans="3:11">
      <c r="C253" s="22">
        <f>IF(ISNUMBER(A253),A253*conv,"")</f>
        <v>0</v>
      </c>
      <c r="D253" s="28">
        <f>IF(ISNUMBER(B253),AVERAGE(INDEX($B$2:$B$301,MAX(1,252-semi)):INDEX($B$2:$B$301,MIN($M$2,252+semi))),"")</f>
        <v>0</v>
      </c>
      <c r="E253" s="28">
        <f>IF(AND(ISNUMBER(D253),ISNUMBER($M$4)),(D253-$M$4)/($M$5-$M$4),"")</f>
        <v>0</v>
      </c>
      <c r="F253" s="22">
        <f>IF(AND(ISNUMBER(E253),ISNUMBER(E254),ISNUMBER($M$6)),IF(AND(253&lt;$M$6,E253&lt;0.5,E254&gt;=0.5),253,""),"")</f>
        <v>0</v>
      </c>
      <c r="G253" s="22">
        <f>IF(AND(ISNUMBER(E253),ISNUMBER(E254),ISNUMBER($M$6)),IF(AND(253&gt;=$M$6,E253&gt;=0.5,E254&lt;0.5),253,""),"")</f>
        <v>0</v>
      </c>
      <c r="H253" s="22">
        <f>IF(OR(ISNUMBER(F253),ISNUMBER(G253)),C253+(0.5-E253)*(C254-C253)/(E254-E253),"")</f>
        <v>0</v>
      </c>
      <c r="I253" s="22">
        <f>IF(AND(ISNUMBER(E253),ISNUMBER($M$15)),C253-$M$15,NA())</f>
        <v>0</v>
      </c>
      <c r="J253" s="28">
        <f>IF(ISNUMBER(E253),E253,NA())</f>
        <v>0</v>
      </c>
      <c r="K253" s="22">
        <f>IF(AND(ISNUMBER(C253),ISNUMBER(C254)),SIGN(C254-C253),"")</f>
        <v>0</v>
      </c>
    </row>
    <row r="254" spans="3:11">
      <c r="C254" s="22">
        <f>IF(ISNUMBER(A254),A254*conv,"")</f>
        <v>0</v>
      </c>
      <c r="D254" s="28">
        <f>IF(ISNUMBER(B254),AVERAGE(INDEX($B$2:$B$301,MAX(1,253-semi)):INDEX($B$2:$B$301,MIN($M$2,253+semi))),"")</f>
        <v>0</v>
      </c>
      <c r="E254" s="28">
        <f>IF(AND(ISNUMBER(D254),ISNUMBER($M$4)),(D254-$M$4)/($M$5-$M$4),"")</f>
        <v>0</v>
      </c>
      <c r="F254" s="22">
        <f>IF(AND(ISNUMBER(E254),ISNUMBER(E255),ISNUMBER($M$6)),IF(AND(254&lt;$M$6,E254&lt;0.5,E255&gt;=0.5),254,""),"")</f>
        <v>0</v>
      </c>
      <c r="G254" s="22">
        <f>IF(AND(ISNUMBER(E254),ISNUMBER(E255),ISNUMBER($M$6)),IF(AND(254&gt;=$M$6,E254&gt;=0.5,E255&lt;0.5),254,""),"")</f>
        <v>0</v>
      </c>
      <c r="H254" s="22">
        <f>IF(OR(ISNUMBER(F254),ISNUMBER(G254)),C254+(0.5-E254)*(C255-C254)/(E255-E254),"")</f>
        <v>0</v>
      </c>
      <c r="I254" s="22">
        <f>IF(AND(ISNUMBER(E254),ISNUMBER($M$15)),C254-$M$15,NA())</f>
        <v>0</v>
      </c>
      <c r="J254" s="28">
        <f>IF(ISNUMBER(E254),E254,NA())</f>
        <v>0</v>
      </c>
      <c r="K254" s="22">
        <f>IF(AND(ISNUMBER(C254),ISNUMBER(C255)),SIGN(C255-C254),"")</f>
        <v>0</v>
      </c>
    </row>
    <row r="255" spans="3:11">
      <c r="C255" s="22">
        <f>IF(ISNUMBER(A255),A255*conv,"")</f>
        <v>0</v>
      </c>
      <c r="D255" s="28">
        <f>IF(ISNUMBER(B255),AVERAGE(INDEX($B$2:$B$301,MAX(1,254-semi)):INDEX($B$2:$B$301,MIN($M$2,254+semi))),"")</f>
        <v>0</v>
      </c>
      <c r="E255" s="28">
        <f>IF(AND(ISNUMBER(D255),ISNUMBER($M$4)),(D255-$M$4)/($M$5-$M$4),"")</f>
        <v>0</v>
      </c>
      <c r="F255" s="22">
        <f>IF(AND(ISNUMBER(E255),ISNUMBER(E256),ISNUMBER($M$6)),IF(AND(255&lt;$M$6,E255&lt;0.5,E256&gt;=0.5),255,""),"")</f>
        <v>0</v>
      </c>
      <c r="G255" s="22">
        <f>IF(AND(ISNUMBER(E255),ISNUMBER(E256),ISNUMBER($M$6)),IF(AND(255&gt;=$M$6,E255&gt;=0.5,E256&lt;0.5),255,""),"")</f>
        <v>0</v>
      </c>
      <c r="H255" s="22">
        <f>IF(OR(ISNUMBER(F255),ISNUMBER(G255)),C255+(0.5-E255)*(C256-C255)/(E256-E255),"")</f>
        <v>0</v>
      </c>
      <c r="I255" s="22">
        <f>IF(AND(ISNUMBER(E255),ISNUMBER($M$15)),C255-$M$15,NA())</f>
        <v>0</v>
      </c>
      <c r="J255" s="28">
        <f>IF(ISNUMBER(E255),E255,NA())</f>
        <v>0</v>
      </c>
      <c r="K255" s="22">
        <f>IF(AND(ISNUMBER(C255),ISNUMBER(C256)),SIGN(C256-C255),"")</f>
        <v>0</v>
      </c>
    </row>
    <row r="256" spans="3:11">
      <c r="C256" s="22">
        <f>IF(ISNUMBER(A256),A256*conv,"")</f>
        <v>0</v>
      </c>
      <c r="D256" s="28">
        <f>IF(ISNUMBER(B256),AVERAGE(INDEX($B$2:$B$301,MAX(1,255-semi)):INDEX($B$2:$B$301,MIN($M$2,255+semi))),"")</f>
        <v>0</v>
      </c>
      <c r="E256" s="28">
        <f>IF(AND(ISNUMBER(D256),ISNUMBER($M$4)),(D256-$M$4)/($M$5-$M$4),"")</f>
        <v>0</v>
      </c>
      <c r="F256" s="22">
        <f>IF(AND(ISNUMBER(E256),ISNUMBER(E257),ISNUMBER($M$6)),IF(AND(256&lt;$M$6,E256&lt;0.5,E257&gt;=0.5),256,""),"")</f>
        <v>0</v>
      </c>
      <c r="G256" s="22">
        <f>IF(AND(ISNUMBER(E256),ISNUMBER(E257),ISNUMBER($M$6)),IF(AND(256&gt;=$M$6,E256&gt;=0.5,E257&lt;0.5),256,""),"")</f>
        <v>0</v>
      </c>
      <c r="H256" s="22">
        <f>IF(OR(ISNUMBER(F256),ISNUMBER(G256)),C256+(0.5-E256)*(C257-C256)/(E257-E256),"")</f>
        <v>0</v>
      </c>
      <c r="I256" s="22">
        <f>IF(AND(ISNUMBER(E256),ISNUMBER($M$15)),C256-$M$15,NA())</f>
        <v>0</v>
      </c>
      <c r="J256" s="28">
        <f>IF(ISNUMBER(E256),E256,NA())</f>
        <v>0</v>
      </c>
      <c r="K256" s="22">
        <f>IF(AND(ISNUMBER(C256),ISNUMBER(C257)),SIGN(C257-C256),"")</f>
        <v>0</v>
      </c>
    </row>
    <row r="257" spans="3:11">
      <c r="C257" s="22">
        <f>IF(ISNUMBER(A257),A257*conv,"")</f>
        <v>0</v>
      </c>
      <c r="D257" s="28">
        <f>IF(ISNUMBER(B257),AVERAGE(INDEX($B$2:$B$301,MAX(1,256-semi)):INDEX($B$2:$B$301,MIN($M$2,256+semi))),"")</f>
        <v>0</v>
      </c>
      <c r="E257" s="28">
        <f>IF(AND(ISNUMBER(D257),ISNUMBER($M$4)),(D257-$M$4)/($M$5-$M$4),"")</f>
        <v>0</v>
      </c>
      <c r="F257" s="22">
        <f>IF(AND(ISNUMBER(E257),ISNUMBER(E258),ISNUMBER($M$6)),IF(AND(257&lt;$M$6,E257&lt;0.5,E258&gt;=0.5),257,""),"")</f>
        <v>0</v>
      </c>
      <c r="G257" s="22">
        <f>IF(AND(ISNUMBER(E257),ISNUMBER(E258),ISNUMBER($M$6)),IF(AND(257&gt;=$M$6,E257&gt;=0.5,E258&lt;0.5),257,""),"")</f>
        <v>0</v>
      </c>
      <c r="H257" s="22">
        <f>IF(OR(ISNUMBER(F257),ISNUMBER(G257)),C257+(0.5-E257)*(C258-C257)/(E258-E257),"")</f>
        <v>0</v>
      </c>
      <c r="I257" s="22">
        <f>IF(AND(ISNUMBER(E257),ISNUMBER($M$15)),C257-$M$15,NA())</f>
        <v>0</v>
      </c>
      <c r="J257" s="28">
        <f>IF(ISNUMBER(E257),E257,NA())</f>
        <v>0</v>
      </c>
      <c r="K257" s="22">
        <f>IF(AND(ISNUMBER(C257),ISNUMBER(C258)),SIGN(C258-C257),"")</f>
        <v>0</v>
      </c>
    </row>
    <row r="258" spans="3:11">
      <c r="C258" s="22">
        <f>IF(ISNUMBER(A258),A258*conv,"")</f>
        <v>0</v>
      </c>
      <c r="D258" s="28">
        <f>IF(ISNUMBER(B258),AVERAGE(INDEX($B$2:$B$301,MAX(1,257-semi)):INDEX($B$2:$B$301,MIN($M$2,257+semi))),"")</f>
        <v>0</v>
      </c>
      <c r="E258" s="28">
        <f>IF(AND(ISNUMBER(D258),ISNUMBER($M$4)),(D258-$M$4)/($M$5-$M$4),"")</f>
        <v>0</v>
      </c>
      <c r="F258" s="22">
        <f>IF(AND(ISNUMBER(E258),ISNUMBER(E259),ISNUMBER($M$6)),IF(AND(258&lt;$M$6,E258&lt;0.5,E259&gt;=0.5),258,""),"")</f>
        <v>0</v>
      </c>
      <c r="G258" s="22">
        <f>IF(AND(ISNUMBER(E258),ISNUMBER(E259),ISNUMBER($M$6)),IF(AND(258&gt;=$M$6,E258&gt;=0.5,E259&lt;0.5),258,""),"")</f>
        <v>0</v>
      </c>
      <c r="H258" s="22">
        <f>IF(OR(ISNUMBER(F258),ISNUMBER(G258)),C258+(0.5-E258)*(C259-C258)/(E259-E258),"")</f>
        <v>0</v>
      </c>
      <c r="I258" s="22">
        <f>IF(AND(ISNUMBER(E258),ISNUMBER($M$15)),C258-$M$15,NA())</f>
        <v>0</v>
      </c>
      <c r="J258" s="28">
        <f>IF(ISNUMBER(E258),E258,NA())</f>
        <v>0</v>
      </c>
      <c r="K258" s="22">
        <f>IF(AND(ISNUMBER(C258),ISNUMBER(C259)),SIGN(C259-C258),"")</f>
        <v>0</v>
      </c>
    </row>
    <row r="259" spans="3:11">
      <c r="C259" s="22">
        <f>IF(ISNUMBER(A259),A259*conv,"")</f>
        <v>0</v>
      </c>
      <c r="D259" s="28">
        <f>IF(ISNUMBER(B259),AVERAGE(INDEX($B$2:$B$301,MAX(1,258-semi)):INDEX($B$2:$B$301,MIN($M$2,258+semi))),"")</f>
        <v>0</v>
      </c>
      <c r="E259" s="28">
        <f>IF(AND(ISNUMBER(D259),ISNUMBER($M$4)),(D259-$M$4)/($M$5-$M$4),"")</f>
        <v>0</v>
      </c>
      <c r="F259" s="22">
        <f>IF(AND(ISNUMBER(E259),ISNUMBER(E260),ISNUMBER($M$6)),IF(AND(259&lt;$M$6,E259&lt;0.5,E260&gt;=0.5),259,""),"")</f>
        <v>0</v>
      </c>
      <c r="G259" s="22">
        <f>IF(AND(ISNUMBER(E259),ISNUMBER(E260),ISNUMBER($M$6)),IF(AND(259&gt;=$M$6,E259&gt;=0.5,E260&lt;0.5),259,""),"")</f>
        <v>0</v>
      </c>
      <c r="H259" s="22">
        <f>IF(OR(ISNUMBER(F259),ISNUMBER(G259)),C259+(0.5-E259)*(C260-C259)/(E260-E259),"")</f>
        <v>0</v>
      </c>
      <c r="I259" s="22">
        <f>IF(AND(ISNUMBER(E259),ISNUMBER($M$15)),C259-$M$15,NA())</f>
        <v>0</v>
      </c>
      <c r="J259" s="28">
        <f>IF(ISNUMBER(E259),E259,NA())</f>
        <v>0</v>
      </c>
      <c r="K259" s="22">
        <f>IF(AND(ISNUMBER(C259),ISNUMBER(C260)),SIGN(C260-C259),"")</f>
        <v>0</v>
      </c>
    </row>
    <row r="260" spans="3:11">
      <c r="C260" s="22">
        <f>IF(ISNUMBER(A260),A260*conv,"")</f>
        <v>0</v>
      </c>
      <c r="D260" s="28">
        <f>IF(ISNUMBER(B260),AVERAGE(INDEX($B$2:$B$301,MAX(1,259-semi)):INDEX($B$2:$B$301,MIN($M$2,259+semi))),"")</f>
        <v>0</v>
      </c>
      <c r="E260" s="28">
        <f>IF(AND(ISNUMBER(D260),ISNUMBER($M$4)),(D260-$M$4)/($M$5-$M$4),"")</f>
        <v>0</v>
      </c>
      <c r="F260" s="22">
        <f>IF(AND(ISNUMBER(E260),ISNUMBER(E261),ISNUMBER($M$6)),IF(AND(260&lt;$M$6,E260&lt;0.5,E261&gt;=0.5),260,""),"")</f>
        <v>0</v>
      </c>
      <c r="G260" s="22">
        <f>IF(AND(ISNUMBER(E260),ISNUMBER(E261),ISNUMBER($M$6)),IF(AND(260&gt;=$M$6,E260&gt;=0.5,E261&lt;0.5),260,""),"")</f>
        <v>0</v>
      </c>
      <c r="H260" s="22">
        <f>IF(OR(ISNUMBER(F260),ISNUMBER(G260)),C260+(0.5-E260)*(C261-C260)/(E261-E260),"")</f>
        <v>0</v>
      </c>
      <c r="I260" s="22">
        <f>IF(AND(ISNUMBER(E260),ISNUMBER($M$15)),C260-$M$15,NA())</f>
        <v>0</v>
      </c>
      <c r="J260" s="28">
        <f>IF(ISNUMBER(E260),E260,NA())</f>
        <v>0</v>
      </c>
      <c r="K260" s="22">
        <f>IF(AND(ISNUMBER(C260),ISNUMBER(C261)),SIGN(C261-C260),"")</f>
        <v>0</v>
      </c>
    </row>
    <row r="261" spans="3:11">
      <c r="C261" s="22">
        <f>IF(ISNUMBER(A261),A261*conv,"")</f>
        <v>0</v>
      </c>
      <c r="D261" s="28">
        <f>IF(ISNUMBER(B261),AVERAGE(INDEX($B$2:$B$301,MAX(1,260-semi)):INDEX($B$2:$B$301,MIN($M$2,260+semi))),"")</f>
        <v>0</v>
      </c>
      <c r="E261" s="28">
        <f>IF(AND(ISNUMBER(D261),ISNUMBER($M$4)),(D261-$M$4)/($M$5-$M$4),"")</f>
        <v>0</v>
      </c>
      <c r="F261" s="22">
        <f>IF(AND(ISNUMBER(E261),ISNUMBER(E262),ISNUMBER($M$6)),IF(AND(261&lt;$M$6,E261&lt;0.5,E262&gt;=0.5),261,""),"")</f>
        <v>0</v>
      </c>
      <c r="G261" s="22">
        <f>IF(AND(ISNUMBER(E261),ISNUMBER(E262),ISNUMBER($M$6)),IF(AND(261&gt;=$M$6,E261&gt;=0.5,E262&lt;0.5),261,""),"")</f>
        <v>0</v>
      </c>
      <c r="H261" s="22">
        <f>IF(OR(ISNUMBER(F261),ISNUMBER(G261)),C261+(0.5-E261)*(C262-C261)/(E262-E261),"")</f>
        <v>0</v>
      </c>
      <c r="I261" s="22">
        <f>IF(AND(ISNUMBER(E261),ISNUMBER($M$15)),C261-$M$15,NA())</f>
        <v>0</v>
      </c>
      <c r="J261" s="28">
        <f>IF(ISNUMBER(E261),E261,NA())</f>
        <v>0</v>
      </c>
      <c r="K261" s="22">
        <f>IF(AND(ISNUMBER(C261),ISNUMBER(C262)),SIGN(C262-C261),"")</f>
        <v>0</v>
      </c>
    </row>
    <row r="262" spans="3:11">
      <c r="C262" s="22">
        <f>IF(ISNUMBER(A262),A262*conv,"")</f>
        <v>0</v>
      </c>
      <c r="D262" s="28">
        <f>IF(ISNUMBER(B262),AVERAGE(INDEX($B$2:$B$301,MAX(1,261-semi)):INDEX($B$2:$B$301,MIN($M$2,261+semi))),"")</f>
        <v>0</v>
      </c>
      <c r="E262" s="28">
        <f>IF(AND(ISNUMBER(D262),ISNUMBER($M$4)),(D262-$M$4)/($M$5-$M$4),"")</f>
        <v>0</v>
      </c>
      <c r="F262" s="22">
        <f>IF(AND(ISNUMBER(E262),ISNUMBER(E263),ISNUMBER($M$6)),IF(AND(262&lt;$M$6,E262&lt;0.5,E263&gt;=0.5),262,""),"")</f>
        <v>0</v>
      </c>
      <c r="G262" s="22">
        <f>IF(AND(ISNUMBER(E262),ISNUMBER(E263),ISNUMBER($M$6)),IF(AND(262&gt;=$M$6,E262&gt;=0.5,E263&lt;0.5),262,""),"")</f>
        <v>0</v>
      </c>
      <c r="H262" s="22">
        <f>IF(OR(ISNUMBER(F262),ISNUMBER(G262)),C262+(0.5-E262)*(C263-C262)/(E263-E262),"")</f>
        <v>0</v>
      </c>
      <c r="I262" s="22">
        <f>IF(AND(ISNUMBER(E262),ISNUMBER($M$15)),C262-$M$15,NA())</f>
        <v>0</v>
      </c>
      <c r="J262" s="28">
        <f>IF(ISNUMBER(E262),E262,NA())</f>
        <v>0</v>
      </c>
      <c r="K262" s="22">
        <f>IF(AND(ISNUMBER(C262),ISNUMBER(C263)),SIGN(C263-C262),"")</f>
        <v>0</v>
      </c>
    </row>
    <row r="263" spans="3:11">
      <c r="C263" s="22">
        <f>IF(ISNUMBER(A263),A263*conv,"")</f>
        <v>0</v>
      </c>
      <c r="D263" s="28">
        <f>IF(ISNUMBER(B263),AVERAGE(INDEX($B$2:$B$301,MAX(1,262-semi)):INDEX($B$2:$B$301,MIN($M$2,262+semi))),"")</f>
        <v>0</v>
      </c>
      <c r="E263" s="28">
        <f>IF(AND(ISNUMBER(D263),ISNUMBER($M$4)),(D263-$M$4)/($M$5-$M$4),"")</f>
        <v>0</v>
      </c>
      <c r="F263" s="22">
        <f>IF(AND(ISNUMBER(E263),ISNUMBER(E264),ISNUMBER($M$6)),IF(AND(263&lt;$M$6,E263&lt;0.5,E264&gt;=0.5),263,""),"")</f>
        <v>0</v>
      </c>
      <c r="G263" s="22">
        <f>IF(AND(ISNUMBER(E263),ISNUMBER(E264),ISNUMBER($M$6)),IF(AND(263&gt;=$M$6,E263&gt;=0.5,E264&lt;0.5),263,""),"")</f>
        <v>0</v>
      </c>
      <c r="H263" s="22">
        <f>IF(OR(ISNUMBER(F263),ISNUMBER(G263)),C263+(0.5-E263)*(C264-C263)/(E264-E263),"")</f>
        <v>0</v>
      </c>
      <c r="I263" s="22">
        <f>IF(AND(ISNUMBER(E263),ISNUMBER($M$15)),C263-$M$15,NA())</f>
        <v>0</v>
      </c>
      <c r="J263" s="28">
        <f>IF(ISNUMBER(E263),E263,NA())</f>
        <v>0</v>
      </c>
      <c r="K263" s="22">
        <f>IF(AND(ISNUMBER(C263),ISNUMBER(C264)),SIGN(C264-C263),"")</f>
        <v>0</v>
      </c>
    </row>
    <row r="264" spans="3:11">
      <c r="C264" s="22">
        <f>IF(ISNUMBER(A264),A264*conv,"")</f>
        <v>0</v>
      </c>
      <c r="D264" s="28">
        <f>IF(ISNUMBER(B264),AVERAGE(INDEX($B$2:$B$301,MAX(1,263-semi)):INDEX($B$2:$B$301,MIN($M$2,263+semi))),"")</f>
        <v>0</v>
      </c>
      <c r="E264" s="28">
        <f>IF(AND(ISNUMBER(D264),ISNUMBER($M$4)),(D264-$M$4)/($M$5-$M$4),"")</f>
        <v>0</v>
      </c>
      <c r="F264" s="22">
        <f>IF(AND(ISNUMBER(E264),ISNUMBER(E265),ISNUMBER($M$6)),IF(AND(264&lt;$M$6,E264&lt;0.5,E265&gt;=0.5),264,""),"")</f>
        <v>0</v>
      </c>
      <c r="G264" s="22">
        <f>IF(AND(ISNUMBER(E264),ISNUMBER(E265),ISNUMBER($M$6)),IF(AND(264&gt;=$M$6,E264&gt;=0.5,E265&lt;0.5),264,""),"")</f>
        <v>0</v>
      </c>
      <c r="H264" s="22">
        <f>IF(OR(ISNUMBER(F264),ISNUMBER(G264)),C264+(0.5-E264)*(C265-C264)/(E265-E264),"")</f>
        <v>0</v>
      </c>
      <c r="I264" s="22">
        <f>IF(AND(ISNUMBER(E264),ISNUMBER($M$15)),C264-$M$15,NA())</f>
        <v>0</v>
      </c>
      <c r="J264" s="28">
        <f>IF(ISNUMBER(E264),E264,NA())</f>
        <v>0</v>
      </c>
      <c r="K264" s="22">
        <f>IF(AND(ISNUMBER(C264),ISNUMBER(C265)),SIGN(C265-C264),"")</f>
        <v>0</v>
      </c>
    </row>
    <row r="265" spans="3:11">
      <c r="C265" s="22">
        <f>IF(ISNUMBER(A265),A265*conv,"")</f>
        <v>0</v>
      </c>
      <c r="D265" s="28">
        <f>IF(ISNUMBER(B265),AVERAGE(INDEX($B$2:$B$301,MAX(1,264-semi)):INDEX($B$2:$B$301,MIN($M$2,264+semi))),"")</f>
        <v>0</v>
      </c>
      <c r="E265" s="28">
        <f>IF(AND(ISNUMBER(D265),ISNUMBER($M$4)),(D265-$M$4)/($M$5-$M$4),"")</f>
        <v>0</v>
      </c>
      <c r="F265" s="22">
        <f>IF(AND(ISNUMBER(E265),ISNUMBER(E266),ISNUMBER($M$6)),IF(AND(265&lt;$M$6,E265&lt;0.5,E266&gt;=0.5),265,""),"")</f>
        <v>0</v>
      </c>
      <c r="G265" s="22">
        <f>IF(AND(ISNUMBER(E265),ISNUMBER(E266),ISNUMBER($M$6)),IF(AND(265&gt;=$M$6,E265&gt;=0.5,E266&lt;0.5),265,""),"")</f>
        <v>0</v>
      </c>
      <c r="H265" s="22">
        <f>IF(OR(ISNUMBER(F265),ISNUMBER(G265)),C265+(0.5-E265)*(C266-C265)/(E266-E265),"")</f>
        <v>0</v>
      </c>
      <c r="I265" s="22">
        <f>IF(AND(ISNUMBER(E265),ISNUMBER($M$15)),C265-$M$15,NA())</f>
        <v>0</v>
      </c>
      <c r="J265" s="28">
        <f>IF(ISNUMBER(E265),E265,NA())</f>
        <v>0</v>
      </c>
      <c r="K265" s="22">
        <f>IF(AND(ISNUMBER(C265),ISNUMBER(C266)),SIGN(C266-C265),"")</f>
        <v>0</v>
      </c>
    </row>
    <row r="266" spans="3:11">
      <c r="C266" s="22">
        <f>IF(ISNUMBER(A266),A266*conv,"")</f>
        <v>0</v>
      </c>
      <c r="D266" s="28">
        <f>IF(ISNUMBER(B266),AVERAGE(INDEX($B$2:$B$301,MAX(1,265-semi)):INDEX($B$2:$B$301,MIN($M$2,265+semi))),"")</f>
        <v>0</v>
      </c>
      <c r="E266" s="28">
        <f>IF(AND(ISNUMBER(D266),ISNUMBER($M$4)),(D266-$M$4)/($M$5-$M$4),"")</f>
        <v>0</v>
      </c>
      <c r="F266" s="22">
        <f>IF(AND(ISNUMBER(E266),ISNUMBER(E267),ISNUMBER($M$6)),IF(AND(266&lt;$M$6,E266&lt;0.5,E267&gt;=0.5),266,""),"")</f>
        <v>0</v>
      </c>
      <c r="G266" s="22">
        <f>IF(AND(ISNUMBER(E266),ISNUMBER(E267),ISNUMBER($M$6)),IF(AND(266&gt;=$M$6,E266&gt;=0.5,E267&lt;0.5),266,""),"")</f>
        <v>0</v>
      </c>
      <c r="H266" s="22">
        <f>IF(OR(ISNUMBER(F266),ISNUMBER(G266)),C266+(0.5-E266)*(C267-C266)/(E267-E266),"")</f>
        <v>0</v>
      </c>
      <c r="I266" s="22">
        <f>IF(AND(ISNUMBER(E266),ISNUMBER($M$15)),C266-$M$15,NA())</f>
        <v>0</v>
      </c>
      <c r="J266" s="28">
        <f>IF(ISNUMBER(E266),E266,NA())</f>
        <v>0</v>
      </c>
      <c r="K266" s="22">
        <f>IF(AND(ISNUMBER(C266),ISNUMBER(C267)),SIGN(C267-C266),"")</f>
        <v>0</v>
      </c>
    </row>
    <row r="267" spans="3:11">
      <c r="C267" s="22">
        <f>IF(ISNUMBER(A267),A267*conv,"")</f>
        <v>0</v>
      </c>
      <c r="D267" s="28">
        <f>IF(ISNUMBER(B267),AVERAGE(INDEX($B$2:$B$301,MAX(1,266-semi)):INDEX($B$2:$B$301,MIN($M$2,266+semi))),"")</f>
        <v>0</v>
      </c>
      <c r="E267" s="28">
        <f>IF(AND(ISNUMBER(D267),ISNUMBER($M$4)),(D267-$M$4)/($M$5-$M$4),"")</f>
        <v>0</v>
      </c>
      <c r="F267" s="22">
        <f>IF(AND(ISNUMBER(E267),ISNUMBER(E268),ISNUMBER($M$6)),IF(AND(267&lt;$M$6,E267&lt;0.5,E268&gt;=0.5),267,""),"")</f>
        <v>0</v>
      </c>
      <c r="G267" s="22">
        <f>IF(AND(ISNUMBER(E267),ISNUMBER(E268),ISNUMBER($M$6)),IF(AND(267&gt;=$M$6,E267&gt;=0.5,E268&lt;0.5),267,""),"")</f>
        <v>0</v>
      </c>
      <c r="H267" s="22">
        <f>IF(OR(ISNUMBER(F267),ISNUMBER(G267)),C267+(0.5-E267)*(C268-C267)/(E268-E267),"")</f>
        <v>0</v>
      </c>
      <c r="I267" s="22">
        <f>IF(AND(ISNUMBER(E267),ISNUMBER($M$15)),C267-$M$15,NA())</f>
        <v>0</v>
      </c>
      <c r="J267" s="28">
        <f>IF(ISNUMBER(E267),E267,NA())</f>
        <v>0</v>
      </c>
      <c r="K267" s="22">
        <f>IF(AND(ISNUMBER(C267),ISNUMBER(C268)),SIGN(C268-C267),"")</f>
        <v>0</v>
      </c>
    </row>
    <row r="268" spans="3:11">
      <c r="C268" s="22">
        <f>IF(ISNUMBER(A268),A268*conv,"")</f>
        <v>0</v>
      </c>
      <c r="D268" s="28">
        <f>IF(ISNUMBER(B268),AVERAGE(INDEX($B$2:$B$301,MAX(1,267-semi)):INDEX($B$2:$B$301,MIN($M$2,267+semi))),"")</f>
        <v>0</v>
      </c>
      <c r="E268" s="28">
        <f>IF(AND(ISNUMBER(D268),ISNUMBER($M$4)),(D268-$M$4)/($M$5-$M$4),"")</f>
        <v>0</v>
      </c>
      <c r="F268" s="22">
        <f>IF(AND(ISNUMBER(E268),ISNUMBER(E269),ISNUMBER($M$6)),IF(AND(268&lt;$M$6,E268&lt;0.5,E269&gt;=0.5),268,""),"")</f>
        <v>0</v>
      </c>
      <c r="G268" s="22">
        <f>IF(AND(ISNUMBER(E268),ISNUMBER(E269),ISNUMBER($M$6)),IF(AND(268&gt;=$M$6,E268&gt;=0.5,E269&lt;0.5),268,""),"")</f>
        <v>0</v>
      </c>
      <c r="H268" s="22">
        <f>IF(OR(ISNUMBER(F268),ISNUMBER(G268)),C268+(0.5-E268)*(C269-C268)/(E269-E268),"")</f>
        <v>0</v>
      </c>
      <c r="I268" s="22">
        <f>IF(AND(ISNUMBER(E268),ISNUMBER($M$15)),C268-$M$15,NA())</f>
        <v>0</v>
      </c>
      <c r="J268" s="28">
        <f>IF(ISNUMBER(E268),E268,NA())</f>
        <v>0</v>
      </c>
      <c r="K268" s="22">
        <f>IF(AND(ISNUMBER(C268),ISNUMBER(C269)),SIGN(C269-C268),"")</f>
        <v>0</v>
      </c>
    </row>
    <row r="269" spans="3:11">
      <c r="C269" s="22">
        <f>IF(ISNUMBER(A269),A269*conv,"")</f>
        <v>0</v>
      </c>
      <c r="D269" s="28">
        <f>IF(ISNUMBER(B269),AVERAGE(INDEX($B$2:$B$301,MAX(1,268-semi)):INDEX($B$2:$B$301,MIN($M$2,268+semi))),"")</f>
        <v>0</v>
      </c>
      <c r="E269" s="28">
        <f>IF(AND(ISNUMBER(D269),ISNUMBER($M$4)),(D269-$M$4)/($M$5-$M$4),"")</f>
        <v>0</v>
      </c>
      <c r="F269" s="22">
        <f>IF(AND(ISNUMBER(E269),ISNUMBER(E270),ISNUMBER($M$6)),IF(AND(269&lt;$M$6,E269&lt;0.5,E270&gt;=0.5),269,""),"")</f>
        <v>0</v>
      </c>
      <c r="G269" s="22">
        <f>IF(AND(ISNUMBER(E269),ISNUMBER(E270),ISNUMBER($M$6)),IF(AND(269&gt;=$M$6,E269&gt;=0.5,E270&lt;0.5),269,""),"")</f>
        <v>0</v>
      </c>
      <c r="H269" s="22">
        <f>IF(OR(ISNUMBER(F269),ISNUMBER(G269)),C269+(0.5-E269)*(C270-C269)/(E270-E269),"")</f>
        <v>0</v>
      </c>
      <c r="I269" s="22">
        <f>IF(AND(ISNUMBER(E269),ISNUMBER($M$15)),C269-$M$15,NA())</f>
        <v>0</v>
      </c>
      <c r="J269" s="28">
        <f>IF(ISNUMBER(E269),E269,NA())</f>
        <v>0</v>
      </c>
      <c r="K269" s="22">
        <f>IF(AND(ISNUMBER(C269),ISNUMBER(C270)),SIGN(C270-C269),"")</f>
        <v>0</v>
      </c>
    </row>
    <row r="270" spans="3:11">
      <c r="C270" s="22">
        <f>IF(ISNUMBER(A270),A270*conv,"")</f>
        <v>0</v>
      </c>
      <c r="D270" s="28">
        <f>IF(ISNUMBER(B270),AVERAGE(INDEX($B$2:$B$301,MAX(1,269-semi)):INDEX($B$2:$B$301,MIN($M$2,269+semi))),"")</f>
        <v>0</v>
      </c>
      <c r="E270" s="28">
        <f>IF(AND(ISNUMBER(D270),ISNUMBER($M$4)),(D270-$M$4)/($M$5-$M$4),"")</f>
        <v>0</v>
      </c>
      <c r="F270" s="22">
        <f>IF(AND(ISNUMBER(E270),ISNUMBER(E271),ISNUMBER($M$6)),IF(AND(270&lt;$M$6,E270&lt;0.5,E271&gt;=0.5),270,""),"")</f>
        <v>0</v>
      </c>
      <c r="G270" s="22">
        <f>IF(AND(ISNUMBER(E270),ISNUMBER(E271),ISNUMBER($M$6)),IF(AND(270&gt;=$M$6,E270&gt;=0.5,E271&lt;0.5),270,""),"")</f>
        <v>0</v>
      </c>
      <c r="H270" s="22">
        <f>IF(OR(ISNUMBER(F270),ISNUMBER(G270)),C270+(0.5-E270)*(C271-C270)/(E271-E270),"")</f>
        <v>0</v>
      </c>
      <c r="I270" s="22">
        <f>IF(AND(ISNUMBER(E270),ISNUMBER($M$15)),C270-$M$15,NA())</f>
        <v>0</v>
      </c>
      <c r="J270" s="28">
        <f>IF(ISNUMBER(E270),E270,NA())</f>
        <v>0</v>
      </c>
      <c r="K270" s="22">
        <f>IF(AND(ISNUMBER(C270),ISNUMBER(C271)),SIGN(C271-C270),"")</f>
        <v>0</v>
      </c>
    </row>
    <row r="271" spans="3:11">
      <c r="C271" s="22">
        <f>IF(ISNUMBER(A271),A271*conv,"")</f>
        <v>0</v>
      </c>
      <c r="D271" s="28">
        <f>IF(ISNUMBER(B271),AVERAGE(INDEX($B$2:$B$301,MAX(1,270-semi)):INDEX($B$2:$B$301,MIN($M$2,270+semi))),"")</f>
        <v>0</v>
      </c>
      <c r="E271" s="28">
        <f>IF(AND(ISNUMBER(D271),ISNUMBER($M$4)),(D271-$M$4)/($M$5-$M$4),"")</f>
        <v>0</v>
      </c>
      <c r="F271" s="22">
        <f>IF(AND(ISNUMBER(E271),ISNUMBER(E272),ISNUMBER($M$6)),IF(AND(271&lt;$M$6,E271&lt;0.5,E272&gt;=0.5),271,""),"")</f>
        <v>0</v>
      </c>
      <c r="G271" s="22">
        <f>IF(AND(ISNUMBER(E271),ISNUMBER(E272),ISNUMBER($M$6)),IF(AND(271&gt;=$M$6,E271&gt;=0.5,E272&lt;0.5),271,""),"")</f>
        <v>0</v>
      </c>
      <c r="H271" s="22">
        <f>IF(OR(ISNUMBER(F271),ISNUMBER(G271)),C271+(0.5-E271)*(C272-C271)/(E272-E271),"")</f>
        <v>0</v>
      </c>
      <c r="I271" s="22">
        <f>IF(AND(ISNUMBER(E271),ISNUMBER($M$15)),C271-$M$15,NA())</f>
        <v>0</v>
      </c>
      <c r="J271" s="28">
        <f>IF(ISNUMBER(E271),E271,NA())</f>
        <v>0</v>
      </c>
      <c r="K271" s="22">
        <f>IF(AND(ISNUMBER(C271),ISNUMBER(C272)),SIGN(C272-C271),"")</f>
        <v>0</v>
      </c>
    </row>
    <row r="272" spans="3:11">
      <c r="C272" s="22">
        <f>IF(ISNUMBER(A272),A272*conv,"")</f>
        <v>0</v>
      </c>
      <c r="D272" s="28">
        <f>IF(ISNUMBER(B272),AVERAGE(INDEX($B$2:$B$301,MAX(1,271-semi)):INDEX($B$2:$B$301,MIN($M$2,271+semi))),"")</f>
        <v>0</v>
      </c>
      <c r="E272" s="28">
        <f>IF(AND(ISNUMBER(D272),ISNUMBER($M$4)),(D272-$M$4)/($M$5-$M$4),"")</f>
        <v>0</v>
      </c>
      <c r="F272" s="22">
        <f>IF(AND(ISNUMBER(E272),ISNUMBER(E273),ISNUMBER($M$6)),IF(AND(272&lt;$M$6,E272&lt;0.5,E273&gt;=0.5),272,""),"")</f>
        <v>0</v>
      </c>
      <c r="G272" s="22">
        <f>IF(AND(ISNUMBER(E272),ISNUMBER(E273),ISNUMBER($M$6)),IF(AND(272&gt;=$M$6,E272&gt;=0.5,E273&lt;0.5),272,""),"")</f>
        <v>0</v>
      </c>
      <c r="H272" s="22">
        <f>IF(OR(ISNUMBER(F272),ISNUMBER(G272)),C272+(0.5-E272)*(C273-C272)/(E273-E272),"")</f>
        <v>0</v>
      </c>
      <c r="I272" s="22">
        <f>IF(AND(ISNUMBER(E272),ISNUMBER($M$15)),C272-$M$15,NA())</f>
        <v>0</v>
      </c>
      <c r="J272" s="28">
        <f>IF(ISNUMBER(E272),E272,NA())</f>
        <v>0</v>
      </c>
      <c r="K272" s="22">
        <f>IF(AND(ISNUMBER(C272),ISNUMBER(C273)),SIGN(C273-C272),"")</f>
        <v>0</v>
      </c>
    </row>
    <row r="273" spans="3:11">
      <c r="C273" s="22">
        <f>IF(ISNUMBER(A273),A273*conv,"")</f>
        <v>0</v>
      </c>
      <c r="D273" s="28">
        <f>IF(ISNUMBER(B273),AVERAGE(INDEX($B$2:$B$301,MAX(1,272-semi)):INDEX($B$2:$B$301,MIN($M$2,272+semi))),"")</f>
        <v>0</v>
      </c>
      <c r="E273" s="28">
        <f>IF(AND(ISNUMBER(D273),ISNUMBER($M$4)),(D273-$M$4)/($M$5-$M$4),"")</f>
        <v>0</v>
      </c>
      <c r="F273" s="22">
        <f>IF(AND(ISNUMBER(E273),ISNUMBER(E274),ISNUMBER($M$6)),IF(AND(273&lt;$M$6,E273&lt;0.5,E274&gt;=0.5),273,""),"")</f>
        <v>0</v>
      </c>
      <c r="G273" s="22">
        <f>IF(AND(ISNUMBER(E273),ISNUMBER(E274),ISNUMBER($M$6)),IF(AND(273&gt;=$M$6,E273&gt;=0.5,E274&lt;0.5),273,""),"")</f>
        <v>0</v>
      </c>
      <c r="H273" s="22">
        <f>IF(OR(ISNUMBER(F273),ISNUMBER(G273)),C273+(0.5-E273)*(C274-C273)/(E274-E273),"")</f>
        <v>0</v>
      </c>
      <c r="I273" s="22">
        <f>IF(AND(ISNUMBER(E273),ISNUMBER($M$15)),C273-$M$15,NA())</f>
        <v>0</v>
      </c>
      <c r="J273" s="28">
        <f>IF(ISNUMBER(E273),E273,NA())</f>
        <v>0</v>
      </c>
      <c r="K273" s="22">
        <f>IF(AND(ISNUMBER(C273),ISNUMBER(C274)),SIGN(C274-C273),"")</f>
        <v>0</v>
      </c>
    </row>
    <row r="274" spans="3:11">
      <c r="C274" s="22">
        <f>IF(ISNUMBER(A274),A274*conv,"")</f>
        <v>0</v>
      </c>
      <c r="D274" s="28">
        <f>IF(ISNUMBER(B274),AVERAGE(INDEX($B$2:$B$301,MAX(1,273-semi)):INDEX($B$2:$B$301,MIN($M$2,273+semi))),"")</f>
        <v>0</v>
      </c>
      <c r="E274" s="28">
        <f>IF(AND(ISNUMBER(D274),ISNUMBER($M$4)),(D274-$M$4)/($M$5-$M$4),"")</f>
        <v>0</v>
      </c>
      <c r="F274" s="22">
        <f>IF(AND(ISNUMBER(E274),ISNUMBER(E275),ISNUMBER($M$6)),IF(AND(274&lt;$M$6,E274&lt;0.5,E275&gt;=0.5),274,""),"")</f>
        <v>0</v>
      </c>
      <c r="G274" s="22">
        <f>IF(AND(ISNUMBER(E274),ISNUMBER(E275),ISNUMBER($M$6)),IF(AND(274&gt;=$M$6,E274&gt;=0.5,E275&lt;0.5),274,""),"")</f>
        <v>0</v>
      </c>
      <c r="H274" s="22">
        <f>IF(OR(ISNUMBER(F274),ISNUMBER(G274)),C274+(0.5-E274)*(C275-C274)/(E275-E274),"")</f>
        <v>0</v>
      </c>
      <c r="I274" s="22">
        <f>IF(AND(ISNUMBER(E274),ISNUMBER($M$15)),C274-$M$15,NA())</f>
        <v>0</v>
      </c>
      <c r="J274" s="28">
        <f>IF(ISNUMBER(E274),E274,NA())</f>
        <v>0</v>
      </c>
      <c r="K274" s="22">
        <f>IF(AND(ISNUMBER(C274),ISNUMBER(C275)),SIGN(C275-C274),"")</f>
        <v>0</v>
      </c>
    </row>
    <row r="275" spans="3:11">
      <c r="C275" s="22">
        <f>IF(ISNUMBER(A275),A275*conv,"")</f>
        <v>0</v>
      </c>
      <c r="D275" s="28">
        <f>IF(ISNUMBER(B275),AVERAGE(INDEX($B$2:$B$301,MAX(1,274-semi)):INDEX($B$2:$B$301,MIN($M$2,274+semi))),"")</f>
        <v>0</v>
      </c>
      <c r="E275" s="28">
        <f>IF(AND(ISNUMBER(D275),ISNUMBER($M$4)),(D275-$M$4)/($M$5-$M$4),"")</f>
        <v>0</v>
      </c>
      <c r="F275" s="22">
        <f>IF(AND(ISNUMBER(E275),ISNUMBER(E276),ISNUMBER($M$6)),IF(AND(275&lt;$M$6,E275&lt;0.5,E276&gt;=0.5),275,""),"")</f>
        <v>0</v>
      </c>
      <c r="G275" s="22">
        <f>IF(AND(ISNUMBER(E275),ISNUMBER(E276),ISNUMBER($M$6)),IF(AND(275&gt;=$M$6,E275&gt;=0.5,E276&lt;0.5),275,""),"")</f>
        <v>0</v>
      </c>
      <c r="H275" s="22">
        <f>IF(OR(ISNUMBER(F275),ISNUMBER(G275)),C275+(0.5-E275)*(C276-C275)/(E276-E275),"")</f>
        <v>0</v>
      </c>
      <c r="I275" s="22">
        <f>IF(AND(ISNUMBER(E275),ISNUMBER($M$15)),C275-$M$15,NA())</f>
        <v>0</v>
      </c>
      <c r="J275" s="28">
        <f>IF(ISNUMBER(E275),E275,NA())</f>
        <v>0</v>
      </c>
      <c r="K275" s="22">
        <f>IF(AND(ISNUMBER(C275),ISNUMBER(C276)),SIGN(C276-C275),"")</f>
        <v>0</v>
      </c>
    </row>
    <row r="276" spans="3:11">
      <c r="C276" s="22">
        <f>IF(ISNUMBER(A276),A276*conv,"")</f>
        <v>0</v>
      </c>
      <c r="D276" s="28">
        <f>IF(ISNUMBER(B276),AVERAGE(INDEX($B$2:$B$301,MAX(1,275-semi)):INDEX($B$2:$B$301,MIN($M$2,275+semi))),"")</f>
        <v>0</v>
      </c>
      <c r="E276" s="28">
        <f>IF(AND(ISNUMBER(D276),ISNUMBER($M$4)),(D276-$M$4)/($M$5-$M$4),"")</f>
        <v>0</v>
      </c>
      <c r="F276" s="22">
        <f>IF(AND(ISNUMBER(E276),ISNUMBER(E277),ISNUMBER($M$6)),IF(AND(276&lt;$M$6,E276&lt;0.5,E277&gt;=0.5),276,""),"")</f>
        <v>0</v>
      </c>
      <c r="G276" s="22">
        <f>IF(AND(ISNUMBER(E276),ISNUMBER(E277),ISNUMBER($M$6)),IF(AND(276&gt;=$M$6,E276&gt;=0.5,E277&lt;0.5),276,""),"")</f>
        <v>0</v>
      </c>
      <c r="H276" s="22">
        <f>IF(OR(ISNUMBER(F276),ISNUMBER(G276)),C276+(0.5-E276)*(C277-C276)/(E277-E276),"")</f>
        <v>0</v>
      </c>
      <c r="I276" s="22">
        <f>IF(AND(ISNUMBER(E276),ISNUMBER($M$15)),C276-$M$15,NA())</f>
        <v>0</v>
      </c>
      <c r="J276" s="28">
        <f>IF(ISNUMBER(E276),E276,NA())</f>
        <v>0</v>
      </c>
      <c r="K276" s="22">
        <f>IF(AND(ISNUMBER(C276),ISNUMBER(C277)),SIGN(C277-C276),"")</f>
        <v>0</v>
      </c>
    </row>
    <row r="277" spans="3:11">
      <c r="C277" s="22">
        <f>IF(ISNUMBER(A277),A277*conv,"")</f>
        <v>0</v>
      </c>
      <c r="D277" s="28">
        <f>IF(ISNUMBER(B277),AVERAGE(INDEX($B$2:$B$301,MAX(1,276-semi)):INDEX($B$2:$B$301,MIN($M$2,276+semi))),"")</f>
        <v>0</v>
      </c>
      <c r="E277" s="28">
        <f>IF(AND(ISNUMBER(D277),ISNUMBER($M$4)),(D277-$M$4)/($M$5-$M$4),"")</f>
        <v>0</v>
      </c>
      <c r="F277" s="22">
        <f>IF(AND(ISNUMBER(E277),ISNUMBER(E278),ISNUMBER($M$6)),IF(AND(277&lt;$M$6,E277&lt;0.5,E278&gt;=0.5),277,""),"")</f>
        <v>0</v>
      </c>
      <c r="G277" s="22">
        <f>IF(AND(ISNUMBER(E277),ISNUMBER(E278),ISNUMBER($M$6)),IF(AND(277&gt;=$M$6,E277&gt;=0.5,E278&lt;0.5),277,""),"")</f>
        <v>0</v>
      </c>
      <c r="H277" s="22">
        <f>IF(OR(ISNUMBER(F277),ISNUMBER(G277)),C277+(0.5-E277)*(C278-C277)/(E278-E277),"")</f>
        <v>0</v>
      </c>
      <c r="I277" s="22">
        <f>IF(AND(ISNUMBER(E277),ISNUMBER($M$15)),C277-$M$15,NA())</f>
        <v>0</v>
      </c>
      <c r="J277" s="28">
        <f>IF(ISNUMBER(E277),E277,NA())</f>
        <v>0</v>
      </c>
      <c r="K277" s="22">
        <f>IF(AND(ISNUMBER(C277),ISNUMBER(C278)),SIGN(C278-C277),"")</f>
        <v>0</v>
      </c>
    </row>
    <row r="278" spans="3:11">
      <c r="C278" s="22">
        <f>IF(ISNUMBER(A278),A278*conv,"")</f>
        <v>0</v>
      </c>
      <c r="D278" s="28">
        <f>IF(ISNUMBER(B278),AVERAGE(INDEX($B$2:$B$301,MAX(1,277-semi)):INDEX($B$2:$B$301,MIN($M$2,277+semi))),"")</f>
        <v>0</v>
      </c>
      <c r="E278" s="28">
        <f>IF(AND(ISNUMBER(D278),ISNUMBER($M$4)),(D278-$M$4)/($M$5-$M$4),"")</f>
        <v>0</v>
      </c>
      <c r="F278" s="22">
        <f>IF(AND(ISNUMBER(E278),ISNUMBER(E279),ISNUMBER($M$6)),IF(AND(278&lt;$M$6,E278&lt;0.5,E279&gt;=0.5),278,""),"")</f>
        <v>0</v>
      </c>
      <c r="G278" s="22">
        <f>IF(AND(ISNUMBER(E278),ISNUMBER(E279),ISNUMBER($M$6)),IF(AND(278&gt;=$M$6,E278&gt;=0.5,E279&lt;0.5),278,""),"")</f>
        <v>0</v>
      </c>
      <c r="H278" s="22">
        <f>IF(OR(ISNUMBER(F278),ISNUMBER(G278)),C278+(0.5-E278)*(C279-C278)/(E279-E278),"")</f>
        <v>0</v>
      </c>
      <c r="I278" s="22">
        <f>IF(AND(ISNUMBER(E278),ISNUMBER($M$15)),C278-$M$15,NA())</f>
        <v>0</v>
      </c>
      <c r="J278" s="28">
        <f>IF(ISNUMBER(E278),E278,NA())</f>
        <v>0</v>
      </c>
      <c r="K278" s="22">
        <f>IF(AND(ISNUMBER(C278),ISNUMBER(C279)),SIGN(C279-C278),"")</f>
        <v>0</v>
      </c>
    </row>
    <row r="279" spans="3:11">
      <c r="C279" s="22">
        <f>IF(ISNUMBER(A279),A279*conv,"")</f>
        <v>0</v>
      </c>
      <c r="D279" s="28">
        <f>IF(ISNUMBER(B279),AVERAGE(INDEX($B$2:$B$301,MAX(1,278-semi)):INDEX($B$2:$B$301,MIN($M$2,278+semi))),"")</f>
        <v>0</v>
      </c>
      <c r="E279" s="28">
        <f>IF(AND(ISNUMBER(D279),ISNUMBER($M$4)),(D279-$M$4)/($M$5-$M$4),"")</f>
        <v>0</v>
      </c>
      <c r="F279" s="22">
        <f>IF(AND(ISNUMBER(E279),ISNUMBER(E280),ISNUMBER($M$6)),IF(AND(279&lt;$M$6,E279&lt;0.5,E280&gt;=0.5),279,""),"")</f>
        <v>0</v>
      </c>
      <c r="G279" s="22">
        <f>IF(AND(ISNUMBER(E279),ISNUMBER(E280),ISNUMBER($M$6)),IF(AND(279&gt;=$M$6,E279&gt;=0.5,E280&lt;0.5),279,""),"")</f>
        <v>0</v>
      </c>
      <c r="H279" s="22">
        <f>IF(OR(ISNUMBER(F279),ISNUMBER(G279)),C279+(0.5-E279)*(C280-C279)/(E280-E279),"")</f>
        <v>0</v>
      </c>
      <c r="I279" s="22">
        <f>IF(AND(ISNUMBER(E279),ISNUMBER($M$15)),C279-$M$15,NA())</f>
        <v>0</v>
      </c>
      <c r="J279" s="28">
        <f>IF(ISNUMBER(E279),E279,NA())</f>
        <v>0</v>
      </c>
      <c r="K279" s="22">
        <f>IF(AND(ISNUMBER(C279),ISNUMBER(C280)),SIGN(C280-C279),"")</f>
        <v>0</v>
      </c>
    </row>
    <row r="280" spans="3:11">
      <c r="C280" s="22">
        <f>IF(ISNUMBER(A280),A280*conv,"")</f>
        <v>0</v>
      </c>
      <c r="D280" s="28">
        <f>IF(ISNUMBER(B280),AVERAGE(INDEX($B$2:$B$301,MAX(1,279-semi)):INDEX($B$2:$B$301,MIN($M$2,279+semi))),"")</f>
        <v>0</v>
      </c>
      <c r="E280" s="28">
        <f>IF(AND(ISNUMBER(D280),ISNUMBER($M$4)),(D280-$M$4)/($M$5-$M$4),"")</f>
        <v>0</v>
      </c>
      <c r="F280" s="22">
        <f>IF(AND(ISNUMBER(E280),ISNUMBER(E281),ISNUMBER($M$6)),IF(AND(280&lt;$M$6,E280&lt;0.5,E281&gt;=0.5),280,""),"")</f>
        <v>0</v>
      </c>
      <c r="G280" s="22">
        <f>IF(AND(ISNUMBER(E280),ISNUMBER(E281),ISNUMBER($M$6)),IF(AND(280&gt;=$M$6,E280&gt;=0.5,E281&lt;0.5),280,""),"")</f>
        <v>0</v>
      </c>
      <c r="H280" s="22">
        <f>IF(OR(ISNUMBER(F280),ISNUMBER(G280)),C280+(0.5-E280)*(C281-C280)/(E281-E280),"")</f>
        <v>0</v>
      </c>
      <c r="I280" s="22">
        <f>IF(AND(ISNUMBER(E280),ISNUMBER($M$15)),C280-$M$15,NA())</f>
        <v>0</v>
      </c>
      <c r="J280" s="28">
        <f>IF(ISNUMBER(E280),E280,NA())</f>
        <v>0</v>
      </c>
      <c r="K280" s="22">
        <f>IF(AND(ISNUMBER(C280),ISNUMBER(C281)),SIGN(C281-C280),"")</f>
        <v>0</v>
      </c>
    </row>
    <row r="281" spans="3:11">
      <c r="C281" s="22">
        <f>IF(ISNUMBER(A281),A281*conv,"")</f>
        <v>0</v>
      </c>
      <c r="D281" s="28">
        <f>IF(ISNUMBER(B281),AVERAGE(INDEX($B$2:$B$301,MAX(1,280-semi)):INDEX($B$2:$B$301,MIN($M$2,280+semi))),"")</f>
        <v>0</v>
      </c>
      <c r="E281" s="28">
        <f>IF(AND(ISNUMBER(D281),ISNUMBER($M$4)),(D281-$M$4)/($M$5-$M$4),"")</f>
        <v>0</v>
      </c>
      <c r="F281" s="22">
        <f>IF(AND(ISNUMBER(E281),ISNUMBER(E282),ISNUMBER($M$6)),IF(AND(281&lt;$M$6,E281&lt;0.5,E282&gt;=0.5),281,""),"")</f>
        <v>0</v>
      </c>
      <c r="G281" s="22">
        <f>IF(AND(ISNUMBER(E281),ISNUMBER(E282),ISNUMBER($M$6)),IF(AND(281&gt;=$M$6,E281&gt;=0.5,E282&lt;0.5),281,""),"")</f>
        <v>0</v>
      </c>
      <c r="H281" s="22">
        <f>IF(OR(ISNUMBER(F281),ISNUMBER(G281)),C281+(0.5-E281)*(C282-C281)/(E282-E281),"")</f>
        <v>0</v>
      </c>
      <c r="I281" s="22">
        <f>IF(AND(ISNUMBER(E281),ISNUMBER($M$15)),C281-$M$15,NA())</f>
        <v>0</v>
      </c>
      <c r="J281" s="28">
        <f>IF(ISNUMBER(E281),E281,NA())</f>
        <v>0</v>
      </c>
      <c r="K281" s="22">
        <f>IF(AND(ISNUMBER(C281),ISNUMBER(C282)),SIGN(C282-C281),"")</f>
        <v>0</v>
      </c>
    </row>
    <row r="282" spans="3:11">
      <c r="C282" s="22">
        <f>IF(ISNUMBER(A282),A282*conv,"")</f>
        <v>0</v>
      </c>
      <c r="D282" s="28">
        <f>IF(ISNUMBER(B282),AVERAGE(INDEX($B$2:$B$301,MAX(1,281-semi)):INDEX($B$2:$B$301,MIN($M$2,281+semi))),"")</f>
        <v>0</v>
      </c>
      <c r="E282" s="28">
        <f>IF(AND(ISNUMBER(D282),ISNUMBER($M$4)),(D282-$M$4)/($M$5-$M$4),"")</f>
        <v>0</v>
      </c>
      <c r="F282" s="22">
        <f>IF(AND(ISNUMBER(E282),ISNUMBER(E283),ISNUMBER($M$6)),IF(AND(282&lt;$M$6,E282&lt;0.5,E283&gt;=0.5),282,""),"")</f>
        <v>0</v>
      </c>
      <c r="G282" s="22">
        <f>IF(AND(ISNUMBER(E282),ISNUMBER(E283),ISNUMBER($M$6)),IF(AND(282&gt;=$M$6,E282&gt;=0.5,E283&lt;0.5),282,""),"")</f>
        <v>0</v>
      </c>
      <c r="H282" s="22">
        <f>IF(OR(ISNUMBER(F282),ISNUMBER(G282)),C282+(0.5-E282)*(C283-C282)/(E283-E282),"")</f>
        <v>0</v>
      </c>
      <c r="I282" s="22">
        <f>IF(AND(ISNUMBER(E282),ISNUMBER($M$15)),C282-$M$15,NA())</f>
        <v>0</v>
      </c>
      <c r="J282" s="28">
        <f>IF(ISNUMBER(E282),E282,NA())</f>
        <v>0</v>
      </c>
      <c r="K282" s="22">
        <f>IF(AND(ISNUMBER(C282),ISNUMBER(C283)),SIGN(C283-C282),"")</f>
        <v>0</v>
      </c>
    </row>
    <row r="283" spans="3:11">
      <c r="C283" s="22">
        <f>IF(ISNUMBER(A283),A283*conv,"")</f>
        <v>0</v>
      </c>
      <c r="D283" s="28">
        <f>IF(ISNUMBER(B283),AVERAGE(INDEX($B$2:$B$301,MAX(1,282-semi)):INDEX($B$2:$B$301,MIN($M$2,282+semi))),"")</f>
        <v>0</v>
      </c>
      <c r="E283" s="28">
        <f>IF(AND(ISNUMBER(D283),ISNUMBER($M$4)),(D283-$M$4)/($M$5-$M$4),"")</f>
        <v>0</v>
      </c>
      <c r="F283" s="22">
        <f>IF(AND(ISNUMBER(E283),ISNUMBER(E284),ISNUMBER($M$6)),IF(AND(283&lt;$M$6,E283&lt;0.5,E284&gt;=0.5),283,""),"")</f>
        <v>0</v>
      </c>
      <c r="G283" s="22">
        <f>IF(AND(ISNUMBER(E283),ISNUMBER(E284),ISNUMBER($M$6)),IF(AND(283&gt;=$M$6,E283&gt;=0.5,E284&lt;0.5),283,""),"")</f>
        <v>0</v>
      </c>
      <c r="H283" s="22">
        <f>IF(OR(ISNUMBER(F283),ISNUMBER(G283)),C283+(0.5-E283)*(C284-C283)/(E284-E283),"")</f>
        <v>0</v>
      </c>
      <c r="I283" s="22">
        <f>IF(AND(ISNUMBER(E283),ISNUMBER($M$15)),C283-$M$15,NA())</f>
        <v>0</v>
      </c>
      <c r="J283" s="28">
        <f>IF(ISNUMBER(E283),E283,NA())</f>
        <v>0</v>
      </c>
      <c r="K283" s="22">
        <f>IF(AND(ISNUMBER(C283),ISNUMBER(C284)),SIGN(C284-C283),"")</f>
        <v>0</v>
      </c>
    </row>
    <row r="284" spans="3:11">
      <c r="C284" s="22">
        <f>IF(ISNUMBER(A284),A284*conv,"")</f>
        <v>0</v>
      </c>
      <c r="D284" s="28">
        <f>IF(ISNUMBER(B284),AVERAGE(INDEX($B$2:$B$301,MAX(1,283-semi)):INDEX($B$2:$B$301,MIN($M$2,283+semi))),"")</f>
        <v>0</v>
      </c>
      <c r="E284" s="28">
        <f>IF(AND(ISNUMBER(D284),ISNUMBER($M$4)),(D284-$M$4)/($M$5-$M$4),"")</f>
        <v>0</v>
      </c>
      <c r="F284" s="22">
        <f>IF(AND(ISNUMBER(E284),ISNUMBER(E285),ISNUMBER($M$6)),IF(AND(284&lt;$M$6,E284&lt;0.5,E285&gt;=0.5),284,""),"")</f>
        <v>0</v>
      </c>
      <c r="G284" s="22">
        <f>IF(AND(ISNUMBER(E284),ISNUMBER(E285),ISNUMBER($M$6)),IF(AND(284&gt;=$M$6,E284&gt;=0.5,E285&lt;0.5),284,""),"")</f>
        <v>0</v>
      </c>
      <c r="H284" s="22">
        <f>IF(OR(ISNUMBER(F284),ISNUMBER(G284)),C284+(0.5-E284)*(C285-C284)/(E285-E284),"")</f>
        <v>0</v>
      </c>
      <c r="I284" s="22">
        <f>IF(AND(ISNUMBER(E284),ISNUMBER($M$15)),C284-$M$15,NA())</f>
        <v>0</v>
      </c>
      <c r="J284" s="28">
        <f>IF(ISNUMBER(E284),E284,NA())</f>
        <v>0</v>
      </c>
      <c r="K284" s="22">
        <f>IF(AND(ISNUMBER(C284),ISNUMBER(C285)),SIGN(C285-C284),"")</f>
        <v>0</v>
      </c>
    </row>
    <row r="285" spans="3:11">
      <c r="C285" s="22">
        <f>IF(ISNUMBER(A285),A285*conv,"")</f>
        <v>0</v>
      </c>
      <c r="D285" s="28">
        <f>IF(ISNUMBER(B285),AVERAGE(INDEX($B$2:$B$301,MAX(1,284-semi)):INDEX($B$2:$B$301,MIN($M$2,284+semi))),"")</f>
        <v>0</v>
      </c>
      <c r="E285" s="28">
        <f>IF(AND(ISNUMBER(D285),ISNUMBER($M$4)),(D285-$M$4)/($M$5-$M$4),"")</f>
        <v>0</v>
      </c>
      <c r="F285" s="22">
        <f>IF(AND(ISNUMBER(E285),ISNUMBER(E286),ISNUMBER($M$6)),IF(AND(285&lt;$M$6,E285&lt;0.5,E286&gt;=0.5),285,""),"")</f>
        <v>0</v>
      </c>
      <c r="G285" s="22">
        <f>IF(AND(ISNUMBER(E285),ISNUMBER(E286),ISNUMBER($M$6)),IF(AND(285&gt;=$M$6,E285&gt;=0.5,E286&lt;0.5),285,""),"")</f>
        <v>0</v>
      </c>
      <c r="H285" s="22">
        <f>IF(OR(ISNUMBER(F285),ISNUMBER(G285)),C285+(0.5-E285)*(C286-C285)/(E286-E285),"")</f>
        <v>0</v>
      </c>
      <c r="I285" s="22">
        <f>IF(AND(ISNUMBER(E285),ISNUMBER($M$15)),C285-$M$15,NA())</f>
        <v>0</v>
      </c>
      <c r="J285" s="28">
        <f>IF(ISNUMBER(E285),E285,NA())</f>
        <v>0</v>
      </c>
      <c r="K285" s="22">
        <f>IF(AND(ISNUMBER(C285),ISNUMBER(C286)),SIGN(C286-C285),"")</f>
        <v>0</v>
      </c>
    </row>
    <row r="286" spans="3:11">
      <c r="C286" s="22">
        <f>IF(ISNUMBER(A286),A286*conv,"")</f>
        <v>0</v>
      </c>
      <c r="D286" s="28">
        <f>IF(ISNUMBER(B286),AVERAGE(INDEX($B$2:$B$301,MAX(1,285-semi)):INDEX($B$2:$B$301,MIN($M$2,285+semi))),"")</f>
        <v>0</v>
      </c>
      <c r="E286" s="28">
        <f>IF(AND(ISNUMBER(D286),ISNUMBER($M$4)),(D286-$M$4)/($M$5-$M$4),"")</f>
        <v>0</v>
      </c>
      <c r="F286" s="22">
        <f>IF(AND(ISNUMBER(E286),ISNUMBER(E287),ISNUMBER($M$6)),IF(AND(286&lt;$M$6,E286&lt;0.5,E287&gt;=0.5),286,""),"")</f>
        <v>0</v>
      </c>
      <c r="G286" s="22">
        <f>IF(AND(ISNUMBER(E286),ISNUMBER(E287),ISNUMBER($M$6)),IF(AND(286&gt;=$M$6,E286&gt;=0.5,E287&lt;0.5),286,""),"")</f>
        <v>0</v>
      </c>
      <c r="H286" s="22">
        <f>IF(OR(ISNUMBER(F286),ISNUMBER(G286)),C286+(0.5-E286)*(C287-C286)/(E287-E286),"")</f>
        <v>0</v>
      </c>
      <c r="I286" s="22">
        <f>IF(AND(ISNUMBER(E286),ISNUMBER($M$15)),C286-$M$15,NA())</f>
        <v>0</v>
      </c>
      <c r="J286" s="28">
        <f>IF(ISNUMBER(E286),E286,NA())</f>
        <v>0</v>
      </c>
      <c r="K286" s="22">
        <f>IF(AND(ISNUMBER(C286),ISNUMBER(C287)),SIGN(C287-C286),"")</f>
        <v>0</v>
      </c>
    </row>
    <row r="287" spans="3:11">
      <c r="C287" s="22">
        <f>IF(ISNUMBER(A287),A287*conv,"")</f>
        <v>0</v>
      </c>
      <c r="D287" s="28">
        <f>IF(ISNUMBER(B287),AVERAGE(INDEX($B$2:$B$301,MAX(1,286-semi)):INDEX($B$2:$B$301,MIN($M$2,286+semi))),"")</f>
        <v>0</v>
      </c>
      <c r="E287" s="28">
        <f>IF(AND(ISNUMBER(D287),ISNUMBER($M$4)),(D287-$M$4)/($M$5-$M$4),"")</f>
        <v>0</v>
      </c>
      <c r="F287" s="22">
        <f>IF(AND(ISNUMBER(E287),ISNUMBER(E288),ISNUMBER($M$6)),IF(AND(287&lt;$M$6,E287&lt;0.5,E288&gt;=0.5),287,""),"")</f>
        <v>0</v>
      </c>
      <c r="G287" s="22">
        <f>IF(AND(ISNUMBER(E287),ISNUMBER(E288),ISNUMBER($M$6)),IF(AND(287&gt;=$M$6,E287&gt;=0.5,E288&lt;0.5),287,""),"")</f>
        <v>0</v>
      </c>
      <c r="H287" s="22">
        <f>IF(OR(ISNUMBER(F287),ISNUMBER(G287)),C287+(0.5-E287)*(C288-C287)/(E288-E287),"")</f>
        <v>0</v>
      </c>
      <c r="I287" s="22">
        <f>IF(AND(ISNUMBER(E287),ISNUMBER($M$15)),C287-$M$15,NA())</f>
        <v>0</v>
      </c>
      <c r="J287" s="28">
        <f>IF(ISNUMBER(E287),E287,NA())</f>
        <v>0</v>
      </c>
      <c r="K287" s="22">
        <f>IF(AND(ISNUMBER(C287),ISNUMBER(C288)),SIGN(C288-C287),"")</f>
        <v>0</v>
      </c>
    </row>
    <row r="288" spans="3:11">
      <c r="C288" s="22">
        <f>IF(ISNUMBER(A288),A288*conv,"")</f>
        <v>0</v>
      </c>
      <c r="D288" s="28">
        <f>IF(ISNUMBER(B288),AVERAGE(INDEX($B$2:$B$301,MAX(1,287-semi)):INDEX($B$2:$B$301,MIN($M$2,287+semi))),"")</f>
        <v>0</v>
      </c>
      <c r="E288" s="28">
        <f>IF(AND(ISNUMBER(D288),ISNUMBER($M$4)),(D288-$M$4)/($M$5-$M$4),"")</f>
        <v>0</v>
      </c>
      <c r="F288" s="22">
        <f>IF(AND(ISNUMBER(E288),ISNUMBER(E289),ISNUMBER($M$6)),IF(AND(288&lt;$M$6,E288&lt;0.5,E289&gt;=0.5),288,""),"")</f>
        <v>0</v>
      </c>
      <c r="G288" s="22">
        <f>IF(AND(ISNUMBER(E288),ISNUMBER(E289),ISNUMBER($M$6)),IF(AND(288&gt;=$M$6,E288&gt;=0.5,E289&lt;0.5),288,""),"")</f>
        <v>0</v>
      </c>
      <c r="H288" s="22">
        <f>IF(OR(ISNUMBER(F288),ISNUMBER(G288)),C288+(0.5-E288)*(C289-C288)/(E289-E288),"")</f>
        <v>0</v>
      </c>
      <c r="I288" s="22">
        <f>IF(AND(ISNUMBER(E288),ISNUMBER($M$15)),C288-$M$15,NA())</f>
        <v>0</v>
      </c>
      <c r="J288" s="28">
        <f>IF(ISNUMBER(E288),E288,NA())</f>
        <v>0</v>
      </c>
      <c r="K288" s="22">
        <f>IF(AND(ISNUMBER(C288),ISNUMBER(C289)),SIGN(C289-C288),"")</f>
        <v>0</v>
      </c>
    </row>
    <row r="289" spans="3:11">
      <c r="C289" s="22">
        <f>IF(ISNUMBER(A289),A289*conv,"")</f>
        <v>0</v>
      </c>
      <c r="D289" s="28">
        <f>IF(ISNUMBER(B289),AVERAGE(INDEX($B$2:$B$301,MAX(1,288-semi)):INDEX($B$2:$B$301,MIN($M$2,288+semi))),"")</f>
        <v>0</v>
      </c>
      <c r="E289" s="28">
        <f>IF(AND(ISNUMBER(D289),ISNUMBER($M$4)),(D289-$M$4)/($M$5-$M$4),"")</f>
        <v>0</v>
      </c>
      <c r="F289" s="22">
        <f>IF(AND(ISNUMBER(E289),ISNUMBER(E290),ISNUMBER($M$6)),IF(AND(289&lt;$M$6,E289&lt;0.5,E290&gt;=0.5),289,""),"")</f>
        <v>0</v>
      </c>
      <c r="G289" s="22">
        <f>IF(AND(ISNUMBER(E289),ISNUMBER(E290),ISNUMBER($M$6)),IF(AND(289&gt;=$M$6,E289&gt;=0.5,E290&lt;0.5),289,""),"")</f>
        <v>0</v>
      </c>
      <c r="H289" s="22">
        <f>IF(OR(ISNUMBER(F289),ISNUMBER(G289)),C289+(0.5-E289)*(C290-C289)/(E290-E289),"")</f>
        <v>0</v>
      </c>
      <c r="I289" s="22">
        <f>IF(AND(ISNUMBER(E289),ISNUMBER($M$15)),C289-$M$15,NA())</f>
        <v>0</v>
      </c>
      <c r="J289" s="28">
        <f>IF(ISNUMBER(E289),E289,NA())</f>
        <v>0</v>
      </c>
      <c r="K289" s="22">
        <f>IF(AND(ISNUMBER(C289),ISNUMBER(C290)),SIGN(C290-C289),"")</f>
        <v>0</v>
      </c>
    </row>
    <row r="290" spans="3:11">
      <c r="C290" s="22">
        <f>IF(ISNUMBER(A290),A290*conv,"")</f>
        <v>0</v>
      </c>
      <c r="D290" s="28">
        <f>IF(ISNUMBER(B290),AVERAGE(INDEX($B$2:$B$301,MAX(1,289-semi)):INDEX($B$2:$B$301,MIN($M$2,289+semi))),"")</f>
        <v>0</v>
      </c>
      <c r="E290" s="28">
        <f>IF(AND(ISNUMBER(D290),ISNUMBER($M$4)),(D290-$M$4)/($M$5-$M$4),"")</f>
        <v>0</v>
      </c>
      <c r="F290" s="22">
        <f>IF(AND(ISNUMBER(E290),ISNUMBER(E291),ISNUMBER($M$6)),IF(AND(290&lt;$M$6,E290&lt;0.5,E291&gt;=0.5),290,""),"")</f>
        <v>0</v>
      </c>
      <c r="G290" s="22">
        <f>IF(AND(ISNUMBER(E290),ISNUMBER(E291),ISNUMBER($M$6)),IF(AND(290&gt;=$M$6,E290&gt;=0.5,E291&lt;0.5),290,""),"")</f>
        <v>0</v>
      </c>
      <c r="H290" s="22">
        <f>IF(OR(ISNUMBER(F290),ISNUMBER(G290)),C290+(0.5-E290)*(C291-C290)/(E291-E290),"")</f>
        <v>0</v>
      </c>
      <c r="I290" s="22">
        <f>IF(AND(ISNUMBER(E290),ISNUMBER($M$15)),C290-$M$15,NA())</f>
        <v>0</v>
      </c>
      <c r="J290" s="28">
        <f>IF(ISNUMBER(E290),E290,NA())</f>
        <v>0</v>
      </c>
      <c r="K290" s="22">
        <f>IF(AND(ISNUMBER(C290),ISNUMBER(C291)),SIGN(C291-C290),"")</f>
        <v>0</v>
      </c>
    </row>
    <row r="291" spans="3:11">
      <c r="C291" s="22">
        <f>IF(ISNUMBER(A291),A291*conv,"")</f>
        <v>0</v>
      </c>
      <c r="D291" s="28">
        <f>IF(ISNUMBER(B291),AVERAGE(INDEX($B$2:$B$301,MAX(1,290-semi)):INDEX($B$2:$B$301,MIN($M$2,290+semi))),"")</f>
        <v>0</v>
      </c>
      <c r="E291" s="28">
        <f>IF(AND(ISNUMBER(D291),ISNUMBER($M$4)),(D291-$M$4)/($M$5-$M$4),"")</f>
        <v>0</v>
      </c>
      <c r="F291" s="22">
        <f>IF(AND(ISNUMBER(E291),ISNUMBER(E292),ISNUMBER($M$6)),IF(AND(291&lt;$M$6,E291&lt;0.5,E292&gt;=0.5),291,""),"")</f>
        <v>0</v>
      </c>
      <c r="G291" s="22">
        <f>IF(AND(ISNUMBER(E291),ISNUMBER(E292),ISNUMBER($M$6)),IF(AND(291&gt;=$M$6,E291&gt;=0.5,E292&lt;0.5),291,""),"")</f>
        <v>0</v>
      </c>
      <c r="H291" s="22">
        <f>IF(OR(ISNUMBER(F291),ISNUMBER(G291)),C291+(0.5-E291)*(C292-C291)/(E292-E291),"")</f>
        <v>0</v>
      </c>
      <c r="I291" s="22">
        <f>IF(AND(ISNUMBER(E291),ISNUMBER($M$15)),C291-$M$15,NA())</f>
        <v>0</v>
      </c>
      <c r="J291" s="28">
        <f>IF(ISNUMBER(E291),E291,NA())</f>
        <v>0</v>
      </c>
      <c r="K291" s="22">
        <f>IF(AND(ISNUMBER(C291),ISNUMBER(C292)),SIGN(C292-C291),"")</f>
        <v>0</v>
      </c>
    </row>
    <row r="292" spans="3:11">
      <c r="C292" s="22">
        <f>IF(ISNUMBER(A292),A292*conv,"")</f>
        <v>0</v>
      </c>
      <c r="D292" s="28">
        <f>IF(ISNUMBER(B292),AVERAGE(INDEX($B$2:$B$301,MAX(1,291-semi)):INDEX($B$2:$B$301,MIN($M$2,291+semi))),"")</f>
        <v>0</v>
      </c>
      <c r="E292" s="28">
        <f>IF(AND(ISNUMBER(D292),ISNUMBER($M$4)),(D292-$M$4)/($M$5-$M$4),"")</f>
        <v>0</v>
      </c>
      <c r="F292" s="22">
        <f>IF(AND(ISNUMBER(E292),ISNUMBER(E293),ISNUMBER($M$6)),IF(AND(292&lt;$M$6,E292&lt;0.5,E293&gt;=0.5),292,""),"")</f>
        <v>0</v>
      </c>
      <c r="G292" s="22">
        <f>IF(AND(ISNUMBER(E292),ISNUMBER(E293),ISNUMBER($M$6)),IF(AND(292&gt;=$M$6,E292&gt;=0.5,E293&lt;0.5),292,""),"")</f>
        <v>0</v>
      </c>
      <c r="H292" s="22">
        <f>IF(OR(ISNUMBER(F292),ISNUMBER(G292)),C292+(0.5-E292)*(C293-C292)/(E293-E292),"")</f>
        <v>0</v>
      </c>
      <c r="I292" s="22">
        <f>IF(AND(ISNUMBER(E292),ISNUMBER($M$15)),C292-$M$15,NA())</f>
        <v>0</v>
      </c>
      <c r="J292" s="28">
        <f>IF(ISNUMBER(E292),E292,NA())</f>
        <v>0</v>
      </c>
      <c r="K292" s="22">
        <f>IF(AND(ISNUMBER(C292),ISNUMBER(C293)),SIGN(C293-C292),"")</f>
        <v>0</v>
      </c>
    </row>
    <row r="293" spans="3:11">
      <c r="C293" s="22">
        <f>IF(ISNUMBER(A293),A293*conv,"")</f>
        <v>0</v>
      </c>
      <c r="D293" s="28">
        <f>IF(ISNUMBER(B293),AVERAGE(INDEX($B$2:$B$301,MAX(1,292-semi)):INDEX($B$2:$B$301,MIN($M$2,292+semi))),"")</f>
        <v>0</v>
      </c>
      <c r="E293" s="28">
        <f>IF(AND(ISNUMBER(D293),ISNUMBER($M$4)),(D293-$M$4)/($M$5-$M$4),"")</f>
        <v>0</v>
      </c>
      <c r="F293" s="22">
        <f>IF(AND(ISNUMBER(E293),ISNUMBER(E294),ISNUMBER($M$6)),IF(AND(293&lt;$M$6,E293&lt;0.5,E294&gt;=0.5),293,""),"")</f>
        <v>0</v>
      </c>
      <c r="G293" s="22">
        <f>IF(AND(ISNUMBER(E293),ISNUMBER(E294),ISNUMBER($M$6)),IF(AND(293&gt;=$M$6,E293&gt;=0.5,E294&lt;0.5),293,""),"")</f>
        <v>0</v>
      </c>
      <c r="H293" s="22">
        <f>IF(OR(ISNUMBER(F293),ISNUMBER(G293)),C293+(0.5-E293)*(C294-C293)/(E294-E293),"")</f>
        <v>0</v>
      </c>
      <c r="I293" s="22">
        <f>IF(AND(ISNUMBER(E293),ISNUMBER($M$15)),C293-$M$15,NA())</f>
        <v>0</v>
      </c>
      <c r="J293" s="28">
        <f>IF(ISNUMBER(E293),E293,NA())</f>
        <v>0</v>
      </c>
      <c r="K293" s="22">
        <f>IF(AND(ISNUMBER(C293),ISNUMBER(C294)),SIGN(C294-C293),"")</f>
        <v>0</v>
      </c>
    </row>
    <row r="294" spans="3:11">
      <c r="C294" s="22">
        <f>IF(ISNUMBER(A294),A294*conv,"")</f>
        <v>0</v>
      </c>
      <c r="D294" s="28">
        <f>IF(ISNUMBER(B294),AVERAGE(INDEX($B$2:$B$301,MAX(1,293-semi)):INDEX($B$2:$B$301,MIN($M$2,293+semi))),"")</f>
        <v>0</v>
      </c>
      <c r="E294" s="28">
        <f>IF(AND(ISNUMBER(D294),ISNUMBER($M$4)),(D294-$M$4)/($M$5-$M$4),"")</f>
        <v>0</v>
      </c>
      <c r="F294" s="22">
        <f>IF(AND(ISNUMBER(E294),ISNUMBER(E295),ISNUMBER($M$6)),IF(AND(294&lt;$M$6,E294&lt;0.5,E295&gt;=0.5),294,""),"")</f>
        <v>0</v>
      </c>
      <c r="G294" s="22">
        <f>IF(AND(ISNUMBER(E294),ISNUMBER(E295),ISNUMBER($M$6)),IF(AND(294&gt;=$M$6,E294&gt;=0.5,E295&lt;0.5),294,""),"")</f>
        <v>0</v>
      </c>
      <c r="H294" s="22">
        <f>IF(OR(ISNUMBER(F294),ISNUMBER(G294)),C294+(0.5-E294)*(C295-C294)/(E295-E294),"")</f>
        <v>0</v>
      </c>
      <c r="I294" s="22">
        <f>IF(AND(ISNUMBER(E294),ISNUMBER($M$15)),C294-$M$15,NA())</f>
        <v>0</v>
      </c>
      <c r="J294" s="28">
        <f>IF(ISNUMBER(E294),E294,NA())</f>
        <v>0</v>
      </c>
      <c r="K294" s="22">
        <f>IF(AND(ISNUMBER(C294),ISNUMBER(C295)),SIGN(C295-C294),"")</f>
        <v>0</v>
      </c>
    </row>
    <row r="295" spans="3:11">
      <c r="C295" s="22">
        <f>IF(ISNUMBER(A295),A295*conv,"")</f>
        <v>0</v>
      </c>
      <c r="D295" s="28">
        <f>IF(ISNUMBER(B295),AVERAGE(INDEX($B$2:$B$301,MAX(1,294-semi)):INDEX($B$2:$B$301,MIN($M$2,294+semi))),"")</f>
        <v>0</v>
      </c>
      <c r="E295" s="28">
        <f>IF(AND(ISNUMBER(D295),ISNUMBER($M$4)),(D295-$M$4)/($M$5-$M$4),"")</f>
        <v>0</v>
      </c>
      <c r="F295" s="22">
        <f>IF(AND(ISNUMBER(E295),ISNUMBER(E296),ISNUMBER($M$6)),IF(AND(295&lt;$M$6,E295&lt;0.5,E296&gt;=0.5),295,""),"")</f>
        <v>0</v>
      </c>
      <c r="G295" s="22">
        <f>IF(AND(ISNUMBER(E295),ISNUMBER(E296),ISNUMBER($M$6)),IF(AND(295&gt;=$M$6,E295&gt;=0.5,E296&lt;0.5),295,""),"")</f>
        <v>0</v>
      </c>
      <c r="H295" s="22">
        <f>IF(OR(ISNUMBER(F295),ISNUMBER(G295)),C295+(0.5-E295)*(C296-C295)/(E296-E295),"")</f>
        <v>0</v>
      </c>
      <c r="I295" s="22">
        <f>IF(AND(ISNUMBER(E295),ISNUMBER($M$15)),C295-$M$15,NA())</f>
        <v>0</v>
      </c>
      <c r="J295" s="28">
        <f>IF(ISNUMBER(E295),E295,NA())</f>
        <v>0</v>
      </c>
      <c r="K295" s="22">
        <f>IF(AND(ISNUMBER(C295),ISNUMBER(C296)),SIGN(C296-C295),"")</f>
        <v>0</v>
      </c>
    </row>
    <row r="296" spans="3:11">
      <c r="C296" s="22">
        <f>IF(ISNUMBER(A296),A296*conv,"")</f>
        <v>0</v>
      </c>
      <c r="D296" s="28">
        <f>IF(ISNUMBER(B296),AVERAGE(INDEX($B$2:$B$301,MAX(1,295-semi)):INDEX($B$2:$B$301,MIN($M$2,295+semi))),"")</f>
        <v>0</v>
      </c>
      <c r="E296" s="28">
        <f>IF(AND(ISNUMBER(D296),ISNUMBER($M$4)),(D296-$M$4)/($M$5-$M$4),"")</f>
        <v>0</v>
      </c>
      <c r="F296" s="22">
        <f>IF(AND(ISNUMBER(E296),ISNUMBER(E297),ISNUMBER($M$6)),IF(AND(296&lt;$M$6,E296&lt;0.5,E297&gt;=0.5),296,""),"")</f>
        <v>0</v>
      </c>
      <c r="G296" s="22">
        <f>IF(AND(ISNUMBER(E296),ISNUMBER(E297),ISNUMBER($M$6)),IF(AND(296&gt;=$M$6,E296&gt;=0.5,E297&lt;0.5),296,""),"")</f>
        <v>0</v>
      </c>
      <c r="H296" s="22">
        <f>IF(OR(ISNUMBER(F296),ISNUMBER(G296)),C296+(0.5-E296)*(C297-C296)/(E297-E296),"")</f>
        <v>0</v>
      </c>
      <c r="I296" s="22">
        <f>IF(AND(ISNUMBER(E296),ISNUMBER($M$15)),C296-$M$15,NA())</f>
        <v>0</v>
      </c>
      <c r="J296" s="28">
        <f>IF(ISNUMBER(E296),E296,NA())</f>
        <v>0</v>
      </c>
      <c r="K296" s="22">
        <f>IF(AND(ISNUMBER(C296),ISNUMBER(C297)),SIGN(C297-C296),"")</f>
        <v>0</v>
      </c>
    </row>
    <row r="297" spans="3:11">
      <c r="C297" s="22">
        <f>IF(ISNUMBER(A297),A297*conv,"")</f>
        <v>0</v>
      </c>
      <c r="D297" s="28">
        <f>IF(ISNUMBER(B297),AVERAGE(INDEX($B$2:$B$301,MAX(1,296-semi)):INDEX($B$2:$B$301,MIN($M$2,296+semi))),"")</f>
        <v>0</v>
      </c>
      <c r="E297" s="28">
        <f>IF(AND(ISNUMBER(D297),ISNUMBER($M$4)),(D297-$M$4)/($M$5-$M$4),"")</f>
        <v>0</v>
      </c>
      <c r="F297" s="22">
        <f>IF(AND(ISNUMBER(E297),ISNUMBER(E298),ISNUMBER($M$6)),IF(AND(297&lt;$M$6,E297&lt;0.5,E298&gt;=0.5),297,""),"")</f>
        <v>0</v>
      </c>
      <c r="G297" s="22">
        <f>IF(AND(ISNUMBER(E297),ISNUMBER(E298),ISNUMBER($M$6)),IF(AND(297&gt;=$M$6,E297&gt;=0.5,E298&lt;0.5),297,""),"")</f>
        <v>0</v>
      </c>
      <c r="H297" s="22">
        <f>IF(OR(ISNUMBER(F297),ISNUMBER(G297)),C297+(0.5-E297)*(C298-C297)/(E298-E297),"")</f>
        <v>0</v>
      </c>
      <c r="I297" s="22">
        <f>IF(AND(ISNUMBER(E297),ISNUMBER($M$15)),C297-$M$15,NA())</f>
        <v>0</v>
      </c>
      <c r="J297" s="28">
        <f>IF(ISNUMBER(E297),E297,NA())</f>
        <v>0</v>
      </c>
      <c r="K297" s="22">
        <f>IF(AND(ISNUMBER(C297),ISNUMBER(C298)),SIGN(C298-C297),"")</f>
        <v>0</v>
      </c>
    </row>
    <row r="298" spans="3:11">
      <c r="C298" s="22">
        <f>IF(ISNUMBER(A298),A298*conv,"")</f>
        <v>0</v>
      </c>
      <c r="D298" s="28">
        <f>IF(ISNUMBER(B298),AVERAGE(INDEX($B$2:$B$301,MAX(1,297-semi)):INDEX($B$2:$B$301,MIN($M$2,297+semi))),"")</f>
        <v>0</v>
      </c>
      <c r="E298" s="28">
        <f>IF(AND(ISNUMBER(D298),ISNUMBER($M$4)),(D298-$M$4)/($M$5-$M$4),"")</f>
        <v>0</v>
      </c>
      <c r="F298" s="22">
        <f>IF(AND(ISNUMBER(E298),ISNUMBER(E299),ISNUMBER($M$6)),IF(AND(298&lt;$M$6,E298&lt;0.5,E299&gt;=0.5),298,""),"")</f>
        <v>0</v>
      </c>
      <c r="G298" s="22">
        <f>IF(AND(ISNUMBER(E298),ISNUMBER(E299),ISNUMBER($M$6)),IF(AND(298&gt;=$M$6,E298&gt;=0.5,E299&lt;0.5),298,""),"")</f>
        <v>0</v>
      </c>
      <c r="H298" s="22">
        <f>IF(OR(ISNUMBER(F298),ISNUMBER(G298)),C298+(0.5-E298)*(C299-C298)/(E299-E298),"")</f>
        <v>0</v>
      </c>
      <c r="I298" s="22">
        <f>IF(AND(ISNUMBER(E298),ISNUMBER($M$15)),C298-$M$15,NA())</f>
        <v>0</v>
      </c>
      <c r="J298" s="28">
        <f>IF(ISNUMBER(E298),E298,NA())</f>
        <v>0</v>
      </c>
      <c r="K298" s="22">
        <f>IF(AND(ISNUMBER(C298),ISNUMBER(C299)),SIGN(C299-C298),"")</f>
        <v>0</v>
      </c>
    </row>
    <row r="299" spans="3:11">
      <c r="C299" s="22">
        <f>IF(ISNUMBER(A299),A299*conv,"")</f>
        <v>0</v>
      </c>
      <c r="D299" s="28">
        <f>IF(ISNUMBER(B299),AVERAGE(INDEX($B$2:$B$301,MAX(1,298-semi)):INDEX($B$2:$B$301,MIN($M$2,298+semi))),"")</f>
        <v>0</v>
      </c>
      <c r="E299" s="28">
        <f>IF(AND(ISNUMBER(D299),ISNUMBER($M$4)),(D299-$M$4)/($M$5-$M$4),"")</f>
        <v>0</v>
      </c>
      <c r="F299" s="22">
        <f>IF(AND(ISNUMBER(E299),ISNUMBER(E300),ISNUMBER($M$6)),IF(AND(299&lt;$M$6,E299&lt;0.5,E300&gt;=0.5),299,""),"")</f>
        <v>0</v>
      </c>
      <c r="G299" s="22">
        <f>IF(AND(ISNUMBER(E299),ISNUMBER(E300),ISNUMBER($M$6)),IF(AND(299&gt;=$M$6,E299&gt;=0.5,E300&lt;0.5),299,""),"")</f>
        <v>0</v>
      </c>
      <c r="H299" s="22">
        <f>IF(OR(ISNUMBER(F299),ISNUMBER(G299)),C299+(0.5-E299)*(C300-C299)/(E300-E299),"")</f>
        <v>0</v>
      </c>
      <c r="I299" s="22">
        <f>IF(AND(ISNUMBER(E299),ISNUMBER($M$15)),C299-$M$15,NA())</f>
        <v>0</v>
      </c>
      <c r="J299" s="28">
        <f>IF(ISNUMBER(E299),E299,NA())</f>
        <v>0</v>
      </c>
      <c r="K299" s="22">
        <f>IF(AND(ISNUMBER(C299),ISNUMBER(C300)),SIGN(C300-C299),"")</f>
        <v>0</v>
      </c>
    </row>
    <row r="300" spans="3:11">
      <c r="C300" s="22">
        <f>IF(ISNUMBER(A300),A300*conv,"")</f>
        <v>0</v>
      </c>
      <c r="D300" s="28">
        <f>IF(ISNUMBER(B300),AVERAGE(INDEX($B$2:$B$301,MAX(1,299-semi)):INDEX($B$2:$B$301,MIN($M$2,299+semi))),"")</f>
        <v>0</v>
      </c>
      <c r="E300" s="28">
        <f>IF(AND(ISNUMBER(D300),ISNUMBER($M$4)),(D300-$M$4)/($M$5-$M$4),"")</f>
        <v>0</v>
      </c>
      <c r="F300" s="22">
        <f>IF(AND(ISNUMBER(E300),ISNUMBER(E301),ISNUMBER($M$6)),IF(AND(300&lt;$M$6,E300&lt;0.5,E301&gt;=0.5),300,""),"")</f>
        <v>0</v>
      </c>
      <c r="G300" s="22">
        <f>IF(AND(ISNUMBER(E300),ISNUMBER(E301),ISNUMBER($M$6)),IF(AND(300&gt;=$M$6,E300&gt;=0.5,E301&lt;0.5),300,""),"")</f>
        <v>0</v>
      </c>
      <c r="H300" s="22">
        <f>IF(OR(ISNUMBER(F300),ISNUMBER(G300)),C300+(0.5-E300)*(C301-C300)/(E301-E300),"")</f>
        <v>0</v>
      </c>
      <c r="I300" s="22">
        <f>IF(AND(ISNUMBER(E300),ISNUMBER($M$15)),C300-$M$15,NA())</f>
        <v>0</v>
      </c>
      <c r="J300" s="28">
        <f>IF(ISNUMBER(E300),E300,NA())</f>
        <v>0</v>
      </c>
      <c r="K300" s="22">
        <f>IF(AND(ISNUMBER(C300),ISNUMBER(C301)),SIGN(C301-C300),"")</f>
        <v>0</v>
      </c>
    </row>
    <row r="301" spans="3:11">
      <c r="C301" s="22">
        <f>IF(ISNUMBER(A301),A301*conv,"")</f>
        <v>0</v>
      </c>
      <c r="D301" s="28">
        <f>IF(ISNUMBER(B301),AVERAGE(INDEX($B$2:$B$301,MAX(1,300-semi)):INDEX($B$2:$B$301,MIN($M$2,300+semi))),"")</f>
        <v>0</v>
      </c>
      <c r="E301" s="28">
        <f>IF(AND(ISNUMBER(D301),ISNUMBER($M$4)),(D301-$M$4)/($M$5-$M$4),"")</f>
        <v>0</v>
      </c>
      <c r="F301" s="22">
        <f>IF(AND(ISNUMBER(E301),ISNUMBER(E302),ISNUMBER($M$6)),IF(AND(301&lt;$M$6,E301&lt;0.5,E302&gt;=0.5),301,""),"")</f>
        <v>0</v>
      </c>
      <c r="G301" s="22">
        <f>IF(AND(ISNUMBER(E301),ISNUMBER(E302),ISNUMBER($M$6)),IF(AND(301&gt;=$M$6,E301&gt;=0.5,E302&lt;0.5),301,""),"")</f>
        <v>0</v>
      </c>
      <c r="H301" s="22">
        <f>IF(OR(ISNUMBER(F301),ISNUMBER(G301)),C301+(0.5-E301)*(C302-C301)/(E302-E301),"")</f>
        <v>0</v>
      </c>
      <c r="I301" s="22">
        <f>IF(AND(ISNUMBER(E301),ISNUMBER($M$15)),C301-$M$15,NA())</f>
        <v>0</v>
      </c>
      <c r="J301" s="28">
        <f>IF(ISNUMBER(E301),E301,NA())</f>
        <v>0</v>
      </c>
      <c r="K301" s="22">
        <f>IF(AND(ISNUMBER(C301),ISNUMBER(C302)),SIGN(C302-C301),"")</f>
        <v>0</v>
      </c>
    </row>
  </sheetData>
  <mergeCells count="1">
    <mergeCell ref="N2:Q9"/>
  </mergeCells>
  <conditionalFormatting sqref="I2:J301">
    <cfRule type="containsErrors" dxfId="3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0" priority="1" operator="equal">
      <formula>"OK"</formula>
    </cfRule>
    <cfRule type="beginsWith" dxfId="1" priority="2" operator="beginsWith" text="Aviso">
      <formula>LEFT(M20,5)="Aviso"</formula>
    </cfRule>
    <cfRule type="beginsWith" dxfId="2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75</vt:i4>
      </vt:variant>
    </vt:vector>
  </HeadingPairs>
  <TitlesOfParts>
    <vt:vector size="98" baseType="lpstr">
      <vt:lpstr>Instrucciones</vt:lpstr>
      <vt:lpstr>Configuración</vt:lpstr>
      <vt:lpstr>Registro piloto</vt:lpstr>
      <vt:lpstr>Resumen piloto</vt:lpstr>
      <vt:lpstr>Réplicas</vt:lpstr>
      <vt:lpstr>Plan semana</vt:lpstr>
      <vt:lpstr>Ajustes</vt:lpstr>
      <vt:lpstr>R01</vt:lpstr>
      <vt:lpstr>R02</vt:lpstr>
      <vt:lpstr>R03</vt:lpstr>
      <vt:lpstr>R04</vt:lpstr>
      <vt:lpstr>R05</vt:lpstr>
      <vt:lpstr>R06</vt:lpstr>
      <vt:lpstr>R07</vt:lpstr>
      <vt:lpstr>R08</vt:lpstr>
      <vt:lpstr>R09</vt:lpstr>
      <vt:lpstr>R10</vt:lpstr>
      <vt:lpstr>R11</vt:lpstr>
      <vt:lpstr>R12</vt:lpstr>
      <vt:lpstr>R13</vt:lpstr>
      <vt:lpstr>R14</vt:lpstr>
      <vt:lpstr>R15</vt:lpstr>
      <vt:lpstr>Ejemplo</vt:lpstr>
      <vt:lpstr>a_metros</vt:lpstr>
      <vt:lpstr>alfa</vt:lpstr>
      <vt:lpstr>banda_1</vt:lpstr>
      <vt:lpstr>banda_2</vt:lpstr>
      <vt:lpstr>banda_3</vt:lpstr>
      <vt:lpstr>c_luz</vt:lpstr>
      <vt:lpstr>colas</vt:lpstr>
      <vt:lpstr>conf_sigma</vt:lpstr>
      <vt:lpstr>conv</vt:lpstr>
      <vt:lpstr>corrientes</vt:lpstr>
      <vt:lpstr>delta_def</vt:lpstr>
      <vt:lpstr>dias</vt:lpstr>
      <vt:lpstr>dur_piloto</vt:lpstr>
      <vt:lpstr>estab_1</vt:lpstr>
      <vt:lpstr>estab_2</vt:lpstr>
      <vt:lpstr>estab_3</vt:lpstr>
      <vt:lpstr>estimador</vt:lpstr>
      <vt:lpstr>factor_forma</vt:lpstr>
      <vt:lpstr>horas_dia</vt:lpstr>
      <vt:lpstr>I1_A</vt:lpstr>
      <vt:lpstr>I2_A</vt:lpstr>
      <vt:lpstr>I3_A</vt:lpstr>
      <vt:lpstr>incert_1</vt:lpstr>
      <vt:lpstr>incert_2</vt:lpstr>
      <vt:lpstr>incert_3</vt:lpstr>
      <vt:lpstr>min_traza_man</vt:lpstr>
      <vt:lpstr>n_fondo</vt:lpstr>
      <vt:lpstr>n_I1</vt:lpstr>
      <vt:lpstr>n_I2</vt:lpstr>
      <vt:lpstr>n_I3</vt:lpstr>
      <vt:lpstr>n_zona</vt:lpstr>
      <vt:lpstr>pasos</vt:lpstr>
      <vt:lpstr>pfab_1</vt:lpstr>
      <vt:lpstr>pfab_2</vt:lpstr>
      <vt:lpstr>pfab_3</vt:lpstr>
      <vt:lpstr>potencia</vt:lpstr>
      <vt:lpstr>Ejemplo!Print_Area</vt:lpstr>
      <vt:lpstr>'R01'!Print_Area</vt:lpstr>
      <vt:lpstr>'R02'!Print_Area</vt:lpstr>
      <vt:lpstr>'R03'!Print_Area</vt:lpstr>
      <vt:lpstr>'R04'!Print_Area</vt:lpstr>
      <vt:lpstr>'R05'!Print_Area</vt:lpstr>
      <vt:lpstr>'R06'!Print_Area</vt:lpstr>
      <vt:lpstr>'R07'!Print_Area</vt:lpstr>
      <vt:lpstr>'R08'!Print_Area</vt:lpstr>
      <vt:lpstr>'R09'!Print_Area</vt:lpstr>
      <vt:lpstr>'R10'!Print_Area</vt:lpstr>
      <vt:lpstr>'R11'!Print_Area</vt:lpstr>
      <vt:lpstr>'R12'!Print_Area</vt:lpstr>
      <vt:lpstr>'R13'!Print_Area</vt:lpstr>
      <vt:lpstr>'R14'!Print_Area</vt:lpstr>
      <vt:lpstr>'R15'!Print_Area</vt:lpstr>
      <vt:lpstr>'Resumen piloto'!Print_Area</vt:lpstr>
      <vt:lpstr>Réplicas!Print_Area</vt:lpstr>
      <vt:lpstr>pts_min</vt:lpstr>
      <vt:lpstr>rec_min</vt:lpstr>
      <vt:lpstr>resol</vt:lpstr>
      <vt:lpstr>rpd</vt:lpstr>
      <vt:lpstr>S_I1</vt:lpstr>
      <vt:lpstr>S_I2</vt:lpstr>
      <vt:lpstr>S_I3</vt:lpstr>
      <vt:lpstr>semi</vt:lpstr>
      <vt:lpstr>semilla</vt:lpstr>
      <vt:lpstr>tau0_1</vt:lpstr>
      <vt:lpstr>tau0_2</vt:lpstr>
      <vt:lpstr>tau0_3</vt:lpstr>
      <vt:lpstr>taumax_1</vt:lpstr>
      <vt:lpstr>taumax_2</vt:lpstr>
      <vt:lpstr>taumax_3</vt:lpstr>
      <vt:lpstr>tol_1</vt:lpstr>
      <vt:lpstr>tol_2</vt:lpstr>
      <vt:lpstr>tol_3</vt:lpstr>
      <vt:lpstr>unidad</vt:lpstr>
      <vt:lpstr>ventana</vt:lpstr>
      <vt:lpstr>zona_ac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Piloto · réplicas del autocorrelador</dc:title>
  <dc:creator>Juan Esteban Rodríguez Ochoa · Sebastián Zapata Henao</dc:creator>
  <cp:lastModifiedBy>Juan Esteban Rodríguez Ochoa · Sebastián Zapata Henao</cp:lastModifiedBy>
  <dcterms:created xsi:type="dcterms:W3CDTF">2026-10-25T01:51:54Z</dcterms:created>
  <dcterms:modified xsi:type="dcterms:W3CDTF">2026-10-25T01:51:54Z</dcterms:modified>
</cp:coreProperties>
</file>