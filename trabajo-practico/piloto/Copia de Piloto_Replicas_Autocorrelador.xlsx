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kali-linux\home\juanes\proyectos\diseno-de-experimentos\trabajo-practico\piloto\"/>
    </mc:Choice>
  </mc:AlternateContent>
  <xr:revisionPtr revIDLastSave="0" documentId="8_{611D7E50-065F-4391-9945-927B7A0295F6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Instrucciones" sheetId="1" r:id="rId1"/>
    <sheet name="Configuración" sheetId="2" r:id="rId2"/>
    <sheet name="Registro piloto" sheetId="3" r:id="rId3"/>
    <sheet name="Resumen piloto" sheetId="4" r:id="rId4"/>
    <sheet name="Réplicas" sheetId="5" r:id="rId5"/>
    <sheet name="Plan semana" sheetId="6" r:id="rId6"/>
    <sheet name="R01" sheetId="7" r:id="rId7"/>
    <sheet name="R02" sheetId="8" r:id="rId8"/>
    <sheet name="R03" sheetId="9" r:id="rId9"/>
    <sheet name="R04" sheetId="10" r:id="rId10"/>
    <sheet name="R05" sheetId="11" r:id="rId11"/>
    <sheet name="R06" sheetId="12" r:id="rId12"/>
    <sheet name="R07" sheetId="13" r:id="rId13"/>
    <sheet name="R08" sheetId="14" r:id="rId14"/>
    <sheet name="R09" sheetId="15" r:id="rId15"/>
    <sheet name="R10" sheetId="16" r:id="rId16"/>
    <sheet name="R11" sheetId="17" r:id="rId17"/>
    <sheet name="R12" sheetId="18" r:id="rId18"/>
    <sheet name="R13" sheetId="19" r:id="rId19"/>
    <sheet name="R14" sheetId="20" r:id="rId20"/>
    <sheet name="R15" sheetId="21" r:id="rId21"/>
    <sheet name="Ejemplo" sheetId="22" r:id="rId22"/>
  </sheets>
  <definedNames>
    <definedName name="a_metros">Configuración!$B$9</definedName>
    <definedName name="alfa">Configuración!$B$29</definedName>
    <definedName name="_xlnm.Print_Area" localSheetId="21">Ejemplo!$L$1:$R$62</definedName>
    <definedName name="_xlnm.Print_Area" localSheetId="6">'R01'!$L$1:$R$62</definedName>
    <definedName name="_xlnm.Print_Area" localSheetId="7">'R02'!$L$1:$R$62</definedName>
    <definedName name="_xlnm.Print_Area" localSheetId="8">'R03'!$L$1:$R$62</definedName>
    <definedName name="_xlnm.Print_Area" localSheetId="9">'R04'!$L$1:$R$62</definedName>
    <definedName name="_xlnm.Print_Area" localSheetId="10">'R05'!$L$1:$R$62</definedName>
    <definedName name="_xlnm.Print_Area" localSheetId="11">'R06'!$L$1:$R$62</definedName>
    <definedName name="_xlnm.Print_Area" localSheetId="12">'R07'!$L$1:$R$62</definedName>
    <definedName name="_xlnm.Print_Area" localSheetId="13">'R08'!$L$1:$R$62</definedName>
    <definedName name="_xlnm.Print_Area" localSheetId="14">'R09'!$L$1:$R$62</definedName>
    <definedName name="_xlnm.Print_Area" localSheetId="15">'R10'!$L$1:$R$62</definedName>
    <definedName name="_xlnm.Print_Area" localSheetId="16">'R11'!$L$1:$R$62</definedName>
    <definedName name="_xlnm.Print_Area" localSheetId="17">'R12'!$L$1:$R$62</definedName>
    <definedName name="_xlnm.Print_Area" localSheetId="18">'R13'!$L$1:$R$62</definedName>
    <definedName name="_xlnm.Print_Area" localSheetId="19">'R14'!$L$1:$R$62</definedName>
    <definedName name="_xlnm.Print_Area" localSheetId="20">'R15'!$L$1:$R$62</definedName>
    <definedName name="_xlnm.Print_Area" localSheetId="4">Réplicas!$A$1:$G$40</definedName>
    <definedName name="_xlnm.Print_Area" localSheetId="3">'Resumen piloto'!$A$1:$P$45</definedName>
    <definedName name="banda_1">Configuración!$B$40</definedName>
    <definedName name="banda_2">Configuración!$C$40</definedName>
    <definedName name="banda_3">Configuración!$D$40</definedName>
    <definedName name="c_luz">Configuración!$B$8</definedName>
    <definedName name="colas">Configuración!$B$31</definedName>
    <definedName name="conf_sigma">Configuración!$B$32</definedName>
    <definedName name="conv">Configuración!$B$10</definedName>
    <definedName name="corrientes">Configuración!$B$24:$B$26</definedName>
    <definedName name="delta_def">Configuración!$B$33</definedName>
    <definedName name="dias">Réplicas!$B$37</definedName>
    <definedName name="dur_piloto">'Registro piloto'!$J$21</definedName>
    <definedName name="estab_1">Configuración!$B$41</definedName>
    <definedName name="estab_2">Configuración!$C$41</definedName>
    <definedName name="estab_3">Configuración!$D$41</definedName>
    <definedName name="factor_forma">Configuración!$B$13</definedName>
    <definedName name="horas_dia">Configuración!$B$47</definedName>
    <definedName name="I1_A">Configuración!$B$24</definedName>
    <definedName name="I2_A">Configuración!$B$25</definedName>
    <definedName name="I3_A">Configuración!$B$26</definedName>
    <definedName name="incert_1">Configuración!$B$42</definedName>
    <definedName name="incert_2">Configuración!$C$42</definedName>
    <definedName name="incert_3">Configuración!$D$42</definedName>
    <definedName name="min_traza_man">Configuración!$B$48</definedName>
    <definedName name="n_fondo">Configuración!$B$14</definedName>
    <definedName name="n_I1">'Resumen piloto'!$B$22</definedName>
    <definedName name="n_I2">'Resumen piloto'!$B$23</definedName>
    <definedName name="n_I3">'Resumen piloto'!$B$24</definedName>
    <definedName name="n_zona">Configuración!$B$19</definedName>
    <definedName name="pasos">Configuración!$B$7</definedName>
    <definedName name="pfab_1">Configuración!$B$43</definedName>
    <definedName name="pfab_2">Configuración!$C$43</definedName>
    <definedName name="pfab_3">Configuración!$D$43</definedName>
    <definedName name="potencia">Configuración!$B$30</definedName>
    <definedName name="pts_min">Configuración!$B$17</definedName>
    <definedName name="rec_min">Configuración!$B$18</definedName>
    <definedName name="resol">Configuración!$B$21</definedName>
    <definedName name="rpd">Réplicas!$B$38</definedName>
    <definedName name="S_I1">'Resumen piloto'!$D$22</definedName>
    <definedName name="S_I2">'Resumen piloto'!$D$23</definedName>
    <definedName name="S_I3">'Resumen piloto'!$D$24</definedName>
    <definedName name="semi">Configuración!$B$16</definedName>
    <definedName name="semilla">Configuración!$B$49</definedName>
    <definedName name="tau0_1">Configuración!$B$37</definedName>
    <definedName name="tau0_2">Configuración!$C$37</definedName>
    <definedName name="tau0_3">Configuración!$D$37</definedName>
    <definedName name="taumax_1">Configuración!$B$39</definedName>
    <definedName name="taumax_2">Configuración!$C$39</definedName>
    <definedName name="taumax_3">Configuración!$D$39</definedName>
    <definedName name="tol_1">Configuración!$B$38</definedName>
    <definedName name="tol_2">Configuración!$C$38</definedName>
    <definedName name="tol_3">Configuración!$D$38</definedName>
    <definedName name="unidad">Configuración!$B$6</definedName>
    <definedName name="ventana">Configuración!$B$15</definedName>
    <definedName name="zona_ac">Configuración!$B$20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0" l="1"/>
  <c r="D301" i="22"/>
  <c r="C301" i="22"/>
  <c r="K301" i="22" s="1"/>
  <c r="D300" i="22"/>
  <c r="C300" i="22"/>
  <c r="K299" i="22"/>
  <c r="D299" i="22"/>
  <c r="C299" i="22"/>
  <c r="D298" i="22"/>
  <c r="C298" i="22"/>
  <c r="K298" i="22" s="1"/>
  <c r="D297" i="22"/>
  <c r="C297" i="22"/>
  <c r="K296" i="22" s="1"/>
  <c r="D296" i="22"/>
  <c r="C296" i="22"/>
  <c r="K295" i="22"/>
  <c r="D295" i="22"/>
  <c r="C295" i="22"/>
  <c r="K294" i="22"/>
  <c r="D294" i="22"/>
  <c r="C294" i="22"/>
  <c r="D293" i="22"/>
  <c r="C293" i="22"/>
  <c r="K293" i="22" s="1"/>
  <c r="K292" i="22"/>
  <c r="D292" i="22"/>
  <c r="C292" i="22"/>
  <c r="D291" i="22"/>
  <c r="C291" i="22"/>
  <c r="K291" i="22" s="1"/>
  <c r="D290" i="22"/>
  <c r="C290" i="22"/>
  <c r="K290" i="22" s="1"/>
  <c r="D289" i="22"/>
  <c r="C289" i="22"/>
  <c r="K289" i="22" s="1"/>
  <c r="K288" i="22"/>
  <c r="D288" i="22"/>
  <c r="C288" i="22"/>
  <c r="K287" i="22"/>
  <c r="D287" i="22"/>
  <c r="C287" i="22"/>
  <c r="K286" i="22"/>
  <c r="D286" i="22"/>
  <c r="C286" i="22"/>
  <c r="D285" i="22"/>
  <c r="C285" i="22"/>
  <c r="K285" i="22" s="1"/>
  <c r="D284" i="22"/>
  <c r="C284" i="22"/>
  <c r="K283" i="22"/>
  <c r="D283" i="22"/>
  <c r="C283" i="22"/>
  <c r="D282" i="22"/>
  <c r="C282" i="22"/>
  <c r="K282" i="22" s="1"/>
  <c r="D281" i="22"/>
  <c r="C281" i="22"/>
  <c r="K280" i="22"/>
  <c r="D280" i="22"/>
  <c r="C280" i="22"/>
  <c r="D279" i="22"/>
  <c r="C279" i="22"/>
  <c r="K279" i="22" s="1"/>
  <c r="D278" i="22"/>
  <c r="C278" i="22"/>
  <c r="K278" i="22" s="1"/>
  <c r="D277" i="22"/>
  <c r="C277" i="22"/>
  <c r="D276" i="22"/>
  <c r="C276" i="22"/>
  <c r="K276" i="22" s="1"/>
  <c r="D275" i="22"/>
  <c r="C275" i="22"/>
  <c r="D274" i="22"/>
  <c r="C274" i="22"/>
  <c r="D273" i="22"/>
  <c r="C273" i="22"/>
  <c r="K273" i="22" s="1"/>
  <c r="K272" i="22"/>
  <c r="D272" i="22"/>
  <c r="C272" i="22"/>
  <c r="K271" i="22"/>
  <c r="D271" i="22"/>
  <c r="C271" i="22"/>
  <c r="K270" i="22"/>
  <c r="D270" i="22"/>
  <c r="C270" i="22"/>
  <c r="D269" i="22"/>
  <c r="C269" i="22"/>
  <c r="K269" i="22" s="1"/>
  <c r="D268" i="22"/>
  <c r="C268" i="22"/>
  <c r="K267" i="22"/>
  <c r="D267" i="22"/>
  <c r="C267" i="22"/>
  <c r="D266" i="22"/>
  <c r="C266" i="22"/>
  <c r="K266" i="22" s="1"/>
  <c r="D265" i="22"/>
  <c r="C265" i="22"/>
  <c r="K264" i="22"/>
  <c r="D264" i="22"/>
  <c r="C264" i="22"/>
  <c r="D263" i="22"/>
  <c r="C263" i="22"/>
  <c r="K263" i="22" s="1"/>
  <c r="D262" i="22"/>
  <c r="C262" i="22"/>
  <c r="K262" i="22" s="1"/>
  <c r="D261" i="22"/>
  <c r="C261" i="22"/>
  <c r="D260" i="22"/>
  <c r="C260" i="22"/>
  <c r="K260" i="22" s="1"/>
  <c r="D259" i="22"/>
  <c r="C259" i="22"/>
  <c r="D258" i="22"/>
  <c r="C258" i="22"/>
  <c r="K258" i="22" s="1"/>
  <c r="D257" i="22"/>
  <c r="C257" i="22"/>
  <c r="K257" i="22" s="1"/>
  <c r="D256" i="22"/>
  <c r="C256" i="22"/>
  <c r="K256" i="22" s="1"/>
  <c r="D255" i="22"/>
  <c r="C255" i="22"/>
  <c r="K255" i="22" s="1"/>
  <c r="D254" i="22"/>
  <c r="C254" i="22"/>
  <c r="K254" i="22" s="1"/>
  <c r="D253" i="22"/>
  <c r="C253" i="22"/>
  <c r="D252" i="22"/>
  <c r="C252" i="22"/>
  <c r="K252" i="22" s="1"/>
  <c r="D251" i="22"/>
  <c r="C251" i="22"/>
  <c r="K250" i="22"/>
  <c r="D250" i="22"/>
  <c r="C250" i="22"/>
  <c r="D249" i="22"/>
  <c r="C249" i="22"/>
  <c r="K249" i="22" s="1"/>
  <c r="D248" i="22"/>
  <c r="C248" i="22"/>
  <c r="D247" i="22"/>
  <c r="C247" i="22"/>
  <c r="K247" i="22" s="1"/>
  <c r="K246" i="22"/>
  <c r="D246" i="22"/>
  <c r="C246" i="22"/>
  <c r="D245" i="22"/>
  <c r="C245" i="22"/>
  <c r="K245" i="22" s="1"/>
  <c r="D244" i="22"/>
  <c r="C244" i="22"/>
  <c r="K244" i="22" s="1"/>
  <c r="D243" i="22"/>
  <c r="C243" i="22"/>
  <c r="K243" i="22" s="1"/>
  <c r="D242" i="22"/>
  <c r="C242" i="22"/>
  <c r="K242" i="22" s="1"/>
  <c r="D241" i="22"/>
  <c r="C241" i="22"/>
  <c r="D240" i="22"/>
  <c r="C240" i="22"/>
  <c r="D239" i="22"/>
  <c r="C239" i="22"/>
  <c r="D238" i="22"/>
  <c r="C238" i="22"/>
  <c r="K238" i="22" s="1"/>
  <c r="D237" i="22"/>
  <c r="C237" i="22"/>
  <c r="K236" i="22"/>
  <c r="D236" i="22"/>
  <c r="C236" i="22"/>
  <c r="K235" i="22"/>
  <c r="D235" i="22"/>
  <c r="C235" i="22"/>
  <c r="D234" i="22"/>
  <c r="C234" i="22"/>
  <c r="K234" i="22" s="1"/>
  <c r="D233" i="22"/>
  <c r="C233" i="22"/>
  <c r="K232" i="22"/>
  <c r="D232" i="22"/>
  <c r="C232" i="22"/>
  <c r="K231" i="22"/>
  <c r="D231" i="22"/>
  <c r="C231" i="22"/>
  <c r="K230" i="22" s="1"/>
  <c r="D230" i="22"/>
  <c r="C230" i="22"/>
  <c r="D229" i="22"/>
  <c r="C229" i="22"/>
  <c r="K229" i="22" s="1"/>
  <c r="K228" i="22"/>
  <c r="D228" i="22"/>
  <c r="C228" i="22"/>
  <c r="D227" i="22"/>
  <c r="C227" i="22"/>
  <c r="K227" i="22" s="1"/>
  <c r="D226" i="22"/>
  <c r="C226" i="22"/>
  <c r="D225" i="22"/>
  <c r="C225" i="22"/>
  <c r="D224" i="22"/>
  <c r="C224" i="22"/>
  <c r="K224" i="22" s="1"/>
  <c r="D223" i="22"/>
  <c r="C223" i="22"/>
  <c r="K223" i="22" s="1"/>
  <c r="D222" i="22"/>
  <c r="C222" i="22"/>
  <c r="K222" i="22" s="1"/>
  <c r="D221" i="22"/>
  <c r="C221" i="22"/>
  <c r="K220" i="22" s="1"/>
  <c r="D220" i="22"/>
  <c r="C220" i="22"/>
  <c r="D219" i="22"/>
  <c r="C219" i="22"/>
  <c r="K219" i="22" s="1"/>
  <c r="D218" i="22"/>
  <c r="C218" i="22"/>
  <c r="D217" i="22"/>
  <c r="C217" i="22"/>
  <c r="K217" i="22" s="1"/>
  <c r="K216" i="22"/>
  <c r="D216" i="22"/>
  <c r="C216" i="22"/>
  <c r="K215" i="22" s="1"/>
  <c r="D215" i="22"/>
  <c r="C215" i="22"/>
  <c r="D214" i="22"/>
  <c r="C214" i="22"/>
  <c r="K214" i="22" s="1"/>
  <c r="D213" i="22"/>
  <c r="C213" i="22"/>
  <c r="K213" i="22" s="1"/>
  <c r="D212" i="22"/>
  <c r="C212" i="22"/>
  <c r="D211" i="22"/>
  <c r="C211" i="22"/>
  <c r="D210" i="22"/>
  <c r="C210" i="22"/>
  <c r="K210" i="22" s="1"/>
  <c r="D209" i="22"/>
  <c r="C209" i="22"/>
  <c r="K209" i="22" s="1"/>
  <c r="D208" i="22"/>
  <c r="C208" i="22"/>
  <c r="K208" i="22" s="1"/>
  <c r="D207" i="22"/>
  <c r="C207" i="22"/>
  <c r="D206" i="22"/>
  <c r="C206" i="22"/>
  <c r="D205" i="22"/>
  <c r="C205" i="22"/>
  <c r="D204" i="22"/>
  <c r="C204" i="22"/>
  <c r="D203" i="22"/>
  <c r="C203" i="22"/>
  <c r="K202" i="22"/>
  <c r="D202" i="22"/>
  <c r="C202" i="22"/>
  <c r="D201" i="22"/>
  <c r="C201" i="22"/>
  <c r="K201" i="22" s="1"/>
  <c r="D200" i="22"/>
  <c r="C200" i="22"/>
  <c r="D199" i="22"/>
  <c r="C199" i="22"/>
  <c r="K199" i="22" s="1"/>
  <c r="K198" i="22"/>
  <c r="D198" i="22"/>
  <c r="C198" i="22"/>
  <c r="D197" i="22"/>
  <c r="C197" i="22"/>
  <c r="K197" i="22" s="1"/>
  <c r="D196" i="22"/>
  <c r="C196" i="22"/>
  <c r="D195" i="22"/>
  <c r="C195" i="22"/>
  <c r="D194" i="22"/>
  <c r="C194" i="22"/>
  <c r="K194" i="22" s="1"/>
  <c r="D193" i="22"/>
  <c r="C193" i="22"/>
  <c r="D192" i="22"/>
  <c r="C192" i="22"/>
  <c r="K191" i="22" s="1"/>
  <c r="D191" i="22"/>
  <c r="C191" i="22"/>
  <c r="D190" i="22"/>
  <c r="C190" i="22"/>
  <c r="K190" i="22" s="1"/>
  <c r="D189" i="22"/>
  <c r="C189" i="22"/>
  <c r="K188" i="22"/>
  <c r="D188" i="22"/>
  <c r="C188" i="22"/>
  <c r="D187" i="22"/>
  <c r="C187" i="22"/>
  <c r="D186" i="22"/>
  <c r="C186" i="22"/>
  <c r="D185" i="22"/>
  <c r="C185" i="22"/>
  <c r="K185" i="22" s="1"/>
  <c r="D184" i="22"/>
  <c r="C184" i="22"/>
  <c r="K184" i="22" s="1"/>
  <c r="D183" i="22"/>
  <c r="C183" i="22"/>
  <c r="K182" i="22" s="1"/>
  <c r="D182" i="22"/>
  <c r="C182" i="22"/>
  <c r="D181" i="22"/>
  <c r="C181" i="22"/>
  <c r="K181" i="22" s="1"/>
  <c r="D180" i="22"/>
  <c r="C180" i="22"/>
  <c r="K180" i="22" s="1"/>
  <c r="D179" i="22"/>
  <c r="C179" i="22"/>
  <c r="D178" i="22"/>
  <c r="C178" i="22"/>
  <c r="D177" i="22"/>
  <c r="C177" i="22"/>
  <c r="K177" i="22" s="1"/>
  <c r="D176" i="22"/>
  <c r="C176" i="22"/>
  <c r="D175" i="22"/>
  <c r="C175" i="22"/>
  <c r="K175" i="22" s="1"/>
  <c r="K174" i="22"/>
  <c r="D174" i="22"/>
  <c r="C174" i="22"/>
  <c r="D173" i="22"/>
  <c r="C173" i="22"/>
  <c r="K172" i="22"/>
  <c r="D172" i="22"/>
  <c r="C172" i="22"/>
  <c r="D171" i="22"/>
  <c r="C171" i="22"/>
  <c r="K171" i="22" s="1"/>
  <c r="D170" i="22"/>
  <c r="C170" i="22"/>
  <c r="K170" i="22" s="1"/>
  <c r="D169" i="22"/>
  <c r="C169" i="22"/>
  <c r="D168" i="22"/>
  <c r="C168" i="22"/>
  <c r="K168" i="22" s="1"/>
  <c r="D167" i="22"/>
  <c r="C167" i="22"/>
  <c r="K167" i="22" s="1"/>
  <c r="D166" i="22"/>
  <c r="C166" i="22"/>
  <c r="D165" i="22"/>
  <c r="C165" i="22"/>
  <c r="K165" i="22" s="1"/>
  <c r="D164" i="22"/>
  <c r="C164" i="22"/>
  <c r="K164" i="22" s="1"/>
  <c r="D163" i="22"/>
  <c r="C163" i="22"/>
  <c r="K163" i="22" s="1"/>
  <c r="D162" i="22"/>
  <c r="C162" i="22"/>
  <c r="K162" i="22" s="1"/>
  <c r="D161" i="22"/>
  <c r="C161" i="22"/>
  <c r="K160" i="22"/>
  <c r="D160" i="22"/>
  <c r="C160" i="22"/>
  <c r="D159" i="22"/>
  <c r="C159" i="22"/>
  <c r="K159" i="22" s="1"/>
  <c r="D158" i="22"/>
  <c r="C158" i="22"/>
  <c r="K158" i="22" s="1"/>
  <c r="D157" i="22"/>
  <c r="C157" i="22"/>
  <c r="D156" i="22"/>
  <c r="C156" i="22"/>
  <c r="K156" i="22" s="1"/>
  <c r="D155" i="22"/>
  <c r="C155" i="22"/>
  <c r="K155" i="22" s="1"/>
  <c r="K154" i="22"/>
  <c r="D154" i="22"/>
  <c r="C154" i="22"/>
  <c r="D153" i="22"/>
  <c r="C153" i="22"/>
  <c r="K153" i="22" s="1"/>
  <c r="D152" i="22"/>
  <c r="C152" i="22"/>
  <c r="K152" i="22" s="1"/>
  <c r="D151" i="22"/>
  <c r="C151" i="22"/>
  <c r="K151" i="22" s="1"/>
  <c r="D150" i="22"/>
  <c r="C150" i="22"/>
  <c r="D149" i="22"/>
  <c r="C149" i="22"/>
  <c r="K149" i="22" s="1"/>
  <c r="D148" i="22"/>
  <c r="C148" i="22"/>
  <c r="K148" i="22" s="1"/>
  <c r="D147" i="22"/>
  <c r="C147" i="22"/>
  <c r="K147" i="22" s="1"/>
  <c r="K146" i="22"/>
  <c r="D146" i="22"/>
  <c r="C146" i="22"/>
  <c r="D145" i="22"/>
  <c r="C145" i="22"/>
  <c r="K145" i="22" s="1"/>
  <c r="D144" i="22"/>
  <c r="C144" i="22"/>
  <c r="K143" i="22"/>
  <c r="D143" i="22"/>
  <c r="C143" i="22"/>
  <c r="D142" i="22"/>
  <c r="C142" i="22"/>
  <c r="K142" i="22" s="1"/>
  <c r="D141" i="22"/>
  <c r="C141" i="22"/>
  <c r="K140" i="22" s="1"/>
  <c r="D140" i="22"/>
  <c r="C140" i="22"/>
  <c r="K139" i="22"/>
  <c r="D139" i="22"/>
  <c r="C139" i="22"/>
  <c r="D138" i="22"/>
  <c r="C138" i="22"/>
  <c r="K138" i="22" s="1"/>
  <c r="D137" i="22"/>
  <c r="C137" i="22"/>
  <c r="K136" i="22" s="1"/>
  <c r="D136" i="22"/>
  <c r="C136" i="22"/>
  <c r="K135" i="22"/>
  <c r="D135" i="22"/>
  <c r="C135" i="22"/>
  <c r="D134" i="22"/>
  <c r="C134" i="22"/>
  <c r="K134" i="22" s="1"/>
  <c r="D133" i="22"/>
  <c r="C133" i="22"/>
  <c r="K132" i="22" s="1"/>
  <c r="D132" i="22"/>
  <c r="C132" i="22"/>
  <c r="K131" i="22"/>
  <c r="D131" i="22"/>
  <c r="C131" i="22"/>
  <c r="D130" i="22"/>
  <c r="C130" i="22"/>
  <c r="K130" i="22" s="1"/>
  <c r="D129" i="22"/>
  <c r="C129" i="22"/>
  <c r="K128" i="22" s="1"/>
  <c r="D128" i="22"/>
  <c r="C128" i="22"/>
  <c r="K127" i="22"/>
  <c r="D127" i="22"/>
  <c r="C127" i="22"/>
  <c r="D126" i="22"/>
  <c r="C126" i="22"/>
  <c r="K126" i="22" s="1"/>
  <c r="D125" i="22"/>
  <c r="C125" i="22"/>
  <c r="K124" i="22" s="1"/>
  <c r="D124" i="22"/>
  <c r="C124" i="22"/>
  <c r="K123" i="22"/>
  <c r="D123" i="22"/>
  <c r="C123" i="22"/>
  <c r="D122" i="22"/>
  <c r="C122" i="22"/>
  <c r="K122" i="22" s="1"/>
  <c r="D121" i="22"/>
  <c r="C121" i="22"/>
  <c r="D120" i="22"/>
  <c r="C120" i="22"/>
  <c r="K120" i="22" s="1"/>
  <c r="K119" i="22"/>
  <c r="D119" i="22"/>
  <c r="C119" i="22"/>
  <c r="D118" i="22"/>
  <c r="C118" i="22"/>
  <c r="K118" i="22" s="1"/>
  <c r="D117" i="22"/>
  <c r="C117" i="22"/>
  <c r="D116" i="22"/>
  <c r="C116" i="22"/>
  <c r="K116" i="22" s="1"/>
  <c r="K115" i="22"/>
  <c r="D115" i="22"/>
  <c r="C115" i="22"/>
  <c r="D114" i="22"/>
  <c r="C114" i="22"/>
  <c r="K114" i="22" s="1"/>
  <c r="D113" i="22"/>
  <c r="C113" i="22"/>
  <c r="K113" i="22" s="1"/>
  <c r="D112" i="22"/>
  <c r="C112" i="22"/>
  <c r="K112" i="22" s="1"/>
  <c r="K111" i="22"/>
  <c r="D111" i="22"/>
  <c r="C111" i="22"/>
  <c r="D110" i="22"/>
  <c r="C110" i="22"/>
  <c r="K110" i="22" s="1"/>
  <c r="D109" i="22"/>
  <c r="C109" i="22"/>
  <c r="K109" i="22" s="1"/>
  <c r="D108" i="22"/>
  <c r="C108" i="22"/>
  <c r="K108" i="22" s="1"/>
  <c r="K107" i="22"/>
  <c r="D107" i="22"/>
  <c r="C107" i="22"/>
  <c r="D106" i="22"/>
  <c r="C106" i="22"/>
  <c r="K106" i="22" s="1"/>
  <c r="D105" i="22"/>
  <c r="C105" i="22"/>
  <c r="D104" i="22"/>
  <c r="C104" i="22"/>
  <c r="K104" i="22" s="1"/>
  <c r="D103" i="22"/>
  <c r="C103" i="22"/>
  <c r="K103" i="22" s="1"/>
  <c r="D102" i="22"/>
  <c r="C102" i="22"/>
  <c r="D101" i="22"/>
  <c r="C101" i="22"/>
  <c r="K101" i="22" s="1"/>
  <c r="D100" i="22"/>
  <c r="C100" i="22"/>
  <c r="K100" i="22" s="1"/>
  <c r="D99" i="22"/>
  <c r="C99" i="22"/>
  <c r="K99" i="22" s="1"/>
  <c r="D98" i="22"/>
  <c r="C98" i="22"/>
  <c r="D97" i="22"/>
  <c r="C97" i="22"/>
  <c r="K97" i="22" s="1"/>
  <c r="D96" i="22"/>
  <c r="C96" i="22"/>
  <c r="K96" i="22" s="1"/>
  <c r="D95" i="22"/>
  <c r="C95" i="22"/>
  <c r="K95" i="22" s="1"/>
  <c r="D94" i="22"/>
  <c r="C94" i="22"/>
  <c r="K94" i="22" s="1"/>
  <c r="D93" i="22"/>
  <c r="C93" i="22"/>
  <c r="K93" i="22" s="1"/>
  <c r="D92" i="22"/>
  <c r="C92" i="22"/>
  <c r="D91" i="22"/>
  <c r="C91" i="22"/>
  <c r="K91" i="22" s="1"/>
  <c r="D90" i="22"/>
  <c r="C90" i="22"/>
  <c r="D89" i="22"/>
  <c r="C89" i="22"/>
  <c r="K89" i="22" s="1"/>
  <c r="D88" i="22"/>
  <c r="C88" i="22"/>
  <c r="K88" i="22" s="1"/>
  <c r="D87" i="22"/>
  <c r="C87" i="22"/>
  <c r="K87" i="22" s="1"/>
  <c r="D86" i="22"/>
  <c r="C86" i="22"/>
  <c r="K85" i="22"/>
  <c r="D85" i="22"/>
  <c r="C85" i="22"/>
  <c r="D84" i="22"/>
  <c r="C84" i="22"/>
  <c r="K84" i="22" s="1"/>
  <c r="K83" i="22"/>
  <c r="D83" i="22"/>
  <c r="C83" i="22"/>
  <c r="D82" i="22"/>
  <c r="C82" i="22"/>
  <c r="K82" i="22" s="1"/>
  <c r="D81" i="22"/>
  <c r="C81" i="22"/>
  <c r="K81" i="22" s="1"/>
  <c r="D80" i="22"/>
  <c r="C80" i="22"/>
  <c r="D79" i="22"/>
  <c r="C79" i="22"/>
  <c r="K79" i="22" s="1"/>
  <c r="D78" i="22"/>
  <c r="C78" i="22"/>
  <c r="K78" i="22" s="1"/>
  <c r="K77" i="22"/>
  <c r="D77" i="22"/>
  <c r="C77" i="22"/>
  <c r="K76" i="22"/>
  <c r="D76" i="22"/>
  <c r="C76" i="22"/>
  <c r="D75" i="22"/>
  <c r="C75" i="22"/>
  <c r="K75" i="22" s="1"/>
  <c r="D74" i="22"/>
  <c r="C74" i="22"/>
  <c r="K74" i="22" s="1"/>
  <c r="K73" i="22"/>
  <c r="D73" i="22"/>
  <c r="C73" i="22"/>
  <c r="K72" i="22"/>
  <c r="D72" i="22"/>
  <c r="C72" i="22"/>
  <c r="D71" i="22"/>
  <c r="C71" i="22"/>
  <c r="K71" i="22" s="1"/>
  <c r="D70" i="22"/>
  <c r="C70" i="22"/>
  <c r="K70" i="22" s="1"/>
  <c r="K69" i="22"/>
  <c r="D69" i="22"/>
  <c r="C69" i="22"/>
  <c r="K68" i="22"/>
  <c r="D68" i="22"/>
  <c r="C68" i="22"/>
  <c r="D67" i="22"/>
  <c r="C67" i="22"/>
  <c r="K67" i="22" s="1"/>
  <c r="D66" i="22"/>
  <c r="C66" i="22"/>
  <c r="K66" i="22" s="1"/>
  <c r="K65" i="22"/>
  <c r="D65" i="22"/>
  <c r="C65" i="22"/>
  <c r="K64" i="22"/>
  <c r="D64" i="22"/>
  <c r="C64" i="22"/>
  <c r="D63" i="22"/>
  <c r="C63" i="22"/>
  <c r="K63" i="22" s="1"/>
  <c r="D62" i="22"/>
  <c r="C62" i="22"/>
  <c r="K62" i="22" s="1"/>
  <c r="K61" i="22"/>
  <c r="D61" i="22"/>
  <c r="C61" i="22"/>
  <c r="K60" i="22"/>
  <c r="D60" i="22"/>
  <c r="C60" i="22"/>
  <c r="D59" i="22"/>
  <c r="C59" i="22"/>
  <c r="K59" i="22" s="1"/>
  <c r="D58" i="22"/>
  <c r="C58" i="22"/>
  <c r="K58" i="22" s="1"/>
  <c r="K57" i="22"/>
  <c r="D57" i="22"/>
  <c r="C57" i="22"/>
  <c r="K56" i="22"/>
  <c r="D56" i="22"/>
  <c r="C56" i="22"/>
  <c r="D55" i="22"/>
  <c r="C55" i="22"/>
  <c r="K55" i="22" s="1"/>
  <c r="D54" i="22"/>
  <c r="C54" i="22"/>
  <c r="K54" i="22" s="1"/>
  <c r="K53" i="22"/>
  <c r="D53" i="22"/>
  <c r="C53" i="22"/>
  <c r="K52" i="22"/>
  <c r="D52" i="22"/>
  <c r="C52" i="22"/>
  <c r="D51" i="22"/>
  <c r="C51" i="22"/>
  <c r="K51" i="22" s="1"/>
  <c r="D50" i="22"/>
  <c r="C50" i="22"/>
  <c r="K50" i="22" s="1"/>
  <c r="K49" i="22"/>
  <c r="D49" i="22"/>
  <c r="C49" i="22"/>
  <c r="K48" i="22"/>
  <c r="D48" i="22"/>
  <c r="C48" i="22"/>
  <c r="D47" i="22"/>
  <c r="C47" i="22"/>
  <c r="K47" i="22" s="1"/>
  <c r="D46" i="22"/>
  <c r="C46" i="22"/>
  <c r="K46" i="22" s="1"/>
  <c r="K45" i="22"/>
  <c r="D45" i="22"/>
  <c r="C45" i="22"/>
  <c r="K44" i="22"/>
  <c r="D44" i="22"/>
  <c r="C44" i="22"/>
  <c r="D43" i="22"/>
  <c r="C43" i="22"/>
  <c r="K43" i="22" s="1"/>
  <c r="D42" i="22"/>
  <c r="C42" i="22"/>
  <c r="K42" i="22" s="1"/>
  <c r="K41" i="22"/>
  <c r="D41" i="22"/>
  <c r="C41" i="22"/>
  <c r="K40" i="22"/>
  <c r="D40" i="22"/>
  <c r="C40" i="22"/>
  <c r="D39" i="22"/>
  <c r="C39" i="22"/>
  <c r="K39" i="22" s="1"/>
  <c r="D38" i="22"/>
  <c r="C38" i="22"/>
  <c r="K38" i="22" s="1"/>
  <c r="K37" i="22"/>
  <c r="D37" i="22"/>
  <c r="C37" i="22"/>
  <c r="K36" i="22"/>
  <c r="D36" i="22"/>
  <c r="C36" i="22"/>
  <c r="D35" i="22"/>
  <c r="C35" i="22"/>
  <c r="K35" i="22" s="1"/>
  <c r="D34" i="22"/>
  <c r="C34" i="22"/>
  <c r="K34" i="22" s="1"/>
  <c r="K33" i="22"/>
  <c r="D33" i="22"/>
  <c r="C33" i="22"/>
  <c r="K32" i="22"/>
  <c r="D32" i="22"/>
  <c r="C32" i="22"/>
  <c r="D31" i="22"/>
  <c r="C31" i="22"/>
  <c r="K31" i="22" s="1"/>
  <c r="D30" i="22"/>
  <c r="C30" i="22"/>
  <c r="K30" i="22" s="1"/>
  <c r="K29" i="22"/>
  <c r="D29" i="22"/>
  <c r="C29" i="22"/>
  <c r="K28" i="22"/>
  <c r="D28" i="22"/>
  <c r="C28" i="22"/>
  <c r="D27" i="22"/>
  <c r="C27" i="22"/>
  <c r="K27" i="22" s="1"/>
  <c r="D26" i="22"/>
  <c r="C26" i="22"/>
  <c r="K26" i="22" s="1"/>
  <c r="K25" i="22"/>
  <c r="D25" i="22"/>
  <c r="C25" i="22"/>
  <c r="D24" i="22"/>
  <c r="C24" i="22"/>
  <c r="K24" i="22" s="1"/>
  <c r="K23" i="22"/>
  <c r="D23" i="22"/>
  <c r="C23" i="22"/>
  <c r="K22" i="22"/>
  <c r="D22" i="22"/>
  <c r="C22" i="22"/>
  <c r="M4" i="22"/>
  <c r="M3" i="22"/>
  <c r="M2" i="22"/>
  <c r="M1" i="22"/>
  <c r="K301" i="21"/>
  <c r="D301" i="21"/>
  <c r="C301" i="21"/>
  <c r="K300" i="21"/>
  <c r="D300" i="21"/>
  <c r="C300" i="21"/>
  <c r="K299" i="21" s="1"/>
  <c r="D299" i="21"/>
  <c r="C299" i="21"/>
  <c r="K298" i="21"/>
  <c r="D298" i="21"/>
  <c r="C298" i="21"/>
  <c r="K297" i="21" s="1"/>
  <c r="D297" i="21"/>
  <c r="C297" i="21"/>
  <c r="K296" i="21"/>
  <c r="D296" i="21"/>
  <c r="C296" i="21"/>
  <c r="K295" i="21" s="1"/>
  <c r="D295" i="21"/>
  <c r="C295" i="21"/>
  <c r="K294" i="21"/>
  <c r="D294" i="21"/>
  <c r="C294" i="21"/>
  <c r="K293" i="21"/>
  <c r="D293" i="21"/>
  <c r="C293" i="21"/>
  <c r="D292" i="21"/>
  <c r="C292" i="21"/>
  <c r="K291" i="21" s="1"/>
  <c r="D291" i="21"/>
  <c r="C291" i="21"/>
  <c r="D290" i="21"/>
  <c r="C290" i="21"/>
  <c r="K290" i="21" s="1"/>
  <c r="K289" i="21"/>
  <c r="D289" i="21"/>
  <c r="C289" i="21"/>
  <c r="K288" i="21"/>
  <c r="D288" i="21"/>
  <c r="C288" i="21"/>
  <c r="K287" i="21"/>
  <c r="D287" i="21"/>
  <c r="C287" i="21"/>
  <c r="D286" i="21"/>
  <c r="C286" i="21"/>
  <c r="D285" i="21"/>
  <c r="C285" i="21"/>
  <c r="K284" i="21"/>
  <c r="D284" i="21"/>
  <c r="C284" i="21"/>
  <c r="K283" i="21"/>
  <c r="D283" i="21"/>
  <c r="C283" i="21"/>
  <c r="D282" i="21"/>
  <c r="C282" i="21"/>
  <c r="K282" i="21" s="1"/>
  <c r="K281" i="21"/>
  <c r="D281" i="21"/>
  <c r="C281" i="21"/>
  <c r="K280" i="21"/>
  <c r="D280" i="21"/>
  <c r="C280" i="21"/>
  <c r="K279" i="21"/>
  <c r="D279" i="21"/>
  <c r="C279" i="21"/>
  <c r="D278" i="21"/>
  <c r="C278" i="21"/>
  <c r="K278" i="21" s="1"/>
  <c r="K277" i="21"/>
  <c r="D277" i="21"/>
  <c r="C277" i="21"/>
  <c r="K276" i="21"/>
  <c r="D276" i="21"/>
  <c r="C276" i="21"/>
  <c r="K275" i="21"/>
  <c r="D275" i="21"/>
  <c r="C275" i="21"/>
  <c r="D274" i="21"/>
  <c r="C274" i="21"/>
  <c r="K274" i="21" s="1"/>
  <c r="K273" i="21"/>
  <c r="D273" i="21"/>
  <c r="C273" i="21"/>
  <c r="K272" i="21"/>
  <c r="D272" i="21"/>
  <c r="C272" i="21"/>
  <c r="K271" i="21"/>
  <c r="D271" i="21"/>
  <c r="C271" i="21"/>
  <c r="D270" i="21"/>
  <c r="C270" i="21"/>
  <c r="K270" i="21" s="1"/>
  <c r="K269" i="21"/>
  <c r="D269" i="21"/>
  <c r="C269" i="21"/>
  <c r="K268" i="21"/>
  <c r="D268" i="21"/>
  <c r="C268" i="21"/>
  <c r="K267" i="21"/>
  <c r="D267" i="21"/>
  <c r="C267" i="21"/>
  <c r="D266" i="21"/>
  <c r="C266" i="21"/>
  <c r="K266" i="21" s="1"/>
  <c r="K265" i="21"/>
  <c r="D265" i="21"/>
  <c r="C265" i="21"/>
  <c r="K264" i="21"/>
  <c r="D264" i="21"/>
  <c r="C264" i="21"/>
  <c r="K263" i="21"/>
  <c r="D263" i="21"/>
  <c r="C263" i="21"/>
  <c r="D262" i="21"/>
  <c r="C262" i="21"/>
  <c r="K262" i="21" s="1"/>
  <c r="D261" i="21"/>
  <c r="C261" i="21"/>
  <c r="K260" i="21"/>
  <c r="D260" i="21"/>
  <c r="C260" i="21"/>
  <c r="K259" i="21"/>
  <c r="D259" i="21"/>
  <c r="C259" i="21"/>
  <c r="D258" i="21"/>
  <c r="C258" i="21"/>
  <c r="K258" i="21" s="1"/>
  <c r="K257" i="21"/>
  <c r="D257" i="21"/>
  <c r="C257" i="21"/>
  <c r="D256" i="21"/>
  <c r="C256" i="21"/>
  <c r="K256" i="21" s="1"/>
  <c r="K255" i="21"/>
  <c r="D255" i="21"/>
  <c r="C255" i="21"/>
  <c r="D254" i="21"/>
  <c r="C254" i="21"/>
  <c r="D253" i="21"/>
  <c r="C253" i="21"/>
  <c r="D252" i="21"/>
  <c r="C252" i="21"/>
  <c r="K252" i="21" s="1"/>
  <c r="K251" i="21"/>
  <c r="D251" i="21"/>
  <c r="C251" i="21"/>
  <c r="D250" i="21"/>
  <c r="C250" i="21"/>
  <c r="K250" i="21" s="1"/>
  <c r="D249" i="21"/>
  <c r="C249" i="21"/>
  <c r="D248" i="21"/>
  <c r="C248" i="21"/>
  <c r="K248" i="21" s="1"/>
  <c r="K247" i="21"/>
  <c r="D247" i="21"/>
  <c r="C247" i="21"/>
  <c r="D246" i="21"/>
  <c r="C246" i="21"/>
  <c r="K246" i="21" s="1"/>
  <c r="K245" i="21"/>
  <c r="D245" i="21"/>
  <c r="C245" i="21"/>
  <c r="D244" i="21"/>
  <c r="C244" i="21"/>
  <c r="K244" i="21" s="1"/>
  <c r="K243" i="21"/>
  <c r="D243" i="21"/>
  <c r="C243" i="21"/>
  <c r="D242" i="21"/>
  <c r="C242" i="21"/>
  <c r="K242" i="21" s="1"/>
  <c r="K241" i="21"/>
  <c r="D241" i="21"/>
  <c r="C241" i="21"/>
  <c r="D240" i="21"/>
  <c r="C240" i="21"/>
  <c r="K240" i="21" s="1"/>
  <c r="D239" i="21"/>
  <c r="C239" i="21"/>
  <c r="K239" i="21" s="1"/>
  <c r="D238" i="21"/>
  <c r="C238" i="21"/>
  <c r="K238" i="21" s="1"/>
  <c r="K237" i="21"/>
  <c r="D237" i="21"/>
  <c r="C237" i="21"/>
  <c r="D236" i="21"/>
  <c r="C236" i="21"/>
  <c r="K236" i="21" s="1"/>
  <c r="D235" i="21"/>
  <c r="C235" i="21"/>
  <c r="K235" i="21" s="1"/>
  <c r="D234" i="21"/>
  <c r="C234" i="21"/>
  <c r="K234" i="21" s="1"/>
  <c r="K233" i="21"/>
  <c r="D233" i="21"/>
  <c r="C233" i="21"/>
  <c r="D232" i="21"/>
  <c r="C232" i="21"/>
  <c r="K232" i="21" s="1"/>
  <c r="D231" i="21"/>
  <c r="C231" i="21"/>
  <c r="K231" i="21" s="1"/>
  <c r="D230" i="21"/>
  <c r="C230" i="21"/>
  <c r="K230" i="21" s="1"/>
  <c r="D229" i="21"/>
  <c r="C229" i="21"/>
  <c r="D228" i="21"/>
  <c r="C228" i="21"/>
  <c r="K228" i="21" s="1"/>
  <c r="D227" i="21"/>
  <c r="C227" i="21"/>
  <c r="K227" i="21" s="1"/>
  <c r="D226" i="21"/>
  <c r="C226" i="21"/>
  <c r="K226" i="21" s="1"/>
  <c r="D225" i="21"/>
  <c r="C225" i="21"/>
  <c r="D224" i="21"/>
  <c r="C224" i="21"/>
  <c r="K224" i="21" s="1"/>
  <c r="D223" i="21"/>
  <c r="C223" i="21"/>
  <c r="K223" i="21" s="1"/>
  <c r="D222" i="21"/>
  <c r="C222" i="21"/>
  <c r="K221" i="21" s="1"/>
  <c r="D221" i="21"/>
  <c r="C221" i="21"/>
  <c r="D220" i="21"/>
  <c r="C220" i="21"/>
  <c r="K220" i="21" s="1"/>
  <c r="K219" i="21"/>
  <c r="D219" i="21"/>
  <c r="C219" i="21"/>
  <c r="D218" i="21"/>
  <c r="C218" i="21"/>
  <c r="K218" i="21" s="1"/>
  <c r="K217" i="21"/>
  <c r="D217" i="21"/>
  <c r="C217" i="21"/>
  <c r="D216" i="21"/>
  <c r="C216" i="21"/>
  <c r="K216" i="21" s="1"/>
  <c r="D215" i="21"/>
  <c r="C215" i="21"/>
  <c r="K215" i="21" s="1"/>
  <c r="D214" i="21"/>
  <c r="C214" i="21"/>
  <c r="K214" i="21" s="1"/>
  <c r="K213" i="21"/>
  <c r="D213" i="21"/>
  <c r="C213" i="21"/>
  <c r="D212" i="21"/>
  <c r="C212" i="21"/>
  <c r="K212" i="21" s="1"/>
  <c r="D211" i="21"/>
  <c r="C211" i="21"/>
  <c r="D210" i="21"/>
  <c r="C210" i="21"/>
  <c r="D209" i="21"/>
  <c r="C209" i="21"/>
  <c r="K209" i="21" s="1"/>
  <c r="D208" i="21"/>
  <c r="C208" i="21"/>
  <c r="D207" i="21"/>
  <c r="C207" i="21"/>
  <c r="K207" i="21" s="1"/>
  <c r="D206" i="21"/>
  <c r="C206" i="21"/>
  <c r="K205" i="21" s="1"/>
  <c r="D205" i="21"/>
  <c r="C205" i="21"/>
  <c r="D204" i="21"/>
  <c r="C204" i="21"/>
  <c r="K204" i="21" s="1"/>
  <c r="D203" i="21"/>
  <c r="C203" i="21"/>
  <c r="K203" i="21" s="1"/>
  <c r="D202" i="21"/>
  <c r="C202" i="21"/>
  <c r="K202" i="21" s="1"/>
  <c r="D201" i="21"/>
  <c r="C201" i="21"/>
  <c r="K201" i="21" s="1"/>
  <c r="D200" i="21"/>
  <c r="C200" i="21"/>
  <c r="K199" i="21" s="1"/>
  <c r="D199" i="21"/>
  <c r="C199" i="21"/>
  <c r="D198" i="21"/>
  <c r="C198" i="21"/>
  <c r="K198" i="21" s="1"/>
  <c r="D197" i="21"/>
  <c r="C197" i="21"/>
  <c r="K197" i="21" s="1"/>
  <c r="D196" i="21"/>
  <c r="C196" i="21"/>
  <c r="K195" i="21" s="1"/>
  <c r="D195" i="21"/>
  <c r="C195" i="21"/>
  <c r="D194" i="21"/>
  <c r="C194" i="21"/>
  <c r="K194" i="21" s="1"/>
  <c r="D193" i="21"/>
  <c r="C193" i="21"/>
  <c r="K193" i="21" s="1"/>
  <c r="D192" i="21"/>
  <c r="C192" i="21"/>
  <c r="K191" i="21" s="1"/>
  <c r="D191" i="21"/>
  <c r="C191" i="21"/>
  <c r="D190" i="21"/>
  <c r="C190" i="21"/>
  <c r="K190" i="21" s="1"/>
  <c r="D189" i="21"/>
  <c r="C189" i="21"/>
  <c r="K189" i="21" s="1"/>
  <c r="D188" i="21"/>
  <c r="C188" i="21"/>
  <c r="K187" i="21" s="1"/>
  <c r="D187" i="21"/>
  <c r="C187" i="21"/>
  <c r="D186" i="21"/>
  <c r="C186" i="21"/>
  <c r="K186" i="21" s="1"/>
  <c r="D185" i="21"/>
  <c r="C185" i="21"/>
  <c r="K185" i="21" s="1"/>
  <c r="D184" i="21"/>
  <c r="C184" i="21"/>
  <c r="K183" i="21" s="1"/>
  <c r="D183" i="21"/>
  <c r="C183" i="21"/>
  <c r="D182" i="21"/>
  <c r="C182" i="21"/>
  <c r="K182" i="21" s="1"/>
  <c r="D181" i="21"/>
  <c r="C181" i="21"/>
  <c r="K181" i="21" s="1"/>
  <c r="D180" i="21"/>
  <c r="C180" i="21"/>
  <c r="K179" i="21" s="1"/>
  <c r="D179" i="21"/>
  <c r="C179" i="21"/>
  <c r="D178" i="21"/>
  <c r="C178" i="21"/>
  <c r="K178" i="21" s="1"/>
  <c r="D177" i="21"/>
  <c r="C177" i="21"/>
  <c r="K177" i="21" s="1"/>
  <c r="D176" i="21"/>
  <c r="C176" i="21"/>
  <c r="D175" i="21"/>
  <c r="C175" i="21"/>
  <c r="D174" i="21"/>
  <c r="C174" i="21"/>
  <c r="K174" i="21" s="1"/>
  <c r="D173" i="21"/>
  <c r="C173" i="21"/>
  <c r="D172" i="21"/>
  <c r="C172" i="21"/>
  <c r="D171" i="21"/>
  <c r="C171" i="21"/>
  <c r="D170" i="21"/>
  <c r="C170" i="21"/>
  <c r="K170" i="21" s="1"/>
  <c r="D169" i="21"/>
  <c r="C169" i="21"/>
  <c r="D168" i="21"/>
  <c r="C168" i="21"/>
  <c r="K168" i="21" s="1"/>
  <c r="K167" i="21"/>
  <c r="D167" i="21"/>
  <c r="C167" i="21"/>
  <c r="D166" i="21"/>
  <c r="C166" i="21"/>
  <c r="K166" i="21" s="1"/>
  <c r="D165" i="21"/>
  <c r="C165" i="21"/>
  <c r="D164" i="21"/>
  <c r="C164" i="21"/>
  <c r="K164" i="21" s="1"/>
  <c r="K163" i="21"/>
  <c r="D163" i="21"/>
  <c r="C163" i="21"/>
  <c r="D162" i="21"/>
  <c r="C162" i="21"/>
  <c r="K162" i="21" s="1"/>
  <c r="D161" i="21"/>
  <c r="C161" i="21"/>
  <c r="D160" i="21"/>
  <c r="C160" i="21"/>
  <c r="K160" i="21" s="1"/>
  <c r="D159" i="21"/>
  <c r="C159" i="21"/>
  <c r="D158" i="21"/>
  <c r="C158" i="21"/>
  <c r="K158" i="21" s="1"/>
  <c r="D157" i="21"/>
  <c r="C157" i="21"/>
  <c r="K157" i="21" s="1"/>
  <c r="D156" i="21"/>
  <c r="C156" i="21"/>
  <c r="K156" i="21" s="1"/>
  <c r="D155" i="21"/>
  <c r="C155" i="21"/>
  <c r="D154" i="21"/>
  <c r="C154" i="21"/>
  <c r="K154" i="21" s="1"/>
  <c r="D153" i="21"/>
  <c r="C153" i="21"/>
  <c r="D152" i="21"/>
  <c r="C152" i="21"/>
  <c r="K152" i="21" s="1"/>
  <c r="K151" i="21"/>
  <c r="D151" i="21"/>
  <c r="C151" i="21"/>
  <c r="D150" i="21"/>
  <c r="C150" i="21"/>
  <c r="K150" i="21" s="1"/>
  <c r="D149" i="21"/>
  <c r="C149" i="21"/>
  <c r="D148" i="21"/>
  <c r="C148" i="21"/>
  <c r="K148" i="21" s="1"/>
  <c r="D147" i="21"/>
  <c r="C147" i="21"/>
  <c r="D146" i="21"/>
  <c r="C146" i="21"/>
  <c r="K146" i="21" s="1"/>
  <c r="D145" i="21"/>
  <c r="C145" i="21"/>
  <c r="D144" i="21"/>
  <c r="C144" i="21"/>
  <c r="D143" i="21"/>
  <c r="C143" i="21"/>
  <c r="D142" i="21"/>
  <c r="C142" i="21"/>
  <c r="K142" i="21" s="1"/>
  <c r="D141" i="21"/>
  <c r="C141" i="21"/>
  <c r="D140" i="21"/>
  <c r="C140" i="21"/>
  <c r="K140" i="21" s="1"/>
  <c r="D139" i="21"/>
  <c r="C139" i="21"/>
  <c r="D138" i="21"/>
  <c r="C138" i="21"/>
  <c r="K138" i="21" s="1"/>
  <c r="D137" i="21"/>
  <c r="C137" i="21"/>
  <c r="D136" i="21"/>
  <c r="C136" i="21"/>
  <c r="K136" i="21" s="1"/>
  <c r="K135" i="21"/>
  <c r="D135" i="21"/>
  <c r="C135" i="21"/>
  <c r="D134" i="21"/>
  <c r="C134" i="21"/>
  <c r="K134" i="21" s="1"/>
  <c r="D133" i="21"/>
  <c r="C133" i="21"/>
  <c r="K133" i="21" s="1"/>
  <c r="D132" i="21"/>
  <c r="C132" i="21"/>
  <c r="K132" i="21" s="1"/>
  <c r="D131" i="21"/>
  <c r="C131" i="21"/>
  <c r="D130" i="21"/>
  <c r="C130" i="21"/>
  <c r="K130" i="21" s="1"/>
  <c r="D129" i="21"/>
  <c r="C129" i="21"/>
  <c r="K129" i="21" s="1"/>
  <c r="D128" i="21"/>
  <c r="C128" i="21"/>
  <c r="K127" i="21"/>
  <c r="D127" i="21"/>
  <c r="C127" i="21"/>
  <c r="D126" i="21"/>
  <c r="C126" i="21"/>
  <c r="K126" i="21" s="1"/>
  <c r="D125" i="21"/>
  <c r="C125" i="21"/>
  <c r="K125" i="21" s="1"/>
  <c r="D124" i="21"/>
  <c r="C124" i="21"/>
  <c r="K123" i="21" s="1"/>
  <c r="D123" i="21"/>
  <c r="C123" i="21"/>
  <c r="D122" i="21"/>
  <c r="C122" i="21"/>
  <c r="K122" i="21" s="1"/>
  <c r="D121" i="21"/>
  <c r="C121" i="21"/>
  <c r="K121" i="21" s="1"/>
  <c r="D120" i="21"/>
  <c r="C120" i="21"/>
  <c r="K119" i="21" s="1"/>
  <c r="D119" i="21"/>
  <c r="C119" i="21"/>
  <c r="D118" i="21"/>
  <c r="C118" i="21"/>
  <c r="K118" i="21" s="1"/>
  <c r="D117" i="21"/>
  <c r="C117" i="21"/>
  <c r="K117" i="21" s="1"/>
  <c r="D116" i="21"/>
  <c r="C116" i="21"/>
  <c r="K115" i="21" s="1"/>
  <c r="D115" i="21"/>
  <c r="C115" i="21"/>
  <c r="D114" i="21"/>
  <c r="C114" i="21"/>
  <c r="K114" i="21" s="1"/>
  <c r="D113" i="21"/>
  <c r="C113" i="21"/>
  <c r="K113" i="21" s="1"/>
  <c r="D112" i="21"/>
  <c r="C112" i="21"/>
  <c r="K111" i="21"/>
  <c r="D111" i="21"/>
  <c r="C111" i="21"/>
  <c r="D110" i="21"/>
  <c r="C110" i="21"/>
  <c r="K110" i="21" s="1"/>
  <c r="D109" i="21"/>
  <c r="C109" i="21"/>
  <c r="K109" i="21" s="1"/>
  <c r="D108" i="21"/>
  <c r="C108" i="21"/>
  <c r="K108" i="21" s="1"/>
  <c r="D107" i="21"/>
  <c r="C107" i="21"/>
  <c r="D106" i="21"/>
  <c r="C106" i="21"/>
  <c r="K106" i="21" s="1"/>
  <c r="D105" i="21"/>
  <c r="C105" i="21"/>
  <c r="K105" i="21" s="1"/>
  <c r="D104" i="21"/>
  <c r="C104" i="21"/>
  <c r="K104" i="21" s="1"/>
  <c r="D103" i="21"/>
  <c r="C103" i="21"/>
  <c r="D102" i="21"/>
  <c r="C102" i="21"/>
  <c r="K102" i="21" s="1"/>
  <c r="K101" i="21"/>
  <c r="D101" i="21"/>
  <c r="C101" i="21"/>
  <c r="D100" i="21"/>
  <c r="C100" i="21"/>
  <c r="K99" i="21" s="1"/>
  <c r="D99" i="21"/>
  <c r="C99" i="21"/>
  <c r="D98" i="21"/>
  <c r="C98" i="21"/>
  <c r="K98" i="21" s="1"/>
  <c r="K97" i="21"/>
  <c r="D97" i="21"/>
  <c r="C97" i="21"/>
  <c r="D96" i="21"/>
  <c r="C96" i="21"/>
  <c r="K95" i="21" s="1"/>
  <c r="D95" i="21"/>
  <c r="C95" i="21"/>
  <c r="D94" i="21"/>
  <c r="C94" i="21"/>
  <c r="K94" i="21" s="1"/>
  <c r="K93" i="21"/>
  <c r="D93" i="21"/>
  <c r="C93" i="21"/>
  <c r="D92" i="21"/>
  <c r="C92" i="21"/>
  <c r="K91" i="21" s="1"/>
  <c r="D91" i="21"/>
  <c r="C91" i="21"/>
  <c r="D90" i="21"/>
  <c r="C90" i="21"/>
  <c r="K90" i="21" s="1"/>
  <c r="K89" i="21"/>
  <c r="D89" i="21"/>
  <c r="C89" i="21"/>
  <c r="D88" i="21"/>
  <c r="C88" i="21"/>
  <c r="K87" i="21" s="1"/>
  <c r="D87" i="21"/>
  <c r="C87" i="21"/>
  <c r="D86" i="21"/>
  <c r="C86" i="21"/>
  <c r="K86" i="21" s="1"/>
  <c r="K85" i="21"/>
  <c r="D85" i="21"/>
  <c r="C85" i="21"/>
  <c r="D84" i="21"/>
  <c r="C84" i="21"/>
  <c r="D83" i="21"/>
  <c r="C83" i="21"/>
  <c r="D82" i="21"/>
  <c r="C82" i="21"/>
  <c r="K82" i="21" s="1"/>
  <c r="D81" i="21"/>
  <c r="C81" i="21"/>
  <c r="D80" i="21"/>
  <c r="C80" i="21"/>
  <c r="D79" i="21"/>
  <c r="C79" i="21"/>
  <c r="D78" i="21"/>
  <c r="C78" i="21"/>
  <c r="K78" i="21" s="1"/>
  <c r="D77" i="21"/>
  <c r="C77" i="21"/>
  <c r="D76" i="21"/>
  <c r="C76" i="21"/>
  <c r="D75" i="21"/>
  <c r="C75" i="21"/>
  <c r="D74" i="21"/>
  <c r="C74" i="21"/>
  <c r="K74" i="21" s="1"/>
  <c r="K73" i="21"/>
  <c r="D73" i="21"/>
  <c r="C73" i="21"/>
  <c r="D72" i="21"/>
  <c r="C72" i="21"/>
  <c r="D71" i="21"/>
  <c r="C71" i="21"/>
  <c r="D70" i="21"/>
  <c r="C70" i="21"/>
  <c r="K70" i="21" s="1"/>
  <c r="D69" i="21"/>
  <c r="C69" i="21"/>
  <c r="D68" i="21"/>
  <c r="C68" i="21"/>
  <c r="D67" i="21"/>
  <c r="C67" i="21"/>
  <c r="D66" i="21"/>
  <c r="C66" i="21"/>
  <c r="K66" i="21" s="1"/>
  <c r="K65" i="21"/>
  <c r="D65" i="21"/>
  <c r="C65" i="21"/>
  <c r="D64" i="21"/>
  <c r="C64" i="21"/>
  <c r="D63" i="21"/>
  <c r="C63" i="21"/>
  <c r="D62" i="21"/>
  <c r="C62" i="21"/>
  <c r="D61" i="21"/>
  <c r="C61" i="21"/>
  <c r="K60" i="21"/>
  <c r="D60" i="21"/>
  <c r="C60" i="21"/>
  <c r="K59" i="21" s="1"/>
  <c r="D59" i="21"/>
  <c r="C59" i="21"/>
  <c r="K58" i="21"/>
  <c r="D58" i="21"/>
  <c r="C58" i="21"/>
  <c r="K57" i="21"/>
  <c r="D57" i="21"/>
  <c r="C57" i="21"/>
  <c r="K56" i="21"/>
  <c r="D56" i="21"/>
  <c r="C56" i="21"/>
  <c r="K55" i="21" s="1"/>
  <c r="D55" i="21"/>
  <c r="C55" i="21"/>
  <c r="K54" i="21"/>
  <c r="D54" i="21"/>
  <c r="C54" i="21"/>
  <c r="K53" i="21" s="1"/>
  <c r="D53" i="21"/>
  <c r="C53" i="21"/>
  <c r="D52" i="21"/>
  <c r="C52" i="21"/>
  <c r="K51" i="21" s="1"/>
  <c r="D51" i="21"/>
  <c r="C51" i="21"/>
  <c r="D50" i="21"/>
  <c r="C50" i="21"/>
  <c r="K50" i="21" s="1"/>
  <c r="D49" i="21"/>
  <c r="C49" i="21"/>
  <c r="D48" i="21"/>
  <c r="C48" i="21"/>
  <c r="D47" i="21"/>
  <c r="C47" i="21"/>
  <c r="D46" i="21"/>
  <c r="C46" i="21"/>
  <c r="D45" i="21"/>
  <c r="C45" i="21"/>
  <c r="K44" i="21"/>
  <c r="D44" i="21"/>
  <c r="C44" i="21"/>
  <c r="K43" i="21" s="1"/>
  <c r="D43" i="21"/>
  <c r="C43" i="21"/>
  <c r="K42" i="21"/>
  <c r="D42" i="21"/>
  <c r="C42" i="21"/>
  <c r="K41" i="21"/>
  <c r="D41" i="21"/>
  <c r="C41" i="21"/>
  <c r="K40" i="21"/>
  <c r="D40" i="21"/>
  <c r="C40" i="21"/>
  <c r="K39" i="21" s="1"/>
  <c r="D39" i="21"/>
  <c r="C39" i="21"/>
  <c r="D38" i="21"/>
  <c r="C38" i="21"/>
  <c r="K38" i="21" s="1"/>
  <c r="K37" i="21"/>
  <c r="D37" i="21"/>
  <c r="C37" i="21"/>
  <c r="D36" i="21"/>
  <c r="C36" i="21"/>
  <c r="D35" i="21"/>
  <c r="C35" i="21"/>
  <c r="K34" i="21"/>
  <c r="D34" i="21"/>
  <c r="C34" i="21"/>
  <c r="K33" i="21"/>
  <c r="D33" i="21"/>
  <c r="C33" i="21"/>
  <c r="K32" i="21"/>
  <c r="D32" i="21"/>
  <c r="C32" i="21"/>
  <c r="K31" i="21" s="1"/>
  <c r="D31" i="21"/>
  <c r="C31" i="21"/>
  <c r="D30" i="21"/>
  <c r="C30" i="21"/>
  <c r="K30" i="21" s="1"/>
  <c r="D29" i="21"/>
  <c r="C29" i="21"/>
  <c r="D28" i="21"/>
  <c r="C28" i="21"/>
  <c r="K28" i="21" s="1"/>
  <c r="D27" i="21"/>
  <c r="C27" i="21"/>
  <c r="K27" i="21" s="1"/>
  <c r="D26" i="21"/>
  <c r="C26" i="21"/>
  <c r="K26" i="21" s="1"/>
  <c r="D25" i="21"/>
  <c r="C25" i="21"/>
  <c r="K24" i="21"/>
  <c r="D24" i="21"/>
  <c r="C24" i="21"/>
  <c r="K23" i="21"/>
  <c r="D23" i="21"/>
  <c r="C23" i="21"/>
  <c r="D22" i="21"/>
  <c r="C22" i="21"/>
  <c r="K22" i="21" s="1"/>
  <c r="D21" i="21"/>
  <c r="C21" i="21"/>
  <c r="K21" i="21" s="1"/>
  <c r="D20" i="21"/>
  <c r="C20" i="21"/>
  <c r="K19" i="21" s="1"/>
  <c r="D19" i="21"/>
  <c r="C19" i="21"/>
  <c r="K18" i="21"/>
  <c r="D18" i="21"/>
  <c r="C18" i="21"/>
  <c r="D17" i="21"/>
  <c r="C17" i="21"/>
  <c r="K17" i="21" s="1"/>
  <c r="D16" i="21"/>
  <c r="C16" i="21"/>
  <c r="K16" i="21" s="1"/>
  <c r="D15" i="21"/>
  <c r="C15" i="21"/>
  <c r="K15" i="21" s="1"/>
  <c r="D14" i="21"/>
  <c r="C14" i="21"/>
  <c r="K13" i="21" s="1"/>
  <c r="D13" i="21"/>
  <c r="C13" i="21"/>
  <c r="D12" i="21"/>
  <c r="C12" i="21"/>
  <c r="K12" i="21" s="1"/>
  <c r="D11" i="21"/>
  <c r="C11" i="21"/>
  <c r="K11" i="21" s="1"/>
  <c r="D10" i="21"/>
  <c r="C10" i="21"/>
  <c r="D9" i="21"/>
  <c r="C9" i="21"/>
  <c r="D8" i="21"/>
  <c r="C8" i="21"/>
  <c r="K7" i="21" s="1"/>
  <c r="D7" i="21"/>
  <c r="C7" i="21"/>
  <c r="K6" i="21"/>
  <c r="D6" i="21"/>
  <c r="C6" i="21"/>
  <c r="D5" i="21"/>
  <c r="C5" i="21"/>
  <c r="K5" i="21" s="1"/>
  <c r="D4" i="21"/>
  <c r="C4" i="21"/>
  <c r="K4" i="21" s="1"/>
  <c r="M3" i="21"/>
  <c r="D3" i="21"/>
  <c r="C3" i="21"/>
  <c r="M2" i="21"/>
  <c r="M4" i="21" s="1"/>
  <c r="D2" i="21"/>
  <c r="C2" i="21"/>
  <c r="K2" i="21" s="1"/>
  <c r="M1" i="21"/>
  <c r="K301" i="20"/>
  <c r="D301" i="20"/>
  <c r="C301" i="20"/>
  <c r="D300" i="20"/>
  <c r="C300" i="20"/>
  <c r="K300" i="20" s="1"/>
  <c r="D299" i="20"/>
  <c r="C299" i="20"/>
  <c r="K299" i="20" s="1"/>
  <c r="D298" i="20"/>
  <c r="C298" i="20"/>
  <c r="D297" i="20"/>
  <c r="C297" i="20"/>
  <c r="D296" i="20"/>
  <c r="C296" i="20"/>
  <c r="K296" i="20" s="1"/>
  <c r="D295" i="20"/>
  <c r="C295" i="20"/>
  <c r="K295" i="20" s="1"/>
  <c r="D294" i="20"/>
  <c r="C294" i="20"/>
  <c r="D293" i="20"/>
  <c r="C293" i="20"/>
  <c r="D292" i="20"/>
  <c r="C292" i="20"/>
  <c r="K292" i="20" s="1"/>
  <c r="D291" i="20"/>
  <c r="C291" i="20"/>
  <c r="K291" i="20" s="1"/>
  <c r="D290" i="20"/>
  <c r="C290" i="20"/>
  <c r="D289" i="20"/>
  <c r="C289" i="20"/>
  <c r="D288" i="20"/>
  <c r="C288" i="20"/>
  <c r="K288" i="20" s="1"/>
  <c r="D287" i="20"/>
  <c r="C287" i="20"/>
  <c r="K287" i="20" s="1"/>
  <c r="D286" i="20"/>
  <c r="C286" i="20"/>
  <c r="K286" i="20" s="1"/>
  <c r="D285" i="20"/>
  <c r="C285" i="20"/>
  <c r="D284" i="20"/>
  <c r="C284" i="20"/>
  <c r="K284" i="20" s="1"/>
  <c r="D283" i="20"/>
  <c r="C283" i="20"/>
  <c r="K283" i="20" s="1"/>
  <c r="D282" i="20"/>
  <c r="C282" i="20"/>
  <c r="D281" i="20"/>
  <c r="C281" i="20"/>
  <c r="K281" i="20" s="1"/>
  <c r="D280" i="20"/>
  <c r="C280" i="20"/>
  <c r="K280" i="20" s="1"/>
  <c r="D279" i="20"/>
  <c r="C279" i="20"/>
  <c r="K279" i="20" s="1"/>
  <c r="D278" i="20"/>
  <c r="C278" i="20"/>
  <c r="D277" i="20"/>
  <c r="C277" i="20"/>
  <c r="D276" i="20"/>
  <c r="C276" i="20"/>
  <c r="K276" i="20" s="1"/>
  <c r="D275" i="20"/>
  <c r="C275" i="20"/>
  <c r="K275" i="20" s="1"/>
  <c r="D274" i="20"/>
  <c r="C274" i="20"/>
  <c r="D273" i="20"/>
  <c r="C273" i="20"/>
  <c r="K273" i="20" s="1"/>
  <c r="D272" i="20"/>
  <c r="C272" i="20"/>
  <c r="D271" i="20"/>
  <c r="C271" i="20"/>
  <c r="K271" i="20" s="1"/>
  <c r="D270" i="20"/>
  <c r="C270" i="20"/>
  <c r="K269" i="20"/>
  <c r="D269" i="20"/>
  <c r="C269" i="20"/>
  <c r="D268" i="20"/>
  <c r="C268" i="20"/>
  <c r="K268" i="20" s="1"/>
  <c r="D267" i="20"/>
  <c r="C267" i="20"/>
  <c r="K267" i="20" s="1"/>
  <c r="D266" i="20"/>
  <c r="C266" i="20"/>
  <c r="K266" i="20" s="1"/>
  <c r="K265" i="20"/>
  <c r="D265" i="20"/>
  <c r="C265" i="20"/>
  <c r="D264" i="20"/>
  <c r="C264" i="20"/>
  <c r="D263" i="20"/>
  <c r="C263" i="20"/>
  <c r="K263" i="20" s="1"/>
  <c r="D262" i="20"/>
  <c r="C262" i="20"/>
  <c r="D261" i="20"/>
  <c r="C261" i="20"/>
  <c r="K261" i="20" s="1"/>
  <c r="D260" i="20"/>
  <c r="C260" i="20"/>
  <c r="D259" i="20"/>
  <c r="C259" i="20"/>
  <c r="K259" i="20" s="1"/>
  <c r="D258" i="20"/>
  <c r="C258" i="20"/>
  <c r="K257" i="20"/>
  <c r="D257" i="20"/>
  <c r="C257" i="20"/>
  <c r="D256" i="20"/>
  <c r="C256" i="20"/>
  <c r="K256" i="20" s="1"/>
  <c r="D255" i="20"/>
  <c r="C255" i="20"/>
  <c r="K255" i="20" s="1"/>
  <c r="D254" i="20"/>
  <c r="C254" i="20"/>
  <c r="K254" i="20" s="1"/>
  <c r="D253" i="20"/>
  <c r="C253" i="20"/>
  <c r="D252" i="20"/>
  <c r="C252" i="20"/>
  <c r="D251" i="20"/>
  <c r="C251" i="20"/>
  <c r="K251" i="20" s="1"/>
  <c r="K250" i="20"/>
  <c r="D250" i="20"/>
  <c r="C250" i="20"/>
  <c r="D249" i="20"/>
  <c r="C249" i="20"/>
  <c r="K249" i="20" s="1"/>
  <c r="D248" i="20"/>
  <c r="C248" i="20"/>
  <c r="K248" i="20" s="1"/>
  <c r="D247" i="20"/>
  <c r="C247" i="20"/>
  <c r="K247" i="20" s="1"/>
  <c r="D246" i="20"/>
  <c r="C246" i="20"/>
  <c r="D245" i="20"/>
  <c r="C245" i="20"/>
  <c r="K245" i="20" s="1"/>
  <c r="D244" i="20"/>
  <c r="C244" i="20"/>
  <c r="D243" i="20"/>
  <c r="C243" i="20"/>
  <c r="K243" i="20" s="1"/>
  <c r="D242" i="20"/>
  <c r="C242" i="20"/>
  <c r="K242" i="20" s="1"/>
  <c r="D241" i="20"/>
  <c r="C241" i="20"/>
  <c r="D240" i="20"/>
  <c r="C240" i="20"/>
  <c r="D239" i="20"/>
  <c r="C239" i="20"/>
  <c r="K239" i="20" s="1"/>
  <c r="K238" i="20"/>
  <c r="D238" i="20"/>
  <c r="C238" i="20"/>
  <c r="D237" i="20"/>
  <c r="C237" i="20"/>
  <c r="D236" i="20"/>
  <c r="C236" i="20"/>
  <c r="D235" i="20"/>
  <c r="C235" i="20"/>
  <c r="K235" i="20" s="1"/>
  <c r="K234" i="20"/>
  <c r="D234" i="20"/>
  <c r="C234" i="20"/>
  <c r="D233" i="20"/>
  <c r="C233" i="20"/>
  <c r="D232" i="20"/>
  <c r="C232" i="20"/>
  <c r="D231" i="20"/>
  <c r="C231" i="20"/>
  <c r="K231" i="20" s="1"/>
  <c r="K230" i="20"/>
  <c r="D230" i="20"/>
  <c r="C230" i="20"/>
  <c r="D229" i="20"/>
  <c r="C229" i="20"/>
  <c r="D228" i="20"/>
  <c r="C228" i="20"/>
  <c r="D227" i="20"/>
  <c r="C227" i="20"/>
  <c r="K227" i="20" s="1"/>
  <c r="K226" i="20"/>
  <c r="D226" i="20"/>
  <c r="C226" i="20"/>
  <c r="D225" i="20"/>
  <c r="C225" i="20"/>
  <c r="D224" i="20"/>
  <c r="C224" i="20"/>
  <c r="D223" i="20"/>
  <c r="C223" i="20"/>
  <c r="K223" i="20" s="1"/>
  <c r="K222" i="20"/>
  <c r="D222" i="20"/>
  <c r="C222" i="20"/>
  <c r="D221" i="20"/>
  <c r="C221" i="20"/>
  <c r="D220" i="20"/>
  <c r="C220" i="20"/>
  <c r="D219" i="20"/>
  <c r="C219" i="20"/>
  <c r="K219" i="20" s="1"/>
  <c r="D218" i="20"/>
  <c r="C218" i="20"/>
  <c r="K218" i="20" s="1"/>
  <c r="D217" i="20"/>
  <c r="C217" i="20"/>
  <c r="D216" i="20"/>
  <c r="C216" i="20"/>
  <c r="D215" i="20"/>
  <c r="C215" i="20"/>
  <c r="K215" i="20" s="1"/>
  <c r="K214" i="20"/>
  <c r="D214" i="20"/>
  <c r="C214" i="20"/>
  <c r="D213" i="20"/>
  <c r="C213" i="20"/>
  <c r="D212" i="20"/>
  <c r="C212" i="20"/>
  <c r="D211" i="20"/>
  <c r="C211" i="20"/>
  <c r="K211" i="20" s="1"/>
  <c r="D210" i="20"/>
  <c r="C210" i="20"/>
  <c r="K210" i="20" s="1"/>
  <c r="D209" i="20"/>
  <c r="C209" i="20"/>
  <c r="D208" i="20"/>
  <c r="C208" i="20"/>
  <c r="D207" i="20"/>
  <c r="C207" i="20"/>
  <c r="K207" i="20" s="1"/>
  <c r="K206" i="20"/>
  <c r="D206" i="20"/>
  <c r="C206" i="20"/>
  <c r="D205" i="20"/>
  <c r="C205" i="20"/>
  <c r="D204" i="20"/>
  <c r="C204" i="20"/>
  <c r="D203" i="20"/>
  <c r="C203" i="20"/>
  <c r="K203" i="20" s="1"/>
  <c r="D202" i="20"/>
  <c r="C202" i="20"/>
  <c r="K202" i="20" s="1"/>
  <c r="D201" i="20"/>
  <c r="C201" i="20"/>
  <c r="D200" i="20"/>
  <c r="C200" i="20"/>
  <c r="D199" i="20"/>
  <c r="C199" i="20"/>
  <c r="K199" i="20" s="1"/>
  <c r="K198" i="20"/>
  <c r="D198" i="20"/>
  <c r="C198" i="20"/>
  <c r="D197" i="20"/>
  <c r="C197" i="20"/>
  <c r="D196" i="20"/>
  <c r="C196" i="20"/>
  <c r="D195" i="20"/>
  <c r="C195" i="20"/>
  <c r="K195" i="20" s="1"/>
  <c r="D194" i="20"/>
  <c r="C194" i="20"/>
  <c r="K194" i="20" s="1"/>
  <c r="D193" i="20"/>
  <c r="C193" i="20"/>
  <c r="D192" i="20"/>
  <c r="C192" i="20"/>
  <c r="K192" i="20" s="1"/>
  <c r="D191" i="20"/>
  <c r="C191" i="20"/>
  <c r="K191" i="20" s="1"/>
  <c r="K190" i="20"/>
  <c r="D190" i="20"/>
  <c r="C190" i="20"/>
  <c r="D189" i="20"/>
  <c r="C189" i="20"/>
  <c r="K189" i="20" s="1"/>
  <c r="D188" i="20"/>
  <c r="C188" i="20"/>
  <c r="D187" i="20"/>
  <c r="C187" i="20"/>
  <c r="K187" i="20" s="1"/>
  <c r="D186" i="20"/>
  <c r="C186" i="20"/>
  <c r="K186" i="20" s="1"/>
  <c r="D185" i="20"/>
  <c r="C185" i="20"/>
  <c r="D184" i="20"/>
  <c r="C184" i="20"/>
  <c r="D183" i="20"/>
  <c r="C183" i="20"/>
  <c r="K183" i="20" s="1"/>
  <c r="K182" i="20"/>
  <c r="D182" i="20"/>
  <c r="C182" i="20"/>
  <c r="D181" i="20"/>
  <c r="C181" i="20"/>
  <c r="K181" i="20" s="1"/>
  <c r="D180" i="20"/>
  <c r="C180" i="20"/>
  <c r="D179" i="20"/>
  <c r="C179" i="20"/>
  <c r="K179" i="20" s="1"/>
  <c r="D178" i="20"/>
  <c r="C178" i="20"/>
  <c r="K178" i="20" s="1"/>
  <c r="D177" i="20"/>
  <c r="C177" i="20"/>
  <c r="D176" i="20"/>
  <c r="C176" i="20"/>
  <c r="K176" i="20" s="1"/>
  <c r="D175" i="20"/>
  <c r="C175" i="20"/>
  <c r="K175" i="20" s="1"/>
  <c r="K174" i="20"/>
  <c r="D174" i="20"/>
  <c r="C174" i="20"/>
  <c r="K173" i="20"/>
  <c r="D173" i="20"/>
  <c r="C173" i="20"/>
  <c r="D172" i="20"/>
  <c r="C172" i="20"/>
  <c r="K172" i="20" s="1"/>
  <c r="D171" i="20"/>
  <c r="C171" i="20"/>
  <c r="K171" i="20" s="1"/>
  <c r="D170" i="20"/>
  <c r="C170" i="20"/>
  <c r="K169" i="20" s="1"/>
  <c r="D169" i="20"/>
  <c r="C169" i="20"/>
  <c r="D168" i="20"/>
  <c r="C168" i="20"/>
  <c r="D167" i="20"/>
  <c r="C167" i="20"/>
  <c r="K167" i="20" s="1"/>
  <c r="D166" i="20"/>
  <c r="C166" i="20"/>
  <c r="K166" i="20" s="1"/>
  <c r="D165" i="20"/>
  <c r="C165" i="20"/>
  <c r="K165" i="20" s="1"/>
  <c r="D164" i="20"/>
  <c r="C164" i="20"/>
  <c r="K164" i="20" s="1"/>
  <c r="D163" i="20"/>
  <c r="C163" i="20"/>
  <c r="K163" i="20" s="1"/>
  <c r="D162" i="20"/>
  <c r="C162" i="20"/>
  <c r="K162" i="20" s="1"/>
  <c r="D161" i="20"/>
  <c r="C161" i="20"/>
  <c r="K161" i="20" s="1"/>
  <c r="D160" i="20"/>
  <c r="C160" i="20"/>
  <c r="K160" i="20" s="1"/>
  <c r="D159" i="20"/>
  <c r="C159" i="20"/>
  <c r="K159" i="20" s="1"/>
  <c r="D158" i="20"/>
  <c r="C158" i="20"/>
  <c r="K158" i="20" s="1"/>
  <c r="D157" i="20"/>
  <c r="C157" i="20"/>
  <c r="D156" i="20"/>
  <c r="C156" i="20"/>
  <c r="K156" i="20" s="1"/>
  <c r="D155" i="20"/>
  <c r="C155" i="20"/>
  <c r="K155" i="20" s="1"/>
  <c r="D154" i="20"/>
  <c r="C154" i="20"/>
  <c r="K153" i="20"/>
  <c r="D153" i="20"/>
  <c r="C153" i="20"/>
  <c r="D152" i="20"/>
  <c r="C152" i="20"/>
  <c r="K152" i="20" s="1"/>
  <c r="D151" i="20"/>
  <c r="C151" i="20"/>
  <c r="K150" i="20"/>
  <c r="D150" i="20"/>
  <c r="C150" i="20"/>
  <c r="D149" i="20"/>
  <c r="C149" i="20"/>
  <c r="K149" i="20" s="1"/>
  <c r="D148" i="20"/>
  <c r="C148" i="20"/>
  <c r="K148" i="20" s="1"/>
  <c r="D147" i="20"/>
  <c r="C147" i="20"/>
  <c r="K147" i="20" s="1"/>
  <c r="D146" i="20"/>
  <c r="C146" i="20"/>
  <c r="D145" i="20"/>
  <c r="C145" i="20"/>
  <c r="K144" i="20" s="1"/>
  <c r="D144" i="20"/>
  <c r="C144" i="20"/>
  <c r="D143" i="20"/>
  <c r="C143" i="20"/>
  <c r="D142" i="20"/>
  <c r="C142" i="20"/>
  <c r="K142" i="20" s="1"/>
  <c r="D141" i="20"/>
  <c r="C141" i="20"/>
  <c r="K140" i="20" s="1"/>
  <c r="D140" i="20"/>
  <c r="C140" i="20"/>
  <c r="D139" i="20"/>
  <c r="C139" i="20"/>
  <c r="K139" i="20" s="1"/>
  <c r="K138" i="20"/>
  <c r="D138" i="20"/>
  <c r="C138" i="20"/>
  <c r="K137" i="20"/>
  <c r="D137" i="20"/>
  <c r="C137" i="20"/>
  <c r="K136" i="20"/>
  <c r="D136" i="20"/>
  <c r="C136" i="20"/>
  <c r="D135" i="20"/>
  <c r="C135" i="20"/>
  <c r="K135" i="20" s="1"/>
  <c r="K134" i="20"/>
  <c r="D134" i="20"/>
  <c r="C134" i="20"/>
  <c r="K133" i="20" s="1"/>
  <c r="D133" i="20"/>
  <c r="C133" i="20"/>
  <c r="D132" i="20"/>
  <c r="C132" i="20"/>
  <c r="K132" i="20" s="1"/>
  <c r="D131" i="20"/>
  <c r="C131" i="20"/>
  <c r="K131" i="20" s="1"/>
  <c r="D130" i="20"/>
  <c r="C130" i="20"/>
  <c r="K130" i="20" s="1"/>
  <c r="D129" i="20"/>
  <c r="C129" i="20"/>
  <c r="D128" i="20"/>
  <c r="C128" i="20"/>
  <c r="K128" i="20" s="1"/>
  <c r="D127" i="20"/>
  <c r="C127" i="20"/>
  <c r="D126" i="20"/>
  <c r="C126" i="20"/>
  <c r="K126" i="20" s="1"/>
  <c r="D125" i="20"/>
  <c r="C125" i="20"/>
  <c r="D124" i="20"/>
  <c r="C124" i="20"/>
  <c r="D123" i="20"/>
  <c r="C123" i="20"/>
  <c r="K123" i="20" s="1"/>
  <c r="K122" i="20"/>
  <c r="D122" i="20"/>
  <c r="C122" i="20"/>
  <c r="D121" i="20"/>
  <c r="C121" i="20"/>
  <c r="D120" i="20"/>
  <c r="C120" i="20"/>
  <c r="D119" i="20"/>
  <c r="C119" i="20"/>
  <c r="K119" i="20" s="1"/>
  <c r="K118" i="20"/>
  <c r="D118" i="20"/>
  <c r="C118" i="20"/>
  <c r="D117" i="20"/>
  <c r="C117" i="20"/>
  <c r="D116" i="20"/>
  <c r="C116" i="20"/>
  <c r="D115" i="20"/>
  <c r="C115" i="20"/>
  <c r="K115" i="20" s="1"/>
  <c r="K114" i="20"/>
  <c r="D114" i="20"/>
  <c r="C114" i="20"/>
  <c r="D113" i="20"/>
  <c r="C113" i="20"/>
  <c r="D112" i="20"/>
  <c r="C112" i="20"/>
  <c r="D111" i="20"/>
  <c r="C111" i="20"/>
  <c r="K111" i="20" s="1"/>
  <c r="K110" i="20"/>
  <c r="D110" i="20"/>
  <c r="C110" i="20"/>
  <c r="D109" i="20"/>
  <c r="C109" i="20"/>
  <c r="D108" i="20"/>
  <c r="C108" i="20"/>
  <c r="D107" i="20"/>
  <c r="C107" i="20"/>
  <c r="K107" i="20" s="1"/>
  <c r="K106" i="20"/>
  <c r="D106" i="20"/>
  <c r="C106" i="20"/>
  <c r="D105" i="20"/>
  <c r="C105" i="20"/>
  <c r="K105" i="20" s="1"/>
  <c r="K104" i="20"/>
  <c r="D104" i="20"/>
  <c r="C104" i="20"/>
  <c r="D103" i="20"/>
  <c r="C103" i="20"/>
  <c r="K103" i="20" s="1"/>
  <c r="K102" i="20"/>
  <c r="D102" i="20"/>
  <c r="C102" i="20"/>
  <c r="D101" i="20"/>
  <c r="C101" i="20"/>
  <c r="K101" i="20" s="1"/>
  <c r="D100" i="20"/>
  <c r="C100" i="20"/>
  <c r="D99" i="20"/>
  <c r="C99" i="20"/>
  <c r="K99" i="20" s="1"/>
  <c r="K98" i="20"/>
  <c r="D98" i="20"/>
  <c r="C98" i="20"/>
  <c r="D97" i="20"/>
  <c r="C97" i="20"/>
  <c r="K97" i="20" s="1"/>
  <c r="D96" i="20"/>
  <c r="C96" i="20"/>
  <c r="D95" i="20"/>
  <c r="C95" i="20"/>
  <c r="K95" i="20" s="1"/>
  <c r="K94" i="20"/>
  <c r="D94" i="20"/>
  <c r="C94" i="20"/>
  <c r="D93" i="20"/>
  <c r="C93" i="20"/>
  <c r="K93" i="20" s="1"/>
  <c r="D92" i="20"/>
  <c r="C92" i="20"/>
  <c r="D91" i="20"/>
  <c r="C91" i="20"/>
  <c r="K91" i="20" s="1"/>
  <c r="D90" i="20"/>
  <c r="C90" i="20"/>
  <c r="K90" i="20" s="1"/>
  <c r="D89" i="20"/>
  <c r="C89" i="20"/>
  <c r="K88" i="20" s="1"/>
  <c r="D88" i="20"/>
  <c r="C88" i="20"/>
  <c r="D87" i="20"/>
  <c r="C87" i="20"/>
  <c r="K87" i="20" s="1"/>
  <c r="D86" i="20"/>
  <c r="C86" i="20"/>
  <c r="K86" i="20" s="1"/>
  <c r="D85" i="20"/>
  <c r="C85" i="20"/>
  <c r="K84" i="20" s="1"/>
  <c r="D84" i="20"/>
  <c r="C84" i="20"/>
  <c r="D83" i="20"/>
  <c r="C83" i="20"/>
  <c r="K83" i="20" s="1"/>
  <c r="D82" i="20"/>
  <c r="C82" i="20"/>
  <c r="K82" i="20" s="1"/>
  <c r="D81" i="20"/>
  <c r="C81" i="20"/>
  <c r="K80" i="20"/>
  <c r="D80" i="20"/>
  <c r="C80" i="20"/>
  <c r="D79" i="20"/>
  <c r="C79" i="20"/>
  <c r="K79" i="20" s="1"/>
  <c r="K78" i="20"/>
  <c r="D78" i="20"/>
  <c r="C78" i="20"/>
  <c r="D77" i="20"/>
  <c r="C77" i="20"/>
  <c r="K77" i="20" s="1"/>
  <c r="K76" i="20"/>
  <c r="D76" i="20"/>
  <c r="C76" i="20"/>
  <c r="D75" i="20"/>
  <c r="C75" i="20"/>
  <c r="D74" i="20"/>
  <c r="C74" i="20"/>
  <c r="K74" i="20" s="1"/>
  <c r="D73" i="20"/>
  <c r="C73" i="20"/>
  <c r="K72" i="20"/>
  <c r="D72" i="20"/>
  <c r="C72" i="20"/>
  <c r="D71" i="20"/>
  <c r="C71" i="20"/>
  <c r="K71" i="20" s="1"/>
  <c r="K70" i="20"/>
  <c r="D70" i="20"/>
  <c r="C70" i="20"/>
  <c r="D69" i="20"/>
  <c r="C69" i="20"/>
  <c r="K69" i="20" s="1"/>
  <c r="K68" i="20"/>
  <c r="D68" i="20"/>
  <c r="C68" i="20"/>
  <c r="D67" i="20"/>
  <c r="C67" i="20"/>
  <c r="D66" i="20"/>
  <c r="C66" i="20"/>
  <c r="K66" i="20" s="1"/>
  <c r="D65" i="20"/>
  <c r="C65" i="20"/>
  <c r="K64" i="20"/>
  <c r="D64" i="20"/>
  <c r="C64" i="20"/>
  <c r="D63" i="20"/>
  <c r="C63" i="20"/>
  <c r="K63" i="20" s="1"/>
  <c r="K62" i="20"/>
  <c r="D62" i="20"/>
  <c r="C62" i="20"/>
  <c r="D61" i="20"/>
  <c r="C61" i="20"/>
  <c r="K61" i="20" s="1"/>
  <c r="K60" i="20"/>
  <c r="D60" i="20"/>
  <c r="C60" i="20"/>
  <c r="D59" i="20"/>
  <c r="C59" i="20"/>
  <c r="D58" i="20"/>
  <c r="C58" i="20"/>
  <c r="K58" i="20" s="1"/>
  <c r="D57" i="20"/>
  <c r="C57" i="20"/>
  <c r="K56" i="20"/>
  <c r="D56" i="20"/>
  <c r="C56" i="20"/>
  <c r="D55" i="20"/>
  <c r="C55" i="20"/>
  <c r="K55" i="20" s="1"/>
  <c r="D54" i="20"/>
  <c r="C54" i="20"/>
  <c r="K54" i="20" s="1"/>
  <c r="K53" i="20"/>
  <c r="D53" i="20"/>
  <c r="C53" i="20"/>
  <c r="K52" i="20"/>
  <c r="D52" i="20"/>
  <c r="C52" i="20"/>
  <c r="D51" i="20"/>
  <c r="C51" i="20"/>
  <c r="K51" i="20" s="1"/>
  <c r="D50" i="20"/>
  <c r="C50" i="20"/>
  <c r="K50" i="20" s="1"/>
  <c r="K49" i="20"/>
  <c r="D49" i="20"/>
  <c r="C49" i="20"/>
  <c r="K48" i="20"/>
  <c r="D48" i="20"/>
  <c r="C48" i="20"/>
  <c r="D47" i="20"/>
  <c r="C47" i="20"/>
  <c r="K47" i="20" s="1"/>
  <c r="D46" i="20"/>
  <c r="C46" i="20"/>
  <c r="K46" i="20" s="1"/>
  <c r="K45" i="20"/>
  <c r="D45" i="20"/>
  <c r="C45" i="20"/>
  <c r="K44" i="20"/>
  <c r="D44" i="20"/>
  <c r="C44" i="20"/>
  <c r="D43" i="20"/>
  <c r="C43" i="20"/>
  <c r="K43" i="20" s="1"/>
  <c r="D42" i="20"/>
  <c r="C42" i="20"/>
  <c r="K42" i="20" s="1"/>
  <c r="D41" i="20"/>
  <c r="C41" i="20"/>
  <c r="K41" i="20" s="1"/>
  <c r="K40" i="20"/>
  <c r="D40" i="20"/>
  <c r="C40" i="20"/>
  <c r="D39" i="20"/>
  <c r="C39" i="20"/>
  <c r="K39" i="20" s="1"/>
  <c r="D38" i="20"/>
  <c r="C38" i="20"/>
  <c r="K38" i="20" s="1"/>
  <c r="D37" i="20"/>
  <c r="C37" i="20"/>
  <c r="K37" i="20" s="1"/>
  <c r="K36" i="20"/>
  <c r="D36" i="20"/>
  <c r="C36" i="20"/>
  <c r="D35" i="20"/>
  <c r="C35" i="20"/>
  <c r="K35" i="20" s="1"/>
  <c r="D34" i="20"/>
  <c r="C34" i="20"/>
  <c r="K34" i="20" s="1"/>
  <c r="D33" i="20"/>
  <c r="C33" i="20"/>
  <c r="K33" i="20" s="1"/>
  <c r="K32" i="20"/>
  <c r="D32" i="20"/>
  <c r="C32" i="20"/>
  <c r="D31" i="20"/>
  <c r="C31" i="20"/>
  <c r="K31" i="20" s="1"/>
  <c r="D30" i="20"/>
  <c r="C30" i="20"/>
  <c r="K30" i="20" s="1"/>
  <c r="D29" i="20"/>
  <c r="C29" i="20"/>
  <c r="K29" i="20" s="1"/>
  <c r="K28" i="20"/>
  <c r="D28" i="20"/>
  <c r="C28" i="20"/>
  <c r="D27" i="20"/>
  <c r="C27" i="20"/>
  <c r="K27" i="20" s="1"/>
  <c r="D26" i="20"/>
  <c r="C26" i="20"/>
  <c r="K26" i="20" s="1"/>
  <c r="D25" i="20"/>
  <c r="C25" i="20"/>
  <c r="K25" i="20" s="1"/>
  <c r="D24" i="20"/>
  <c r="C24" i="20"/>
  <c r="K24" i="20" s="1"/>
  <c r="D23" i="20"/>
  <c r="C23" i="20"/>
  <c r="K23" i="20" s="1"/>
  <c r="D22" i="20"/>
  <c r="C22" i="20"/>
  <c r="K22" i="20" s="1"/>
  <c r="D21" i="20"/>
  <c r="C21" i="20"/>
  <c r="D20" i="20"/>
  <c r="C20" i="20"/>
  <c r="K20" i="20" s="1"/>
  <c r="D19" i="20"/>
  <c r="C19" i="20"/>
  <c r="D18" i="20"/>
  <c r="C18" i="20"/>
  <c r="K18" i="20" s="1"/>
  <c r="D17" i="20"/>
  <c r="C17" i="20"/>
  <c r="K17" i="20" s="1"/>
  <c r="D16" i="20"/>
  <c r="C16" i="20"/>
  <c r="D15" i="20"/>
  <c r="C15" i="20"/>
  <c r="K15" i="20" s="1"/>
  <c r="D14" i="20"/>
  <c r="C14" i="20"/>
  <c r="D13" i="20"/>
  <c r="C13" i="20"/>
  <c r="K12" i="20"/>
  <c r="D12" i="20"/>
  <c r="C12" i="20"/>
  <c r="K11" i="20"/>
  <c r="D11" i="20"/>
  <c r="C11" i="20"/>
  <c r="D10" i="20"/>
  <c r="C10" i="20"/>
  <c r="K10" i="20" s="1"/>
  <c r="D9" i="20"/>
  <c r="C9" i="20"/>
  <c r="D8" i="20"/>
  <c r="C8" i="20"/>
  <c r="D7" i="20"/>
  <c r="C7" i="20"/>
  <c r="D6" i="20"/>
  <c r="C6" i="20"/>
  <c r="K6" i="20" s="1"/>
  <c r="D5" i="20"/>
  <c r="C5" i="20"/>
  <c r="K5" i="20" s="1"/>
  <c r="D4" i="20"/>
  <c r="C4" i="20"/>
  <c r="M3" i="20"/>
  <c r="C3" i="20"/>
  <c r="K3" i="20" s="1"/>
  <c r="M2" i="20"/>
  <c r="M4" i="20" s="1"/>
  <c r="D2" i="20"/>
  <c r="C2" i="20"/>
  <c r="K2" i="20" s="1"/>
  <c r="M1" i="20"/>
  <c r="D301" i="19"/>
  <c r="C301" i="19"/>
  <c r="K301" i="19" s="1"/>
  <c r="K300" i="19"/>
  <c r="D300" i="19"/>
  <c r="C300" i="19"/>
  <c r="D299" i="19"/>
  <c r="C299" i="19"/>
  <c r="K299" i="19" s="1"/>
  <c r="D298" i="19"/>
  <c r="C298" i="19"/>
  <c r="K298" i="19" s="1"/>
  <c r="D297" i="19"/>
  <c r="C297" i="19"/>
  <c r="K297" i="19" s="1"/>
  <c r="K296" i="19"/>
  <c r="D296" i="19"/>
  <c r="C296" i="19"/>
  <c r="D295" i="19"/>
  <c r="C295" i="19"/>
  <c r="K295" i="19" s="1"/>
  <c r="D294" i="19"/>
  <c r="C294" i="19"/>
  <c r="K294" i="19" s="1"/>
  <c r="D293" i="19"/>
  <c r="C293" i="19"/>
  <c r="K293" i="19" s="1"/>
  <c r="K292" i="19"/>
  <c r="D292" i="19"/>
  <c r="C292" i="19"/>
  <c r="D291" i="19"/>
  <c r="C291" i="19"/>
  <c r="K291" i="19" s="1"/>
  <c r="D290" i="19"/>
  <c r="C290" i="19"/>
  <c r="K290" i="19" s="1"/>
  <c r="D289" i="19"/>
  <c r="C289" i="19"/>
  <c r="K289" i="19" s="1"/>
  <c r="K288" i="19"/>
  <c r="D288" i="19"/>
  <c r="C288" i="19"/>
  <c r="D287" i="19"/>
  <c r="C287" i="19"/>
  <c r="K287" i="19" s="1"/>
  <c r="D286" i="19"/>
  <c r="C286" i="19"/>
  <c r="K286" i="19" s="1"/>
  <c r="D285" i="19"/>
  <c r="C285" i="19"/>
  <c r="K285" i="19" s="1"/>
  <c r="K284" i="19"/>
  <c r="D284" i="19"/>
  <c r="C284" i="19"/>
  <c r="D283" i="19"/>
  <c r="C283" i="19"/>
  <c r="K283" i="19" s="1"/>
  <c r="D282" i="19"/>
  <c r="C282" i="19"/>
  <c r="K282" i="19" s="1"/>
  <c r="D281" i="19"/>
  <c r="C281" i="19"/>
  <c r="K281" i="19" s="1"/>
  <c r="K280" i="19"/>
  <c r="D280" i="19"/>
  <c r="C280" i="19"/>
  <c r="D279" i="19"/>
  <c r="C279" i="19"/>
  <c r="K279" i="19" s="1"/>
  <c r="D278" i="19"/>
  <c r="C278" i="19"/>
  <c r="K278" i="19" s="1"/>
  <c r="D277" i="19"/>
  <c r="C277" i="19"/>
  <c r="K277" i="19" s="1"/>
  <c r="K276" i="19"/>
  <c r="D276" i="19"/>
  <c r="C276" i="19"/>
  <c r="D275" i="19"/>
  <c r="C275" i="19"/>
  <c r="K275" i="19" s="1"/>
  <c r="D274" i="19"/>
  <c r="C274" i="19"/>
  <c r="K274" i="19" s="1"/>
  <c r="D273" i="19"/>
  <c r="C273" i="19"/>
  <c r="K273" i="19" s="1"/>
  <c r="K272" i="19"/>
  <c r="D272" i="19"/>
  <c r="C272" i="19"/>
  <c r="D271" i="19"/>
  <c r="C271" i="19"/>
  <c r="K271" i="19" s="1"/>
  <c r="D270" i="19"/>
  <c r="C270" i="19"/>
  <c r="K270" i="19" s="1"/>
  <c r="D269" i="19"/>
  <c r="C269" i="19"/>
  <c r="K269" i="19" s="1"/>
  <c r="K268" i="19"/>
  <c r="D268" i="19"/>
  <c r="C268" i="19"/>
  <c r="D267" i="19"/>
  <c r="C267" i="19"/>
  <c r="K267" i="19" s="1"/>
  <c r="D266" i="19"/>
  <c r="C266" i="19"/>
  <c r="K266" i="19" s="1"/>
  <c r="D265" i="19"/>
  <c r="C265" i="19"/>
  <c r="K265" i="19" s="1"/>
  <c r="K264" i="19"/>
  <c r="D264" i="19"/>
  <c r="C264" i="19"/>
  <c r="D263" i="19"/>
  <c r="C263" i="19"/>
  <c r="K263" i="19" s="1"/>
  <c r="D262" i="19"/>
  <c r="C262" i="19"/>
  <c r="K262" i="19" s="1"/>
  <c r="D261" i="19"/>
  <c r="C261" i="19"/>
  <c r="K261" i="19" s="1"/>
  <c r="K260" i="19"/>
  <c r="D260" i="19"/>
  <c r="C260" i="19"/>
  <c r="D259" i="19"/>
  <c r="C259" i="19"/>
  <c r="K259" i="19" s="1"/>
  <c r="D258" i="19"/>
  <c r="C258" i="19"/>
  <c r="K258" i="19" s="1"/>
  <c r="D257" i="19"/>
  <c r="C257" i="19"/>
  <c r="K257" i="19" s="1"/>
  <c r="K256" i="19"/>
  <c r="D256" i="19"/>
  <c r="C256" i="19"/>
  <c r="D255" i="19"/>
  <c r="C255" i="19"/>
  <c r="K255" i="19" s="1"/>
  <c r="D254" i="19"/>
  <c r="C254" i="19"/>
  <c r="D253" i="19"/>
  <c r="C253" i="19"/>
  <c r="K253" i="19" s="1"/>
  <c r="K252" i="19"/>
  <c r="D252" i="19"/>
  <c r="C252" i="19"/>
  <c r="D251" i="19"/>
  <c r="C251" i="19"/>
  <c r="K251" i="19" s="1"/>
  <c r="D250" i="19"/>
  <c r="C250" i="19"/>
  <c r="K250" i="19" s="1"/>
  <c r="D249" i="19"/>
  <c r="C249" i="19"/>
  <c r="D248" i="19"/>
  <c r="C248" i="19"/>
  <c r="D247" i="19"/>
  <c r="C247" i="19"/>
  <c r="K247" i="19" s="1"/>
  <c r="D246" i="19"/>
  <c r="C246" i="19"/>
  <c r="D245" i="19"/>
  <c r="C245" i="19"/>
  <c r="K245" i="19" s="1"/>
  <c r="D244" i="19"/>
  <c r="C244" i="19"/>
  <c r="D243" i="19"/>
  <c r="C243" i="19"/>
  <c r="K243" i="19" s="1"/>
  <c r="D242" i="19"/>
  <c r="C242" i="19"/>
  <c r="D241" i="19"/>
  <c r="C241" i="19"/>
  <c r="K241" i="19" s="1"/>
  <c r="K240" i="19"/>
  <c r="D240" i="19"/>
  <c r="C240" i="19"/>
  <c r="D239" i="19"/>
  <c r="C239" i="19"/>
  <c r="K239" i="19" s="1"/>
  <c r="D238" i="19"/>
  <c r="C238" i="19"/>
  <c r="D237" i="19"/>
  <c r="C237" i="19"/>
  <c r="K237" i="19" s="1"/>
  <c r="D236" i="19"/>
  <c r="C236" i="19"/>
  <c r="D235" i="19"/>
  <c r="C235" i="19"/>
  <c r="K235" i="19" s="1"/>
  <c r="D234" i="19"/>
  <c r="C234" i="19"/>
  <c r="K234" i="19" s="1"/>
  <c r="D233" i="19"/>
  <c r="C233" i="19"/>
  <c r="D232" i="19"/>
  <c r="C232" i="19"/>
  <c r="D231" i="19"/>
  <c r="C231" i="19"/>
  <c r="K231" i="19" s="1"/>
  <c r="D230" i="19"/>
  <c r="C230" i="19"/>
  <c r="D229" i="19"/>
  <c r="C229" i="19"/>
  <c r="K229" i="19" s="1"/>
  <c r="D228" i="19"/>
  <c r="C228" i="19"/>
  <c r="D227" i="19"/>
  <c r="C227" i="19"/>
  <c r="K227" i="19" s="1"/>
  <c r="D226" i="19"/>
  <c r="C226" i="19"/>
  <c r="D225" i="19"/>
  <c r="C225" i="19"/>
  <c r="K225" i="19" s="1"/>
  <c r="D224" i="19"/>
  <c r="C224" i="19"/>
  <c r="D223" i="19"/>
  <c r="C223" i="19"/>
  <c r="K223" i="19" s="1"/>
  <c r="D222" i="19"/>
  <c r="C222" i="19"/>
  <c r="D221" i="19"/>
  <c r="C221" i="19"/>
  <c r="K221" i="19" s="1"/>
  <c r="K220" i="19"/>
  <c r="D220" i="19"/>
  <c r="C220" i="19"/>
  <c r="D219" i="19"/>
  <c r="C219" i="19"/>
  <c r="K219" i="19" s="1"/>
  <c r="D218" i="19"/>
  <c r="C218" i="19"/>
  <c r="D217" i="19"/>
  <c r="C217" i="19"/>
  <c r="K216" i="19"/>
  <c r="D216" i="19"/>
  <c r="C216" i="19"/>
  <c r="D215" i="19"/>
  <c r="C215" i="19"/>
  <c r="K215" i="19" s="1"/>
  <c r="D214" i="19"/>
  <c r="C214" i="19"/>
  <c r="K214" i="19" s="1"/>
  <c r="D213" i="19"/>
  <c r="C213" i="19"/>
  <c r="K212" i="19"/>
  <c r="D212" i="19"/>
  <c r="C212" i="19"/>
  <c r="D211" i="19"/>
  <c r="C211" i="19"/>
  <c r="K211" i="19" s="1"/>
  <c r="D210" i="19"/>
  <c r="C210" i="19"/>
  <c r="D209" i="19"/>
  <c r="C209" i="19"/>
  <c r="K208" i="19" s="1"/>
  <c r="D208" i="19"/>
  <c r="C208" i="19"/>
  <c r="D207" i="19"/>
  <c r="C207" i="19"/>
  <c r="K207" i="19" s="1"/>
  <c r="D206" i="19"/>
  <c r="C206" i="19"/>
  <c r="D205" i="19"/>
  <c r="C205" i="19"/>
  <c r="D204" i="19"/>
  <c r="C204" i="19"/>
  <c r="K204" i="19" s="1"/>
  <c r="D203" i="19"/>
  <c r="C203" i="19"/>
  <c r="K203" i="19" s="1"/>
  <c r="D202" i="19"/>
  <c r="C202" i="19"/>
  <c r="D201" i="19"/>
  <c r="C201" i="19"/>
  <c r="K200" i="19"/>
  <c r="D200" i="19"/>
  <c r="C200" i="19"/>
  <c r="D199" i="19"/>
  <c r="C199" i="19"/>
  <c r="K199" i="19" s="1"/>
  <c r="D198" i="19"/>
  <c r="C198" i="19"/>
  <c r="D197" i="19"/>
  <c r="C197" i="19"/>
  <c r="K197" i="19" s="1"/>
  <c r="D196" i="19"/>
  <c r="C196" i="19"/>
  <c r="D195" i="19"/>
  <c r="C195" i="19"/>
  <c r="K195" i="19" s="1"/>
  <c r="D194" i="19"/>
  <c r="C194" i="19"/>
  <c r="D193" i="19"/>
  <c r="C193" i="19"/>
  <c r="K193" i="19" s="1"/>
  <c r="D192" i="19"/>
  <c r="C192" i="19"/>
  <c r="K192" i="19" s="1"/>
  <c r="D191" i="19"/>
  <c r="C191" i="19"/>
  <c r="K191" i="19" s="1"/>
  <c r="D190" i="19"/>
  <c r="C190" i="19"/>
  <c r="D189" i="19"/>
  <c r="C189" i="19"/>
  <c r="D188" i="19"/>
  <c r="C188" i="19"/>
  <c r="K188" i="19" s="1"/>
  <c r="D187" i="19"/>
  <c r="C187" i="19"/>
  <c r="D186" i="19"/>
  <c r="C186" i="19"/>
  <c r="K186" i="19" s="1"/>
  <c r="D185" i="19"/>
  <c r="C185" i="19"/>
  <c r="K184" i="19"/>
  <c r="D184" i="19"/>
  <c r="C184" i="19"/>
  <c r="D183" i="19"/>
  <c r="C183" i="19"/>
  <c r="K183" i="19" s="1"/>
  <c r="D182" i="19"/>
  <c r="C182" i="19"/>
  <c r="D181" i="19"/>
  <c r="C181" i="19"/>
  <c r="K181" i="19" s="1"/>
  <c r="D180" i="19"/>
  <c r="C180" i="19"/>
  <c r="D179" i="19"/>
  <c r="C179" i="19"/>
  <c r="K179" i="19" s="1"/>
  <c r="D178" i="19"/>
  <c r="C178" i="19"/>
  <c r="K177" i="19"/>
  <c r="D177" i="19"/>
  <c r="C177" i="19"/>
  <c r="K176" i="19"/>
  <c r="D176" i="19"/>
  <c r="C176" i="19"/>
  <c r="D175" i="19"/>
  <c r="C175" i="19"/>
  <c r="D174" i="19"/>
  <c r="C174" i="19"/>
  <c r="K174" i="19" s="1"/>
  <c r="D173" i="19"/>
  <c r="C173" i="19"/>
  <c r="K173" i="19" s="1"/>
  <c r="K172" i="19"/>
  <c r="D172" i="19"/>
  <c r="C172" i="19"/>
  <c r="D171" i="19"/>
  <c r="C171" i="19"/>
  <c r="K171" i="19" s="1"/>
  <c r="D170" i="19"/>
  <c r="C170" i="19"/>
  <c r="K169" i="19"/>
  <c r="D169" i="19"/>
  <c r="C169" i="19"/>
  <c r="K168" i="19"/>
  <c r="D168" i="19"/>
  <c r="C168" i="19"/>
  <c r="D167" i="19"/>
  <c r="C167" i="19"/>
  <c r="D166" i="19"/>
  <c r="C166" i="19"/>
  <c r="K166" i="19" s="1"/>
  <c r="K165" i="19"/>
  <c r="D165" i="19"/>
  <c r="C165" i="19"/>
  <c r="K164" i="19" s="1"/>
  <c r="D164" i="19"/>
  <c r="C164" i="19"/>
  <c r="D163" i="19"/>
  <c r="C163" i="19"/>
  <c r="K163" i="19" s="1"/>
  <c r="D162" i="19"/>
  <c r="C162" i="19"/>
  <c r="K162" i="19" s="1"/>
  <c r="D161" i="19"/>
  <c r="C161" i="19"/>
  <c r="K160" i="19" s="1"/>
  <c r="D160" i="19"/>
  <c r="C160" i="19"/>
  <c r="D159" i="19"/>
  <c r="C159" i="19"/>
  <c r="K159" i="19" s="1"/>
  <c r="D158" i="19"/>
  <c r="C158" i="19"/>
  <c r="K158" i="19" s="1"/>
  <c r="D157" i="19"/>
  <c r="C157" i="19"/>
  <c r="K156" i="19" s="1"/>
  <c r="D156" i="19"/>
  <c r="C156" i="19"/>
  <c r="D155" i="19"/>
  <c r="C155" i="19"/>
  <c r="K155" i="19" s="1"/>
  <c r="D154" i="19"/>
  <c r="C154" i="19"/>
  <c r="K154" i="19" s="1"/>
  <c r="D153" i="19"/>
  <c r="C153" i="19"/>
  <c r="K152" i="19" s="1"/>
  <c r="D152" i="19"/>
  <c r="C152" i="19"/>
  <c r="D151" i="19"/>
  <c r="C151" i="19"/>
  <c r="K151" i="19" s="1"/>
  <c r="D150" i="19"/>
  <c r="C150" i="19"/>
  <c r="K150" i="19" s="1"/>
  <c r="D149" i="19"/>
  <c r="C149" i="19"/>
  <c r="K148" i="19" s="1"/>
  <c r="D148" i="19"/>
  <c r="C148" i="19"/>
  <c r="D147" i="19"/>
  <c r="C147" i="19"/>
  <c r="K147" i="19" s="1"/>
  <c r="D146" i="19"/>
  <c r="C146" i="19"/>
  <c r="K146" i="19" s="1"/>
  <c r="D145" i="19"/>
  <c r="C145" i="19"/>
  <c r="K144" i="19" s="1"/>
  <c r="D144" i="19"/>
  <c r="C144" i="19"/>
  <c r="D143" i="19"/>
  <c r="C143" i="19"/>
  <c r="K143" i="19" s="1"/>
  <c r="D142" i="19"/>
  <c r="C142" i="19"/>
  <c r="K142" i="19" s="1"/>
  <c r="D141" i="19"/>
  <c r="C141" i="19"/>
  <c r="K140" i="19" s="1"/>
  <c r="D140" i="19"/>
  <c r="C140" i="19"/>
  <c r="D139" i="19"/>
  <c r="C139" i="19"/>
  <c r="K139" i="19" s="1"/>
  <c r="D138" i="19"/>
  <c r="C138" i="19"/>
  <c r="D137" i="19"/>
  <c r="C137" i="19"/>
  <c r="D136" i="19"/>
  <c r="C136" i="19"/>
  <c r="D135" i="19"/>
  <c r="C135" i="19"/>
  <c r="K135" i="19" s="1"/>
  <c r="D134" i="19"/>
  <c r="C134" i="19"/>
  <c r="K134" i="19" s="1"/>
  <c r="D133" i="19"/>
  <c r="C133" i="19"/>
  <c r="K133" i="19" s="1"/>
  <c r="K132" i="19"/>
  <c r="D132" i="19"/>
  <c r="C132" i="19"/>
  <c r="D131" i="19"/>
  <c r="C131" i="19"/>
  <c r="K131" i="19" s="1"/>
  <c r="D130" i="19"/>
  <c r="C130" i="19"/>
  <c r="K130" i="19" s="1"/>
  <c r="D129" i="19"/>
  <c r="C129" i="19"/>
  <c r="D128" i="19"/>
  <c r="C128" i="19"/>
  <c r="D127" i="19"/>
  <c r="C127" i="19"/>
  <c r="K127" i="19" s="1"/>
  <c r="D126" i="19"/>
  <c r="C126" i="19"/>
  <c r="D125" i="19"/>
  <c r="C125" i="19"/>
  <c r="K125" i="19" s="1"/>
  <c r="D124" i="19"/>
  <c r="C124" i="19"/>
  <c r="D123" i="19"/>
  <c r="C123" i="19"/>
  <c r="K123" i="19" s="1"/>
  <c r="D122" i="19"/>
  <c r="C122" i="19"/>
  <c r="D121" i="19"/>
  <c r="C121" i="19"/>
  <c r="K121" i="19" s="1"/>
  <c r="K120" i="19"/>
  <c r="D120" i="19"/>
  <c r="C120" i="19"/>
  <c r="D119" i="19"/>
  <c r="C119" i="19"/>
  <c r="K119" i="19" s="1"/>
  <c r="D118" i="19"/>
  <c r="C118" i="19"/>
  <c r="K118" i="19" s="1"/>
  <c r="D117" i="19"/>
  <c r="C117" i="19"/>
  <c r="K117" i="19" s="1"/>
  <c r="K116" i="19"/>
  <c r="D116" i="19"/>
  <c r="C116" i="19"/>
  <c r="D115" i="19"/>
  <c r="C115" i="19"/>
  <c r="K115" i="19" s="1"/>
  <c r="D114" i="19"/>
  <c r="C114" i="19"/>
  <c r="K114" i="19" s="1"/>
  <c r="D113" i="19"/>
  <c r="C113" i="19"/>
  <c r="D112" i="19"/>
  <c r="C112" i="19"/>
  <c r="D111" i="19"/>
  <c r="C111" i="19"/>
  <c r="K111" i="19" s="1"/>
  <c r="D110" i="19"/>
  <c r="C110" i="19"/>
  <c r="D109" i="19"/>
  <c r="C109" i="19"/>
  <c r="K109" i="19" s="1"/>
  <c r="D108" i="19"/>
  <c r="C108" i="19"/>
  <c r="D107" i="19"/>
  <c r="C107" i="19"/>
  <c r="K107" i="19" s="1"/>
  <c r="D106" i="19"/>
  <c r="C106" i="19"/>
  <c r="D105" i="19"/>
  <c r="C105" i="19"/>
  <c r="K105" i="19" s="1"/>
  <c r="K104" i="19"/>
  <c r="D104" i="19"/>
  <c r="C104" i="19"/>
  <c r="D103" i="19"/>
  <c r="C103" i="19"/>
  <c r="K103" i="19" s="1"/>
  <c r="D102" i="19"/>
  <c r="C102" i="19"/>
  <c r="D101" i="19"/>
  <c r="C101" i="19"/>
  <c r="K101" i="19" s="1"/>
  <c r="K100" i="19"/>
  <c r="D100" i="19"/>
  <c r="C100" i="19"/>
  <c r="D99" i="19"/>
  <c r="C99" i="19"/>
  <c r="K99" i="19" s="1"/>
  <c r="D98" i="19"/>
  <c r="C98" i="19"/>
  <c r="D97" i="19"/>
  <c r="C97" i="19"/>
  <c r="K97" i="19" s="1"/>
  <c r="K96" i="19"/>
  <c r="D96" i="19"/>
  <c r="C96" i="19"/>
  <c r="D95" i="19"/>
  <c r="C95" i="19"/>
  <c r="K95" i="19" s="1"/>
  <c r="D94" i="19"/>
  <c r="C94" i="19"/>
  <c r="D93" i="19"/>
  <c r="C93" i="19"/>
  <c r="K93" i="19" s="1"/>
  <c r="D92" i="19"/>
  <c r="C92" i="19"/>
  <c r="D91" i="19"/>
  <c r="C91" i="19"/>
  <c r="K91" i="19" s="1"/>
  <c r="D90" i="19"/>
  <c r="C90" i="19"/>
  <c r="D89" i="19"/>
  <c r="C89" i="19"/>
  <c r="K89" i="19" s="1"/>
  <c r="D88" i="19"/>
  <c r="C88" i="19"/>
  <c r="K87" i="19"/>
  <c r="D87" i="19"/>
  <c r="C87" i="19"/>
  <c r="D86" i="19"/>
  <c r="C86" i="19"/>
  <c r="K86" i="19" s="1"/>
  <c r="D85" i="19"/>
  <c r="C85" i="19"/>
  <c r="K84" i="19"/>
  <c r="D84" i="19"/>
  <c r="C84" i="19"/>
  <c r="D83" i="19"/>
  <c r="C83" i="19"/>
  <c r="K83" i="19" s="1"/>
  <c r="D82" i="19"/>
  <c r="C82" i="19"/>
  <c r="D81" i="19"/>
  <c r="C81" i="19"/>
  <c r="K81" i="19" s="1"/>
  <c r="D80" i="19"/>
  <c r="C80" i="19"/>
  <c r="D79" i="19"/>
  <c r="C79" i="19"/>
  <c r="K79" i="19" s="1"/>
  <c r="D78" i="19"/>
  <c r="C78" i="19"/>
  <c r="D77" i="19"/>
  <c r="C77" i="19"/>
  <c r="K77" i="19" s="1"/>
  <c r="D76" i="19"/>
  <c r="C76" i="19"/>
  <c r="K75" i="19"/>
  <c r="D75" i="19"/>
  <c r="C75" i="19"/>
  <c r="D74" i="19"/>
  <c r="C74" i="19"/>
  <c r="K74" i="19" s="1"/>
  <c r="D73" i="19"/>
  <c r="C73" i="19"/>
  <c r="K72" i="19"/>
  <c r="D72" i="19"/>
  <c r="C72" i="19"/>
  <c r="D71" i="19"/>
  <c r="C71" i="19"/>
  <c r="K71" i="19" s="1"/>
  <c r="D70" i="19"/>
  <c r="C70" i="19"/>
  <c r="D69" i="19"/>
  <c r="C69" i="19"/>
  <c r="K69" i="19" s="1"/>
  <c r="D68" i="19"/>
  <c r="C68" i="19"/>
  <c r="D67" i="19"/>
  <c r="C67" i="19"/>
  <c r="K67" i="19" s="1"/>
  <c r="D66" i="19"/>
  <c r="C66" i="19"/>
  <c r="D65" i="19"/>
  <c r="C65" i="19"/>
  <c r="D64" i="19"/>
  <c r="C64" i="19"/>
  <c r="K64" i="19" s="1"/>
  <c r="D63" i="19"/>
  <c r="C63" i="19"/>
  <c r="D62" i="19"/>
  <c r="C62" i="19"/>
  <c r="K62" i="19" s="1"/>
  <c r="D61" i="19"/>
  <c r="C61" i="19"/>
  <c r="K61" i="19" s="1"/>
  <c r="K60" i="19"/>
  <c r="D60" i="19"/>
  <c r="C60" i="19"/>
  <c r="D59" i="19"/>
  <c r="C59" i="19"/>
  <c r="K59" i="19" s="1"/>
  <c r="D58" i="19"/>
  <c r="C58" i="19"/>
  <c r="D57" i="19"/>
  <c r="C57" i="19"/>
  <c r="D56" i="19"/>
  <c r="C56" i="19"/>
  <c r="K56" i="19" s="1"/>
  <c r="D55" i="19"/>
  <c r="C55" i="19"/>
  <c r="D54" i="19"/>
  <c r="C54" i="19"/>
  <c r="K54" i="19" s="1"/>
  <c r="D53" i="19"/>
  <c r="C53" i="19"/>
  <c r="K53" i="19" s="1"/>
  <c r="K52" i="19"/>
  <c r="D52" i="19"/>
  <c r="C52" i="19"/>
  <c r="D51" i="19"/>
  <c r="C51" i="19"/>
  <c r="K51" i="19" s="1"/>
  <c r="D50" i="19"/>
  <c r="C50" i="19"/>
  <c r="D49" i="19"/>
  <c r="C49" i="19"/>
  <c r="D48" i="19"/>
  <c r="C48" i="19"/>
  <c r="K48" i="19" s="1"/>
  <c r="D47" i="19"/>
  <c r="C47" i="19"/>
  <c r="D46" i="19"/>
  <c r="C46" i="19"/>
  <c r="K46" i="19" s="1"/>
  <c r="D45" i="19"/>
  <c r="C45" i="19"/>
  <c r="K45" i="19" s="1"/>
  <c r="K44" i="19"/>
  <c r="D44" i="19"/>
  <c r="C44" i="19"/>
  <c r="D43" i="19"/>
  <c r="C43" i="19"/>
  <c r="K43" i="19" s="1"/>
  <c r="D42" i="19"/>
  <c r="C42" i="19"/>
  <c r="D41" i="19"/>
  <c r="C41" i="19"/>
  <c r="D40" i="19"/>
  <c r="C40" i="19"/>
  <c r="K40" i="19" s="1"/>
  <c r="K39" i="19"/>
  <c r="D39" i="19"/>
  <c r="C39" i="19"/>
  <c r="D38" i="19"/>
  <c r="C38" i="19"/>
  <c r="D37" i="19"/>
  <c r="C37" i="19"/>
  <c r="K37" i="19" s="1"/>
  <c r="D36" i="19"/>
  <c r="C36" i="19"/>
  <c r="D35" i="19"/>
  <c r="C35" i="19"/>
  <c r="K34" i="19"/>
  <c r="D34" i="19"/>
  <c r="C34" i="19"/>
  <c r="D33" i="19"/>
  <c r="C33" i="19"/>
  <c r="K33" i="19" s="1"/>
  <c r="D32" i="19"/>
  <c r="C32" i="19"/>
  <c r="D31" i="19"/>
  <c r="C31" i="19"/>
  <c r="K30" i="19"/>
  <c r="D30" i="19"/>
  <c r="C30" i="19"/>
  <c r="D29" i="19"/>
  <c r="C29" i="19"/>
  <c r="K29" i="19" s="1"/>
  <c r="D28" i="19"/>
  <c r="C28" i="19"/>
  <c r="D27" i="19"/>
  <c r="C27" i="19"/>
  <c r="K26" i="19"/>
  <c r="D26" i="19"/>
  <c r="C26" i="19"/>
  <c r="D25" i="19"/>
  <c r="C25" i="19"/>
  <c r="K25" i="19" s="1"/>
  <c r="D24" i="19"/>
  <c r="C24" i="19"/>
  <c r="K24" i="19" s="1"/>
  <c r="D23" i="19"/>
  <c r="C23" i="19"/>
  <c r="D22" i="19"/>
  <c r="C22" i="19"/>
  <c r="K22" i="19" s="1"/>
  <c r="D21" i="19"/>
  <c r="C21" i="19"/>
  <c r="K21" i="19" s="1"/>
  <c r="D20" i="19"/>
  <c r="C20" i="19"/>
  <c r="K20" i="19" s="1"/>
  <c r="D19" i="19"/>
  <c r="C19" i="19"/>
  <c r="K19" i="19" s="1"/>
  <c r="D18" i="19"/>
  <c r="C18" i="19"/>
  <c r="K18" i="19" s="1"/>
  <c r="D17" i="19"/>
  <c r="C17" i="19"/>
  <c r="D16" i="19"/>
  <c r="C16" i="19"/>
  <c r="D15" i="19"/>
  <c r="C15" i="19"/>
  <c r="K15" i="19" s="1"/>
  <c r="D14" i="19"/>
  <c r="C14" i="19"/>
  <c r="K14" i="19" s="1"/>
  <c r="D13" i="19"/>
  <c r="C13" i="19"/>
  <c r="D12" i="19"/>
  <c r="C12" i="19"/>
  <c r="D11" i="19"/>
  <c r="C11" i="19"/>
  <c r="D10" i="19"/>
  <c r="C10" i="19"/>
  <c r="K10" i="19" s="1"/>
  <c r="D9" i="19"/>
  <c r="C9" i="19"/>
  <c r="K9" i="19" s="1"/>
  <c r="D8" i="19"/>
  <c r="C8" i="19"/>
  <c r="K8" i="19" s="1"/>
  <c r="D7" i="19"/>
  <c r="C7" i="19"/>
  <c r="D6" i="19"/>
  <c r="C6" i="19"/>
  <c r="D5" i="19"/>
  <c r="C5" i="19"/>
  <c r="K5" i="19" s="1"/>
  <c r="M4" i="19"/>
  <c r="D4" i="19"/>
  <c r="C4" i="19"/>
  <c r="K4" i="19" s="1"/>
  <c r="M3" i="19"/>
  <c r="D3" i="19"/>
  <c r="C3" i="19"/>
  <c r="K3" i="19" s="1"/>
  <c r="M2" i="19"/>
  <c r="D2" i="19"/>
  <c r="C2" i="19"/>
  <c r="K2" i="19" s="1"/>
  <c r="M1" i="19"/>
  <c r="D301" i="18"/>
  <c r="C301" i="18"/>
  <c r="D300" i="18"/>
  <c r="C300" i="18"/>
  <c r="K299" i="18"/>
  <c r="D299" i="18"/>
  <c r="C299" i="18"/>
  <c r="K298" i="18"/>
  <c r="D298" i="18"/>
  <c r="C298" i="18"/>
  <c r="D297" i="18"/>
  <c r="C297" i="18"/>
  <c r="K297" i="18" s="1"/>
  <c r="D296" i="18"/>
  <c r="C296" i="18"/>
  <c r="K296" i="18" s="1"/>
  <c r="D295" i="18"/>
  <c r="C295" i="18"/>
  <c r="K294" i="18"/>
  <c r="D294" i="18"/>
  <c r="C294" i="18"/>
  <c r="D293" i="18"/>
  <c r="C293" i="18"/>
  <c r="K293" i="18" s="1"/>
  <c r="D292" i="18"/>
  <c r="C292" i="18"/>
  <c r="K292" i="18" s="1"/>
  <c r="K291" i="18"/>
  <c r="D291" i="18"/>
  <c r="C291" i="18"/>
  <c r="K290" i="18"/>
  <c r="D290" i="18"/>
  <c r="C290" i="18"/>
  <c r="D289" i="18"/>
  <c r="C289" i="18"/>
  <c r="K289" i="18" s="1"/>
  <c r="D288" i="18"/>
  <c r="C288" i="18"/>
  <c r="K288" i="18" s="1"/>
  <c r="D287" i="18"/>
  <c r="C287" i="18"/>
  <c r="K286" i="18"/>
  <c r="D286" i="18"/>
  <c r="C286" i="18"/>
  <c r="D285" i="18"/>
  <c r="C285" i="18"/>
  <c r="K285" i="18" s="1"/>
  <c r="K284" i="18"/>
  <c r="D284" i="18"/>
  <c r="C284" i="18"/>
  <c r="K283" i="18"/>
  <c r="D283" i="18"/>
  <c r="C283" i="18"/>
  <c r="K282" i="18"/>
  <c r="D282" i="18"/>
  <c r="C282" i="18"/>
  <c r="D281" i="18"/>
  <c r="C281" i="18"/>
  <c r="K281" i="18" s="1"/>
  <c r="D280" i="18"/>
  <c r="C280" i="18"/>
  <c r="K279" i="18" s="1"/>
  <c r="D279" i="18"/>
  <c r="C279" i="18"/>
  <c r="K278" i="18"/>
  <c r="D278" i="18"/>
  <c r="C278" i="18"/>
  <c r="D277" i="18"/>
  <c r="C277" i="18"/>
  <c r="K277" i="18" s="1"/>
  <c r="D276" i="18"/>
  <c r="C276" i="18"/>
  <c r="K275" i="18"/>
  <c r="D275" i="18"/>
  <c r="C275" i="18"/>
  <c r="K274" i="18"/>
  <c r="D274" i="18"/>
  <c r="C274" i="18"/>
  <c r="D273" i="18"/>
  <c r="C273" i="18"/>
  <c r="K273" i="18" s="1"/>
  <c r="D272" i="18"/>
  <c r="C272" i="18"/>
  <c r="K272" i="18" s="1"/>
  <c r="D271" i="18"/>
  <c r="C271" i="18"/>
  <c r="K270" i="18"/>
  <c r="D270" i="18"/>
  <c r="C270" i="18"/>
  <c r="D269" i="18"/>
  <c r="C269" i="18"/>
  <c r="K269" i="18" s="1"/>
  <c r="D268" i="18"/>
  <c r="C268" i="18"/>
  <c r="D267" i="18"/>
  <c r="C267" i="18"/>
  <c r="K266" i="18"/>
  <c r="D266" i="18"/>
  <c r="C266" i="18"/>
  <c r="D265" i="18"/>
  <c r="C265" i="18"/>
  <c r="K265" i="18" s="1"/>
  <c r="D264" i="18"/>
  <c r="C264" i="18"/>
  <c r="K263" i="18" s="1"/>
  <c r="D263" i="18"/>
  <c r="C263" i="18"/>
  <c r="K262" i="18"/>
  <c r="D262" i="18"/>
  <c r="C262" i="18"/>
  <c r="D261" i="18"/>
  <c r="C261" i="18"/>
  <c r="K261" i="18" s="1"/>
  <c r="K260" i="18"/>
  <c r="D260" i="18"/>
  <c r="C260" i="18"/>
  <c r="K259" i="18"/>
  <c r="D259" i="18"/>
  <c r="C259" i="18"/>
  <c r="K258" i="18"/>
  <c r="D258" i="18"/>
  <c r="C258" i="18"/>
  <c r="D257" i="18"/>
  <c r="C257" i="18"/>
  <c r="K257" i="18" s="1"/>
  <c r="D256" i="18"/>
  <c r="C256" i="18"/>
  <c r="K255" i="18"/>
  <c r="D255" i="18"/>
  <c r="C255" i="18"/>
  <c r="K254" i="18"/>
  <c r="D254" i="18"/>
  <c r="C254" i="18"/>
  <c r="D253" i="18"/>
  <c r="C253" i="18"/>
  <c r="D252" i="18"/>
  <c r="C252" i="18"/>
  <c r="K251" i="18"/>
  <c r="D251" i="18"/>
  <c r="C251" i="18"/>
  <c r="K250" i="18"/>
  <c r="D250" i="18"/>
  <c r="C250" i="18"/>
  <c r="D249" i="18"/>
  <c r="C249" i="18"/>
  <c r="K249" i="18" s="1"/>
  <c r="D248" i="18"/>
  <c r="C248" i="18"/>
  <c r="K248" i="18" s="1"/>
  <c r="D247" i="18"/>
  <c r="C247" i="18"/>
  <c r="K246" i="18"/>
  <c r="D246" i="18"/>
  <c r="C246" i="18"/>
  <c r="D245" i="18"/>
  <c r="C245" i="18"/>
  <c r="K245" i="18" s="1"/>
  <c r="D244" i="18"/>
  <c r="C244" i="18"/>
  <c r="K244" i="18" s="1"/>
  <c r="D243" i="18"/>
  <c r="C243" i="18"/>
  <c r="K242" i="18"/>
  <c r="D242" i="18"/>
  <c r="C242" i="18"/>
  <c r="D241" i="18"/>
  <c r="C241" i="18"/>
  <c r="K241" i="18" s="1"/>
  <c r="D240" i="18"/>
  <c r="C240" i="18"/>
  <c r="K240" i="18" s="1"/>
  <c r="D239" i="18"/>
  <c r="C239" i="18"/>
  <c r="K238" i="18"/>
  <c r="D238" i="18"/>
  <c r="C238" i="18"/>
  <c r="D237" i="18"/>
  <c r="C237" i="18"/>
  <c r="K237" i="18" s="1"/>
  <c r="K236" i="18"/>
  <c r="D236" i="18"/>
  <c r="C236" i="18"/>
  <c r="K235" i="18"/>
  <c r="D235" i="18"/>
  <c r="C235" i="18"/>
  <c r="K234" i="18"/>
  <c r="D234" i="18"/>
  <c r="C234" i="18"/>
  <c r="D233" i="18"/>
  <c r="C233" i="18"/>
  <c r="K233" i="18" s="1"/>
  <c r="D232" i="18"/>
  <c r="C232" i="18"/>
  <c r="K231" i="18" s="1"/>
  <c r="D231" i="18"/>
  <c r="C231" i="18"/>
  <c r="K230" i="18"/>
  <c r="D230" i="18"/>
  <c r="C230" i="18"/>
  <c r="D229" i="18"/>
  <c r="C229" i="18"/>
  <c r="K229" i="18" s="1"/>
  <c r="D228" i="18"/>
  <c r="C228" i="18"/>
  <c r="K227" i="18"/>
  <c r="D227" i="18"/>
  <c r="C227" i="18"/>
  <c r="K226" i="18"/>
  <c r="D226" i="18"/>
  <c r="C226" i="18"/>
  <c r="D225" i="18"/>
  <c r="C225" i="18"/>
  <c r="K225" i="18" s="1"/>
  <c r="D224" i="18"/>
  <c r="C224" i="18"/>
  <c r="K224" i="18" s="1"/>
  <c r="K223" i="18"/>
  <c r="D223" i="18"/>
  <c r="C223" i="18"/>
  <c r="K222" i="18"/>
  <c r="D222" i="18"/>
  <c r="C222" i="18"/>
  <c r="D221" i="18"/>
  <c r="C221" i="18"/>
  <c r="K221" i="18" s="1"/>
  <c r="D220" i="18"/>
  <c r="C220" i="18"/>
  <c r="K219" i="18" s="1"/>
  <c r="D219" i="18"/>
  <c r="C219" i="18"/>
  <c r="K218" i="18"/>
  <c r="D218" i="18"/>
  <c r="C218" i="18"/>
  <c r="D217" i="18"/>
  <c r="C217" i="18"/>
  <c r="K217" i="18" s="1"/>
  <c r="D216" i="18"/>
  <c r="C216" i="18"/>
  <c r="K215" i="18" s="1"/>
  <c r="D215" i="18"/>
  <c r="C215" i="18"/>
  <c r="K214" i="18"/>
  <c r="D214" i="18"/>
  <c r="C214" i="18"/>
  <c r="D213" i="18"/>
  <c r="C213" i="18"/>
  <c r="K213" i="18" s="1"/>
  <c r="K212" i="18"/>
  <c r="D212" i="18"/>
  <c r="C212" i="18"/>
  <c r="K211" i="18"/>
  <c r="D211" i="18"/>
  <c r="C211" i="18"/>
  <c r="K210" i="18"/>
  <c r="D210" i="18"/>
  <c r="C210" i="18"/>
  <c r="D209" i="18"/>
  <c r="C209" i="18"/>
  <c r="K209" i="18" s="1"/>
  <c r="D208" i="18"/>
  <c r="C208" i="18"/>
  <c r="D207" i="18"/>
  <c r="C207" i="18"/>
  <c r="D206" i="18"/>
  <c r="C206" i="18"/>
  <c r="K206" i="18" s="1"/>
  <c r="D205" i="18"/>
  <c r="C205" i="18"/>
  <c r="K205" i="18" s="1"/>
  <c r="D204" i="18"/>
  <c r="C204" i="18"/>
  <c r="K203" i="18" s="1"/>
  <c r="D203" i="18"/>
  <c r="C203" i="18"/>
  <c r="D202" i="18"/>
  <c r="C202" i="18"/>
  <c r="K202" i="18" s="1"/>
  <c r="D201" i="18"/>
  <c r="C201" i="18"/>
  <c r="K200" i="18"/>
  <c r="D200" i="18"/>
  <c r="C200" i="18"/>
  <c r="K199" i="18"/>
  <c r="D199" i="18"/>
  <c r="C199" i="18"/>
  <c r="D198" i="18"/>
  <c r="C198" i="18"/>
  <c r="K198" i="18" s="1"/>
  <c r="D197" i="18"/>
  <c r="C197" i="18"/>
  <c r="K196" i="18"/>
  <c r="D196" i="18"/>
  <c r="C196" i="18"/>
  <c r="D195" i="18"/>
  <c r="C195" i="18"/>
  <c r="K195" i="18" s="1"/>
  <c r="D194" i="18"/>
  <c r="C194" i="18"/>
  <c r="D193" i="18"/>
  <c r="C193" i="18"/>
  <c r="D192" i="18"/>
  <c r="C192" i="18"/>
  <c r="K192" i="18" s="1"/>
  <c r="D191" i="18"/>
  <c r="C191" i="18"/>
  <c r="K191" i="18" s="1"/>
  <c r="D190" i="18"/>
  <c r="C190" i="18"/>
  <c r="K190" i="18" s="1"/>
  <c r="D189" i="18"/>
  <c r="C189" i="18"/>
  <c r="K189" i="18" s="1"/>
  <c r="D188" i="18"/>
  <c r="C188" i="18"/>
  <c r="K188" i="18" s="1"/>
  <c r="D187" i="18"/>
  <c r="C187" i="18"/>
  <c r="K187" i="18" s="1"/>
  <c r="D186" i="18"/>
  <c r="C186" i="18"/>
  <c r="K186" i="18" s="1"/>
  <c r="D185" i="18"/>
  <c r="C185" i="18"/>
  <c r="D184" i="18"/>
  <c r="C184" i="18"/>
  <c r="K184" i="18" s="1"/>
  <c r="D183" i="18"/>
  <c r="C183" i="18"/>
  <c r="D182" i="18"/>
  <c r="C182" i="18"/>
  <c r="K182" i="18" s="1"/>
  <c r="D181" i="18"/>
  <c r="C181" i="18"/>
  <c r="K181" i="18" s="1"/>
  <c r="D180" i="18"/>
  <c r="C180" i="18"/>
  <c r="K179" i="18"/>
  <c r="D179" i="18"/>
  <c r="C179" i="18"/>
  <c r="K178" i="18"/>
  <c r="D178" i="18"/>
  <c r="C178" i="18"/>
  <c r="D177" i="18"/>
  <c r="C177" i="18"/>
  <c r="K177" i="18" s="1"/>
  <c r="D176" i="18"/>
  <c r="C176" i="18"/>
  <c r="K176" i="18" s="1"/>
  <c r="D175" i="18"/>
  <c r="C175" i="18"/>
  <c r="K175" i="18" s="1"/>
  <c r="K174" i="18"/>
  <c r="D174" i="18"/>
  <c r="C174" i="18"/>
  <c r="D173" i="18"/>
  <c r="C173" i="18"/>
  <c r="K173" i="18" s="1"/>
  <c r="D172" i="18"/>
  <c r="C172" i="18"/>
  <c r="K172" i="18" s="1"/>
  <c r="D171" i="18"/>
  <c r="C171" i="18"/>
  <c r="K170" i="18"/>
  <c r="D170" i="18"/>
  <c r="C170" i="18"/>
  <c r="D169" i="18"/>
  <c r="C169" i="18"/>
  <c r="K169" i="18" s="1"/>
  <c r="D168" i="18"/>
  <c r="C168" i="18"/>
  <c r="K168" i="18" s="1"/>
  <c r="D167" i="18"/>
  <c r="C167" i="18"/>
  <c r="K166" i="18"/>
  <c r="D166" i="18"/>
  <c r="C166" i="18"/>
  <c r="D165" i="18"/>
  <c r="C165" i="18"/>
  <c r="K165" i="18" s="1"/>
  <c r="D164" i="18"/>
  <c r="C164" i="18"/>
  <c r="D163" i="18"/>
  <c r="C163" i="18"/>
  <c r="K163" i="18" s="1"/>
  <c r="K162" i="18"/>
  <c r="D162" i="18"/>
  <c r="C162" i="18"/>
  <c r="D161" i="18"/>
  <c r="C161" i="18"/>
  <c r="K161" i="18" s="1"/>
  <c r="D160" i="18"/>
  <c r="C160" i="18"/>
  <c r="K160" i="18" s="1"/>
  <c r="D159" i="18"/>
  <c r="C159" i="18"/>
  <c r="K158" i="18"/>
  <c r="D158" i="18"/>
  <c r="C158" i="18"/>
  <c r="D157" i="18"/>
  <c r="C157" i="18"/>
  <c r="K157" i="18" s="1"/>
  <c r="D156" i="18"/>
  <c r="C156" i="18"/>
  <c r="K156" i="18" s="1"/>
  <c r="D155" i="18"/>
  <c r="C155" i="18"/>
  <c r="K154" i="18"/>
  <c r="D154" i="18"/>
  <c r="C154" i="18"/>
  <c r="D153" i="18"/>
  <c r="C153" i="18"/>
  <c r="K153" i="18" s="1"/>
  <c r="D152" i="18"/>
  <c r="C152" i="18"/>
  <c r="D151" i="18"/>
  <c r="C151" i="18"/>
  <c r="K151" i="18" s="1"/>
  <c r="K150" i="18"/>
  <c r="D150" i="18"/>
  <c r="C150" i="18"/>
  <c r="D149" i="18"/>
  <c r="C149" i="18"/>
  <c r="K149" i="18" s="1"/>
  <c r="D148" i="18"/>
  <c r="C148" i="18"/>
  <c r="K148" i="18" s="1"/>
  <c r="D147" i="18"/>
  <c r="C147" i="18"/>
  <c r="K146" i="18"/>
  <c r="D146" i="18"/>
  <c r="C146" i="18"/>
  <c r="D145" i="18"/>
  <c r="C145" i="18"/>
  <c r="K144" i="18" s="1"/>
  <c r="D144" i="18"/>
  <c r="C144" i="18"/>
  <c r="D143" i="18"/>
  <c r="C143" i="18"/>
  <c r="K143" i="18" s="1"/>
  <c r="K142" i="18"/>
  <c r="D142" i="18"/>
  <c r="C142" i="18"/>
  <c r="K141" i="18"/>
  <c r="D141" i="18"/>
  <c r="C141" i="18"/>
  <c r="D140" i="18"/>
  <c r="C140" i="18"/>
  <c r="K140" i="18" s="1"/>
  <c r="D139" i="18"/>
  <c r="C139" i="18"/>
  <c r="K138" i="18"/>
  <c r="D138" i="18"/>
  <c r="C138" i="18"/>
  <c r="D137" i="18"/>
  <c r="C137" i="18"/>
  <c r="K137" i="18" s="1"/>
  <c r="K136" i="18"/>
  <c r="D136" i="18"/>
  <c r="C136" i="18"/>
  <c r="D135" i="18"/>
  <c r="C135" i="18"/>
  <c r="K135" i="18" s="1"/>
  <c r="D134" i="18"/>
  <c r="C134" i="18"/>
  <c r="D133" i="18"/>
  <c r="C133" i="18"/>
  <c r="K133" i="18" s="1"/>
  <c r="D132" i="18"/>
  <c r="C132" i="18"/>
  <c r="K132" i="18" s="1"/>
  <c r="D131" i="18"/>
  <c r="C131" i="18"/>
  <c r="K131" i="18" s="1"/>
  <c r="D130" i="18"/>
  <c r="C130" i="18"/>
  <c r="D129" i="18"/>
  <c r="C129" i="18"/>
  <c r="K129" i="18" s="1"/>
  <c r="D128" i="18"/>
  <c r="C128" i="18"/>
  <c r="K128" i="18" s="1"/>
  <c r="D127" i="18"/>
  <c r="C127" i="18"/>
  <c r="K126" i="18" s="1"/>
  <c r="D126" i="18"/>
  <c r="C126" i="18"/>
  <c r="K125" i="18"/>
  <c r="D125" i="18"/>
  <c r="C125" i="18"/>
  <c r="K124" i="18"/>
  <c r="D124" i="18"/>
  <c r="C124" i="18"/>
  <c r="D123" i="18"/>
  <c r="C123" i="18"/>
  <c r="K122" i="18"/>
  <c r="D122" i="18"/>
  <c r="C122" i="18"/>
  <c r="K121" i="18"/>
  <c r="D121" i="18"/>
  <c r="C121" i="18"/>
  <c r="K120" i="18"/>
  <c r="D120" i="18"/>
  <c r="C120" i="18"/>
  <c r="D119" i="18"/>
  <c r="C119" i="18"/>
  <c r="K119" i="18" s="1"/>
  <c r="D118" i="18"/>
  <c r="C118" i="18"/>
  <c r="D117" i="18"/>
  <c r="C117" i="18"/>
  <c r="K117" i="18" s="1"/>
  <c r="D116" i="18"/>
  <c r="C116" i="18"/>
  <c r="K116" i="18" s="1"/>
  <c r="D115" i="18"/>
  <c r="C115" i="18"/>
  <c r="D114" i="18"/>
  <c r="C114" i="18"/>
  <c r="K113" i="18"/>
  <c r="D113" i="18"/>
  <c r="C113" i="18"/>
  <c r="D112" i="18"/>
  <c r="C112" i="18"/>
  <c r="K112" i="18" s="1"/>
  <c r="D111" i="18"/>
  <c r="C111" i="18"/>
  <c r="K110" i="18"/>
  <c r="D110" i="18"/>
  <c r="C110" i="18"/>
  <c r="D109" i="18"/>
  <c r="C109" i="18"/>
  <c r="K109" i="18" s="1"/>
  <c r="K108" i="18"/>
  <c r="D108" i="18"/>
  <c r="C108" i="18"/>
  <c r="D107" i="18"/>
  <c r="C107" i="18"/>
  <c r="D106" i="18"/>
  <c r="C106" i="18"/>
  <c r="K106" i="18" s="1"/>
  <c r="K105" i="18"/>
  <c r="D105" i="18"/>
  <c r="C105" i="18"/>
  <c r="K104" i="18"/>
  <c r="D104" i="18"/>
  <c r="C104" i="18"/>
  <c r="D103" i="18"/>
  <c r="C103" i="18"/>
  <c r="K103" i="18" s="1"/>
  <c r="D102" i="18"/>
  <c r="C102" i="18"/>
  <c r="K102" i="18" s="1"/>
  <c r="D101" i="18"/>
  <c r="C101" i="18"/>
  <c r="K100" i="18" s="1"/>
  <c r="D100" i="18"/>
  <c r="C100" i="18"/>
  <c r="D99" i="18"/>
  <c r="C99" i="18"/>
  <c r="K99" i="18" s="1"/>
  <c r="K98" i="18"/>
  <c r="D98" i="18"/>
  <c r="C98" i="18"/>
  <c r="D97" i="18"/>
  <c r="C97" i="18"/>
  <c r="K96" i="18" s="1"/>
  <c r="D96" i="18"/>
  <c r="C96" i="18"/>
  <c r="D95" i="18"/>
  <c r="C95" i="18"/>
  <c r="K95" i="18" s="1"/>
  <c r="K94" i="18"/>
  <c r="D94" i="18"/>
  <c r="C94" i="18"/>
  <c r="D93" i="18"/>
  <c r="C93" i="18"/>
  <c r="K92" i="18" s="1"/>
  <c r="D92" i="18"/>
  <c r="C92" i="18"/>
  <c r="D91" i="18"/>
  <c r="C91" i="18"/>
  <c r="K91" i="18" s="1"/>
  <c r="K90" i="18"/>
  <c r="D90" i="18"/>
  <c r="C90" i="18"/>
  <c r="D89" i="18"/>
  <c r="C89" i="18"/>
  <c r="K88" i="18" s="1"/>
  <c r="D88" i="18"/>
  <c r="C88" i="18"/>
  <c r="D87" i="18"/>
  <c r="C87" i="18"/>
  <c r="K87" i="18" s="1"/>
  <c r="K86" i="18"/>
  <c r="D86" i="18"/>
  <c r="C86" i="18"/>
  <c r="D85" i="18"/>
  <c r="C85" i="18"/>
  <c r="K84" i="18" s="1"/>
  <c r="D84" i="18"/>
  <c r="C84" i="18"/>
  <c r="D83" i="18"/>
  <c r="C83" i="18"/>
  <c r="K83" i="18" s="1"/>
  <c r="K82" i="18"/>
  <c r="D82" i="18"/>
  <c r="C82" i="18"/>
  <c r="D81" i="18"/>
  <c r="C81" i="18"/>
  <c r="K80" i="18" s="1"/>
  <c r="D80" i="18"/>
  <c r="C80" i="18"/>
  <c r="D79" i="18"/>
  <c r="C79" i="18"/>
  <c r="K79" i="18" s="1"/>
  <c r="K78" i="18"/>
  <c r="D78" i="18"/>
  <c r="C78" i="18"/>
  <c r="D77" i="18"/>
  <c r="C77" i="18"/>
  <c r="K76" i="18" s="1"/>
  <c r="D76" i="18"/>
  <c r="C76" i="18"/>
  <c r="D75" i="18"/>
  <c r="C75" i="18"/>
  <c r="K75" i="18" s="1"/>
  <c r="K74" i="18"/>
  <c r="D74" i="18"/>
  <c r="C74" i="18"/>
  <c r="D73" i="18"/>
  <c r="C73" i="18"/>
  <c r="K72" i="18" s="1"/>
  <c r="D72" i="18"/>
  <c r="C72" i="18"/>
  <c r="D71" i="18"/>
  <c r="C71" i="18"/>
  <c r="K71" i="18" s="1"/>
  <c r="K70" i="18"/>
  <c r="D70" i="18"/>
  <c r="C70" i="18"/>
  <c r="D69" i="18"/>
  <c r="C69" i="18"/>
  <c r="K68" i="18" s="1"/>
  <c r="D68" i="18"/>
  <c r="C68" i="18"/>
  <c r="D67" i="18"/>
  <c r="C67" i="18"/>
  <c r="K67" i="18" s="1"/>
  <c r="K66" i="18"/>
  <c r="D66" i="18"/>
  <c r="C66" i="18"/>
  <c r="D65" i="18"/>
  <c r="C65" i="18"/>
  <c r="K64" i="18" s="1"/>
  <c r="D64" i="18"/>
  <c r="C64" i="18"/>
  <c r="D63" i="18"/>
  <c r="C63" i="18"/>
  <c r="K63" i="18" s="1"/>
  <c r="K62" i="18"/>
  <c r="D62" i="18"/>
  <c r="C62" i="18"/>
  <c r="D61" i="18"/>
  <c r="C61" i="18"/>
  <c r="D60" i="18"/>
  <c r="C60" i="18"/>
  <c r="D59" i="18"/>
  <c r="C59" i="18"/>
  <c r="K59" i="18" s="1"/>
  <c r="D58" i="18"/>
  <c r="C58" i="18"/>
  <c r="K58" i="18" s="1"/>
  <c r="D57" i="18"/>
  <c r="C57" i="18"/>
  <c r="K56" i="18" s="1"/>
  <c r="D56" i="18"/>
  <c r="C56" i="18"/>
  <c r="D55" i="18"/>
  <c r="C55" i="18"/>
  <c r="K55" i="18" s="1"/>
  <c r="K54" i="18"/>
  <c r="D54" i="18"/>
  <c r="C54" i="18"/>
  <c r="K53" i="18"/>
  <c r="D53" i="18"/>
  <c r="C53" i="18"/>
  <c r="K52" i="18" s="1"/>
  <c r="D52" i="18"/>
  <c r="C52" i="18"/>
  <c r="D51" i="18"/>
  <c r="C51" i="18"/>
  <c r="K51" i="18" s="1"/>
  <c r="K50" i="18"/>
  <c r="D50" i="18"/>
  <c r="C50" i="18"/>
  <c r="K49" i="18"/>
  <c r="D49" i="18"/>
  <c r="C49" i="18"/>
  <c r="K48" i="18" s="1"/>
  <c r="D48" i="18"/>
  <c r="C48" i="18"/>
  <c r="D47" i="18"/>
  <c r="C47" i="18"/>
  <c r="K47" i="18" s="1"/>
  <c r="K46" i="18"/>
  <c r="D46" i="18"/>
  <c r="C46" i="18"/>
  <c r="K45" i="18"/>
  <c r="D45" i="18"/>
  <c r="C45" i="18"/>
  <c r="K44" i="18" s="1"/>
  <c r="D44" i="18"/>
  <c r="C44" i="18"/>
  <c r="D43" i="18"/>
  <c r="C43" i="18"/>
  <c r="K43" i="18" s="1"/>
  <c r="K42" i="18"/>
  <c r="D42" i="18"/>
  <c r="C42" i="18"/>
  <c r="K41" i="18"/>
  <c r="D41" i="18"/>
  <c r="C41" i="18"/>
  <c r="K40" i="18" s="1"/>
  <c r="D40" i="18"/>
  <c r="C40" i="18"/>
  <c r="D39" i="18"/>
  <c r="C39" i="18"/>
  <c r="K39" i="18" s="1"/>
  <c r="K38" i="18"/>
  <c r="D38" i="18"/>
  <c r="C38" i="18"/>
  <c r="K37" i="18"/>
  <c r="D37" i="18"/>
  <c r="C37" i="18"/>
  <c r="K36" i="18" s="1"/>
  <c r="D36" i="18"/>
  <c r="C36" i="18"/>
  <c r="D35" i="18"/>
  <c r="C35" i="18"/>
  <c r="K35" i="18" s="1"/>
  <c r="K34" i="18"/>
  <c r="D34" i="18"/>
  <c r="C34" i="18"/>
  <c r="K33" i="18"/>
  <c r="D33" i="18"/>
  <c r="C33" i="18"/>
  <c r="K32" i="18" s="1"/>
  <c r="D32" i="18"/>
  <c r="C32" i="18"/>
  <c r="D31" i="18"/>
  <c r="C31" i="18"/>
  <c r="K31" i="18" s="1"/>
  <c r="K30" i="18"/>
  <c r="D30" i="18"/>
  <c r="C30" i="18"/>
  <c r="K29" i="18"/>
  <c r="D29" i="18"/>
  <c r="C29" i="18"/>
  <c r="K28" i="18" s="1"/>
  <c r="D28" i="18"/>
  <c r="C28" i="18"/>
  <c r="D27" i="18"/>
  <c r="C27" i="18"/>
  <c r="K27" i="18" s="1"/>
  <c r="K26" i="18"/>
  <c r="D26" i="18"/>
  <c r="C26" i="18"/>
  <c r="K25" i="18"/>
  <c r="D25" i="18"/>
  <c r="C25" i="18"/>
  <c r="K24" i="18"/>
  <c r="D24" i="18"/>
  <c r="C24" i="18"/>
  <c r="K23" i="18"/>
  <c r="D23" i="18"/>
  <c r="C23" i="18"/>
  <c r="D22" i="18"/>
  <c r="C22" i="18"/>
  <c r="K22" i="18" s="1"/>
  <c r="D21" i="18"/>
  <c r="C21" i="18"/>
  <c r="D20" i="18"/>
  <c r="C20" i="18"/>
  <c r="D19" i="18"/>
  <c r="C19" i="18"/>
  <c r="D18" i="18"/>
  <c r="C18" i="18"/>
  <c r="D17" i="18"/>
  <c r="C17" i="18"/>
  <c r="K17" i="18" s="1"/>
  <c r="D16" i="18"/>
  <c r="C16" i="18"/>
  <c r="D15" i="18"/>
  <c r="C15" i="18"/>
  <c r="K15" i="18" s="1"/>
  <c r="D14" i="18"/>
  <c r="C14" i="18"/>
  <c r="K14" i="18" s="1"/>
  <c r="D13" i="18"/>
  <c r="C13" i="18"/>
  <c r="K12" i="18"/>
  <c r="D12" i="18"/>
  <c r="C12" i="18"/>
  <c r="K11" i="18"/>
  <c r="D11" i="18"/>
  <c r="C11" i="18"/>
  <c r="D10" i="18"/>
  <c r="C10" i="18"/>
  <c r="K10" i="18" s="1"/>
  <c r="D9" i="18"/>
  <c r="C9" i="18"/>
  <c r="K9" i="18" s="1"/>
  <c r="D8" i="18"/>
  <c r="C8" i="18"/>
  <c r="K8" i="18" s="1"/>
  <c r="D7" i="18"/>
  <c r="C7" i="18"/>
  <c r="K7" i="18" s="1"/>
  <c r="D6" i="18"/>
  <c r="C6" i="18"/>
  <c r="K6" i="18" s="1"/>
  <c r="D5" i="18"/>
  <c r="C5" i="18"/>
  <c r="K5" i="18" s="1"/>
  <c r="D4" i="18"/>
  <c r="C4" i="18"/>
  <c r="M3" i="18"/>
  <c r="D3" i="18"/>
  <c r="C3" i="18"/>
  <c r="M2" i="18"/>
  <c r="M4" i="18" s="1"/>
  <c r="D2" i="18"/>
  <c r="C2" i="18"/>
  <c r="M1" i="18"/>
  <c r="D301" i="17"/>
  <c r="C301" i="17"/>
  <c r="K300" i="17" s="1"/>
  <c r="D300" i="17"/>
  <c r="C300" i="17"/>
  <c r="D299" i="17"/>
  <c r="C299" i="17"/>
  <c r="D298" i="17"/>
  <c r="C298" i="17"/>
  <c r="D297" i="17"/>
  <c r="C297" i="17"/>
  <c r="K296" i="17" s="1"/>
  <c r="D296" i="17"/>
  <c r="C296" i="17"/>
  <c r="D295" i="17"/>
  <c r="C295" i="17"/>
  <c r="D294" i="17"/>
  <c r="C294" i="17"/>
  <c r="D293" i="17"/>
  <c r="C293" i="17"/>
  <c r="K293" i="17" s="1"/>
  <c r="D292" i="17"/>
  <c r="C292" i="17"/>
  <c r="D291" i="17"/>
  <c r="C291" i="17"/>
  <c r="D290" i="17"/>
  <c r="C290" i="17"/>
  <c r="D289" i="17"/>
  <c r="C289" i="17"/>
  <c r="K289" i="17" s="1"/>
  <c r="D288" i="17"/>
  <c r="C288" i="17"/>
  <c r="D287" i="17"/>
  <c r="C287" i="17"/>
  <c r="D286" i="17"/>
  <c r="C286" i="17"/>
  <c r="D285" i="17"/>
  <c r="C285" i="17"/>
  <c r="K285" i="17" s="1"/>
  <c r="D284" i="17"/>
  <c r="C284" i="17"/>
  <c r="D283" i="17"/>
  <c r="C283" i="17"/>
  <c r="K283" i="17" s="1"/>
  <c r="D282" i="17"/>
  <c r="C282" i="17"/>
  <c r="K282" i="17" s="1"/>
  <c r="D281" i="17"/>
  <c r="C281" i="17"/>
  <c r="D280" i="17"/>
  <c r="C280" i="17"/>
  <c r="K280" i="17" s="1"/>
  <c r="D279" i="17"/>
  <c r="C279" i="17"/>
  <c r="K279" i="17" s="1"/>
  <c r="D278" i="17"/>
  <c r="C278" i="17"/>
  <c r="K278" i="17" s="1"/>
  <c r="K277" i="17"/>
  <c r="D277" i="17"/>
  <c r="C277" i="17"/>
  <c r="D276" i="17"/>
  <c r="C276" i="17"/>
  <c r="K276" i="17" s="1"/>
  <c r="D275" i="17"/>
  <c r="C275" i="17"/>
  <c r="K275" i="17" s="1"/>
  <c r="K274" i="17"/>
  <c r="D274" i="17"/>
  <c r="C274" i="17"/>
  <c r="K273" i="17"/>
  <c r="D273" i="17"/>
  <c r="C273" i="17"/>
  <c r="D272" i="17"/>
  <c r="C272" i="17"/>
  <c r="D271" i="17"/>
  <c r="C271" i="17"/>
  <c r="K271" i="17" s="1"/>
  <c r="D270" i="17"/>
  <c r="C270" i="17"/>
  <c r="K270" i="17" s="1"/>
  <c r="D269" i="17"/>
  <c r="C269" i="17"/>
  <c r="K269" i="17" s="1"/>
  <c r="D268" i="17"/>
  <c r="C268" i="17"/>
  <c r="D267" i="17"/>
  <c r="C267" i="17"/>
  <c r="D266" i="17"/>
  <c r="C266" i="17"/>
  <c r="D265" i="17"/>
  <c r="C265" i="17"/>
  <c r="K265" i="17" s="1"/>
  <c r="D264" i="17"/>
  <c r="C264" i="17"/>
  <c r="D263" i="17"/>
  <c r="C263" i="17"/>
  <c r="D262" i="17"/>
  <c r="C262" i="17"/>
  <c r="D261" i="17"/>
  <c r="C261" i="17"/>
  <c r="K261" i="17" s="1"/>
  <c r="D260" i="17"/>
  <c r="C260" i="17"/>
  <c r="D259" i="17"/>
  <c r="C259" i="17"/>
  <c r="K259" i="17" s="1"/>
  <c r="D258" i="17"/>
  <c r="C258" i="17"/>
  <c r="K258" i="17" s="1"/>
  <c r="D257" i="17"/>
  <c r="C257" i="17"/>
  <c r="D256" i="17"/>
  <c r="C256" i="17"/>
  <c r="K256" i="17" s="1"/>
  <c r="D255" i="17"/>
  <c r="C255" i="17"/>
  <c r="K255" i="17" s="1"/>
  <c r="D254" i="17"/>
  <c r="C254" i="17"/>
  <c r="K254" i="17" s="1"/>
  <c r="K253" i="17"/>
  <c r="D253" i="17"/>
  <c r="C253" i="17"/>
  <c r="D252" i="17"/>
  <c r="C252" i="17"/>
  <c r="K252" i="17" s="1"/>
  <c r="D251" i="17"/>
  <c r="C251" i="17"/>
  <c r="K251" i="17" s="1"/>
  <c r="K250" i="17"/>
  <c r="D250" i="17"/>
  <c r="C250" i="17"/>
  <c r="K249" i="17"/>
  <c r="D249" i="17"/>
  <c r="C249" i="17"/>
  <c r="K248" i="17" s="1"/>
  <c r="D248" i="17"/>
  <c r="C248" i="17"/>
  <c r="D247" i="17"/>
  <c r="C247" i="17"/>
  <c r="K247" i="17" s="1"/>
  <c r="D246" i="17"/>
  <c r="C246" i="17"/>
  <c r="K246" i="17" s="1"/>
  <c r="D245" i="17"/>
  <c r="C245" i="17"/>
  <c r="K245" i="17" s="1"/>
  <c r="D244" i="17"/>
  <c r="C244" i="17"/>
  <c r="D243" i="17"/>
  <c r="C243" i="17"/>
  <c r="D242" i="17"/>
  <c r="C242" i="17"/>
  <c r="D241" i="17"/>
  <c r="C241" i="17"/>
  <c r="K241" i="17" s="1"/>
  <c r="D240" i="17"/>
  <c r="C240" i="17"/>
  <c r="D239" i="17"/>
  <c r="C239" i="17"/>
  <c r="D238" i="17"/>
  <c r="C238" i="17"/>
  <c r="D237" i="17"/>
  <c r="C237" i="17"/>
  <c r="K237" i="17" s="1"/>
  <c r="D236" i="17"/>
  <c r="C236" i="17"/>
  <c r="K236" i="17" s="1"/>
  <c r="D235" i="17"/>
  <c r="C235" i="17"/>
  <c r="K234" i="17" s="1"/>
  <c r="D234" i="17"/>
  <c r="C234" i="17"/>
  <c r="D233" i="17"/>
  <c r="C233" i="17"/>
  <c r="K233" i="17" s="1"/>
  <c r="K232" i="17"/>
  <c r="D232" i="17"/>
  <c r="C232" i="17"/>
  <c r="K231" i="17"/>
  <c r="D231" i="17"/>
  <c r="C231" i="17"/>
  <c r="K230" i="17" s="1"/>
  <c r="D230" i="17"/>
  <c r="C230" i="17"/>
  <c r="D229" i="17"/>
  <c r="C229" i="17"/>
  <c r="K229" i="17" s="1"/>
  <c r="K228" i="17"/>
  <c r="D228" i="17"/>
  <c r="C228" i="17"/>
  <c r="K227" i="17"/>
  <c r="D227" i="17"/>
  <c r="C227" i="17"/>
  <c r="K226" i="17" s="1"/>
  <c r="D226" i="17"/>
  <c r="C226" i="17"/>
  <c r="D225" i="17"/>
  <c r="C225" i="17"/>
  <c r="K225" i="17" s="1"/>
  <c r="K224" i="17"/>
  <c r="D224" i="17"/>
  <c r="C224" i="17"/>
  <c r="K223" i="17"/>
  <c r="D223" i="17"/>
  <c r="C223" i="17"/>
  <c r="K222" i="17" s="1"/>
  <c r="D222" i="17"/>
  <c r="C222" i="17"/>
  <c r="D221" i="17"/>
  <c r="C221" i="17"/>
  <c r="K221" i="17" s="1"/>
  <c r="D220" i="17"/>
  <c r="C220" i="17"/>
  <c r="K220" i="17" s="1"/>
  <c r="K219" i="17"/>
  <c r="D219" i="17"/>
  <c r="C219" i="17"/>
  <c r="K218" i="17" s="1"/>
  <c r="D218" i="17"/>
  <c r="C218" i="17"/>
  <c r="D217" i="17"/>
  <c r="C217" i="17"/>
  <c r="K217" i="17" s="1"/>
  <c r="D216" i="17"/>
  <c r="C216" i="17"/>
  <c r="K216" i="17" s="1"/>
  <c r="K215" i="17"/>
  <c r="D215" i="17"/>
  <c r="C215" i="17"/>
  <c r="K214" i="17" s="1"/>
  <c r="D214" i="17"/>
  <c r="C214" i="17"/>
  <c r="D213" i="17"/>
  <c r="C213" i="17"/>
  <c r="K213" i="17" s="1"/>
  <c r="D212" i="17"/>
  <c r="C212" i="17"/>
  <c r="K212" i="17" s="1"/>
  <c r="D211" i="17"/>
  <c r="C211" i="17"/>
  <c r="K210" i="17" s="1"/>
  <c r="D210" i="17"/>
  <c r="C210" i="17"/>
  <c r="D209" i="17"/>
  <c r="C209" i="17"/>
  <c r="K209" i="17" s="1"/>
  <c r="K208" i="17"/>
  <c r="D208" i="17"/>
  <c r="C208" i="17"/>
  <c r="K207" i="17"/>
  <c r="D207" i="17"/>
  <c r="C207" i="17"/>
  <c r="D206" i="17"/>
  <c r="C206" i="17"/>
  <c r="K206" i="17" s="1"/>
  <c r="D205" i="17"/>
  <c r="C205" i="17"/>
  <c r="K205" i="17" s="1"/>
  <c r="K204" i="17"/>
  <c r="D204" i="17"/>
  <c r="C204" i="17"/>
  <c r="K203" i="17"/>
  <c r="D203" i="17"/>
  <c r="C203" i="17"/>
  <c r="D202" i="17"/>
  <c r="C202" i="17"/>
  <c r="K202" i="17" s="1"/>
  <c r="D201" i="17"/>
  <c r="C201" i="17"/>
  <c r="K201" i="17" s="1"/>
  <c r="K200" i="17"/>
  <c r="D200" i="17"/>
  <c r="C200" i="17"/>
  <c r="K199" i="17"/>
  <c r="D199" i="17"/>
  <c r="C199" i="17"/>
  <c r="D198" i="17"/>
  <c r="C198" i="17"/>
  <c r="K198" i="17" s="1"/>
  <c r="D197" i="17"/>
  <c r="C197" i="17"/>
  <c r="K197" i="17" s="1"/>
  <c r="D196" i="17"/>
  <c r="C196" i="17"/>
  <c r="K196" i="17" s="1"/>
  <c r="K195" i="17"/>
  <c r="D195" i="17"/>
  <c r="C195" i="17"/>
  <c r="D194" i="17"/>
  <c r="C194" i="17"/>
  <c r="K194" i="17" s="1"/>
  <c r="D193" i="17"/>
  <c r="C193" i="17"/>
  <c r="K193" i="17" s="1"/>
  <c r="D192" i="17"/>
  <c r="C192" i="17"/>
  <c r="D191" i="17"/>
  <c r="C191" i="17"/>
  <c r="D190" i="17"/>
  <c r="C190" i="17"/>
  <c r="K190" i="17" s="1"/>
  <c r="D189" i="17"/>
  <c r="C189" i="17"/>
  <c r="K189" i="17" s="1"/>
  <c r="D188" i="17"/>
  <c r="C188" i="17"/>
  <c r="K188" i="17" s="1"/>
  <c r="D187" i="17"/>
  <c r="C187" i="17"/>
  <c r="D186" i="17"/>
  <c r="C186" i="17"/>
  <c r="K186" i="17" s="1"/>
  <c r="D185" i="17"/>
  <c r="C185" i="17"/>
  <c r="K185" i="17" s="1"/>
  <c r="K184" i="17"/>
  <c r="D184" i="17"/>
  <c r="C184" i="17"/>
  <c r="K183" i="17"/>
  <c r="D183" i="17"/>
  <c r="C183" i="17"/>
  <c r="D182" i="17"/>
  <c r="C182" i="17"/>
  <c r="K182" i="17" s="1"/>
  <c r="D181" i="17"/>
  <c r="C181" i="17"/>
  <c r="K181" i="17" s="1"/>
  <c r="K180" i="17"/>
  <c r="D180" i="17"/>
  <c r="C180" i="17"/>
  <c r="K179" i="17"/>
  <c r="D179" i="17"/>
  <c r="C179" i="17"/>
  <c r="D178" i="17"/>
  <c r="C178" i="17"/>
  <c r="K178" i="17" s="1"/>
  <c r="D177" i="17"/>
  <c r="C177" i="17"/>
  <c r="K177" i="17" s="1"/>
  <c r="K176" i="17"/>
  <c r="D176" i="17"/>
  <c r="C176" i="17"/>
  <c r="K175" i="17"/>
  <c r="D175" i="17"/>
  <c r="C175" i="17"/>
  <c r="D174" i="17"/>
  <c r="C174" i="17"/>
  <c r="K174" i="17" s="1"/>
  <c r="D173" i="17"/>
  <c r="C173" i="17"/>
  <c r="K173" i="17" s="1"/>
  <c r="D172" i="17"/>
  <c r="C172" i="17"/>
  <c r="K172" i="17" s="1"/>
  <c r="K171" i="17"/>
  <c r="D171" i="17"/>
  <c r="C171" i="17"/>
  <c r="D170" i="17"/>
  <c r="C170" i="17"/>
  <c r="K170" i="17" s="1"/>
  <c r="D169" i="17"/>
  <c r="C169" i="17"/>
  <c r="K169" i="17" s="1"/>
  <c r="D168" i="17"/>
  <c r="C168" i="17"/>
  <c r="K168" i="17" s="1"/>
  <c r="K167" i="17"/>
  <c r="D167" i="17"/>
  <c r="C167" i="17"/>
  <c r="D166" i="17"/>
  <c r="C166" i="17"/>
  <c r="K166" i="17" s="1"/>
  <c r="D165" i="17"/>
  <c r="C165" i="17"/>
  <c r="K165" i="17" s="1"/>
  <c r="D164" i="17"/>
  <c r="C164" i="17"/>
  <c r="K164" i="17" s="1"/>
  <c r="D163" i="17"/>
  <c r="C163" i="17"/>
  <c r="D162" i="17"/>
  <c r="C162" i="17"/>
  <c r="K162" i="17" s="1"/>
  <c r="D161" i="17"/>
  <c r="C161" i="17"/>
  <c r="K161" i="17" s="1"/>
  <c r="K160" i="17"/>
  <c r="D160" i="17"/>
  <c r="C160" i="17"/>
  <c r="K159" i="17"/>
  <c r="D159" i="17"/>
  <c r="C159" i="17"/>
  <c r="D158" i="17"/>
  <c r="C158" i="17"/>
  <c r="K158" i="17" s="1"/>
  <c r="D157" i="17"/>
  <c r="C157" i="17"/>
  <c r="K157" i="17" s="1"/>
  <c r="K156" i="17"/>
  <c r="D156" i="17"/>
  <c r="C156" i="17"/>
  <c r="K155" i="17"/>
  <c r="D155" i="17"/>
  <c r="C155" i="17"/>
  <c r="D154" i="17"/>
  <c r="C154" i="17"/>
  <c r="K154" i="17" s="1"/>
  <c r="D153" i="17"/>
  <c r="C153" i="17"/>
  <c r="K153" i="17" s="1"/>
  <c r="K152" i="17"/>
  <c r="D152" i="17"/>
  <c r="C152" i="17"/>
  <c r="K151" i="17"/>
  <c r="D151" i="17"/>
  <c r="C151" i="17"/>
  <c r="D150" i="17"/>
  <c r="C150" i="17"/>
  <c r="K150" i="17" s="1"/>
  <c r="D149" i="17"/>
  <c r="C149" i="17"/>
  <c r="K149" i="17" s="1"/>
  <c r="D148" i="17"/>
  <c r="C148" i="17"/>
  <c r="K148" i="17" s="1"/>
  <c r="K147" i="17"/>
  <c r="D147" i="17"/>
  <c r="C147" i="17"/>
  <c r="D146" i="17"/>
  <c r="C146" i="17"/>
  <c r="K146" i="17" s="1"/>
  <c r="D145" i="17"/>
  <c r="C145" i="17"/>
  <c r="K145" i="17" s="1"/>
  <c r="D144" i="17"/>
  <c r="C144" i="17"/>
  <c r="K144" i="17" s="1"/>
  <c r="D143" i="17"/>
  <c r="C143" i="17"/>
  <c r="D142" i="17"/>
  <c r="C142" i="17"/>
  <c r="K142" i="17" s="1"/>
  <c r="D141" i="17"/>
  <c r="C141" i="17"/>
  <c r="K141" i="17" s="1"/>
  <c r="D140" i="17"/>
  <c r="C140" i="17"/>
  <c r="K140" i="17" s="1"/>
  <c r="D139" i="17"/>
  <c r="C139" i="17"/>
  <c r="D138" i="17"/>
  <c r="C138" i="17"/>
  <c r="K138" i="17" s="1"/>
  <c r="D137" i="17"/>
  <c r="C137" i="17"/>
  <c r="K137" i="17" s="1"/>
  <c r="K136" i="17"/>
  <c r="D136" i="17"/>
  <c r="C136" i="17"/>
  <c r="K135" i="17"/>
  <c r="D135" i="17"/>
  <c r="C135" i="17"/>
  <c r="D134" i="17"/>
  <c r="C134" i="17"/>
  <c r="K134" i="17" s="1"/>
  <c r="D133" i="17"/>
  <c r="C133" i="17"/>
  <c r="K133" i="17" s="1"/>
  <c r="K132" i="17"/>
  <c r="D132" i="17"/>
  <c r="C132" i="17"/>
  <c r="K131" i="17"/>
  <c r="D131" i="17"/>
  <c r="C131" i="17"/>
  <c r="D130" i="17"/>
  <c r="C130" i="17"/>
  <c r="K130" i="17" s="1"/>
  <c r="D129" i="17"/>
  <c r="C129" i="17"/>
  <c r="K129" i="17" s="1"/>
  <c r="D128" i="17"/>
  <c r="C128" i="17"/>
  <c r="K128" i="17" s="1"/>
  <c r="K127" i="17"/>
  <c r="D127" i="17"/>
  <c r="C127" i="17"/>
  <c r="D126" i="17"/>
  <c r="C126" i="17"/>
  <c r="K126" i="17" s="1"/>
  <c r="D125" i="17"/>
  <c r="C125" i="17"/>
  <c r="K125" i="17" s="1"/>
  <c r="D124" i="17"/>
  <c r="C124" i="17"/>
  <c r="K124" i="17" s="1"/>
  <c r="K123" i="17"/>
  <c r="D123" i="17"/>
  <c r="C123" i="17"/>
  <c r="D122" i="17"/>
  <c r="C122" i="17"/>
  <c r="K122" i="17" s="1"/>
  <c r="D121" i="17"/>
  <c r="C121" i="17"/>
  <c r="K121" i="17" s="1"/>
  <c r="D120" i="17"/>
  <c r="C120" i="17"/>
  <c r="K120" i="17" s="1"/>
  <c r="K119" i="17"/>
  <c r="D119" i="17"/>
  <c r="C119" i="17"/>
  <c r="D118" i="17"/>
  <c r="C118" i="17"/>
  <c r="K118" i="17" s="1"/>
  <c r="D117" i="17"/>
  <c r="C117" i="17"/>
  <c r="K117" i="17" s="1"/>
  <c r="D116" i="17"/>
  <c r="C116" i="17"/>
  <c r="D115" i="17"/>
  <c r="C115" i="17"/>
  <c r="D114" i="17"/>
  <c r="C114" i="17"/>
  <c r="K114" i="17" s="1"/>
  <c r="D113" i="17"/>
  <c r="C113" i="17"/>
  <c r="K113" i="17" s="1"/>
  <c r="K112" i="17"/>
  <c r="D112" i="17"/>
  <c r="C112" i="17"/>
  <c r="K111" i="17"/>
  <c r="D111" i="17"/>
  <c r="C111" i="17"/>
  <c r="D110" i="17"/>
  <c r="C110" i="17"/>
  <c r="K110" i="17" s="1"/>
  <c r="D109" i="17"/>
  <c r="C109" i="17"/>
  <c r="K109" i="17" s="1"/>
  <c r="K108" i="17"/>
  <c r="D108" i="17"/>
  <c r="C108" i="17"/>
  <c r="K107" i="17"/>
  <c r="D107" i="17"/>
  <c r="C107" i="17"/>
  <c r="D106" i="17"/>
  <c r="C106" i="17"/>
  <c r="K106" i="17" s="1"/>
  <c r="D105" i="17"/>
  <c r="C105" i="17"/>
  <c r="K105" i="17" s="1"/>
  <c r="D104" i="17"/>
  <c r="C104" i="17"/>
  <c r="K104" i="17" s="1"/>
  <c r="D103" i="17"/>
  <c r="C103" i="17"/>
  <c r="D102" i="17"/>
  <c r="C102" i="17"/>
  <c r="K102" i="17" s="1"/>
  <c r="D101" i="17"/>
  <c r="C101" i="17"/>
  <c r="K101" i="17" s="1"/>
  <c r="D100" i="17"/>
  <c r="C100" i="17"/>
  <c r="K100" i="17" s="1"/>
  <c r="K99" i="17"/>
  <c r="D99" i="17"/>
  <c r="C99" i="17"/>
  <c r="D98" i="17"/>
  <c r="C98" i="17"/>
  <c r="K98" i="17" s="1"/>
  <c r="D97" i="17"/>
  <c r="C97" i="17"/>
  <c r="K97" i="17" s="1"/>
  <c r="D96" i="17"/>
  <c r="C96" i="17"/>
  <c r="K96" i="17" s="1"/>
  <c r="K95" i="17"/>
  <c r="D95" i="17"/>
  <c r="C95" i="17"/>
  <c r="D94" i="17"/>
  <c r="C94" i="17"/>
  <c r="K94" i="17" s="1"/>
  <c r="D93" i="17"/>
  <c r="C93" i="17"/>
  <c r="K93" i="17" s="1"/>
  <c r="D92" i="17"/>
  <c r="C92" i="17"/>
  <c r="D91" i="17"/>
  <c r="C91" i="17"/>
  <c r="D90" i="17"/>
  <c r="C90" i="17"/>
  <c r="K90" i="17" s="1"/>
  <c r="D89" i="17"/>
  <c r="C89" i="17"/>
  <c r="K89" i="17" s="1"/>
  <c r="K88" i="17"/>
  <c r="D88" i="17"/>
  <c r="C88" i="17"/>
  <c r="K87" i="17"/>
  <c r="D87" i="17"/>
  <c r="C87" i="17"/>
  <c r="D86" i="17"/>
  <c r="C86" i="17"/>
  <c r="K86" i="17" s="1"/>
  <c r="D85" i="17"/>
  <c r="C85" i="17"/>
  <c r="K85" i="17" s="1"/>
  <c r="D84" i="17"/>
  <c r="C84" i="17"/>
  <c r="K83" i="17" s="1"/>
  <c r="D83" i="17"/>
  <c r="C83" i="17"/>
  <c r="D82" i="17"/>
  <c r="C82" i="17"/>
  <c r="K82" i="17" s="1"/>
  <c r="D81" i="17"/>
  <c r="C81" i="17"/>
  <c r="D80" i="17"/>
  <c r="C80" i="17"/>
  <c r="D79" i="17"/>
  <c r="C79" i="17"/>
  <c r="K79" i="17" s="1"/>
  <c r="D78" i="17"/>
  <c r="C78" i="17"/>
  <c r="D77" i="17"/>
  <c r="C77" i="17"/>
  <c r="K77" i="17" s="1"/>
  <c r="D76" i="17"/>
  <c r="C76" i="17"/>
  <c r="D75" i="17"/>
  <c r="C75" i="17"/>
  <c r="D74" i="17"/>
  <c r="C74" i="17"/>
  <c r="K74" i="17" s="1"/>
  <c r="D73" i="17"/>
  <c r="C73" i="17"/>
  <c r="K73" i="17" s="1"/>
  <c r="D72" i="17"/>
  <c r="C72" i="17"/>
  <c r="D71" i="17"/>
  <c r="C71" i="17"/>
  <c r="D70" i="17"/>
  <c r="C70" i="17"/>
  <c r="K70" i="17" s="1"/>
  <c r="D69" i="17"/>
  <c r="C69" i="17"/>
  <c r="K69" i="17" s="1"/>
  <c r="K68" i="17"/>
  <c r="D68" i="17"/>
  <c r="C68" i="17"/>
  <c r="K67" i="17"/>
  <c r="D67" i="17"/>
  <c r="C67" i="17"/>
  <c r="D66" i="17"/>
  <c r="C66" i="17"/>
  <c r="K66" i="17" s="1"/>
  <c r="D65" i="17"/>
  <c r="C65" i="17"/>
  <c r="K65" i="17" s="1"/>
  <c r="K64" i="17"/>
  <c r="D64" i="17"/>
  <c r="C64" i="17"/>
  <c r="D63" i="17"/>
  <c r="C63" i="17"/>
  <c r="K63" i="17" s="1"/>
  <c r="D62" i="17"/>
  <c r="C62" i="17"/>
  <c r="D61" i="17"/>
  <c r="C61" i="17"/>
  <c r="K61" i="17" s="1"/>
  <c r="D60" i="17"/>
  <c r="C60" i="17"/>
  <c r="K60" i="17" s="1"/>
  <c r="D59" i="17"/>
  <c r="C59" i="17"/>
  <c r="K59" i="17" s="1"/>
  <c r="D58" i="17"/>
  <c r="C58" i="17"/>
  <c r="D57" i="17"/>
  <c r="C57" i="17"/>
  <c r="K57" i="17" s="1"/>
  <c r="K56" i="17"/>
  <c r="D56" i="17"/>
  <c r="C56" i="17"/>
  <c r="K55" i="17"/>
  <c r="D55" i="17"/>
  <c r="C55" i="17"/>
  <c r="D54" i="17"/>
  <c r="C54" i="17"/>
  <c r="K54" i="17" s="1"/>
  <c r="D53" i="17"/>
  <c r="C53" i="17"/>
  <c r="K53" i="17" s="1"/>
  <c r="D52" i="17"/>
  <c r="C52" i="17"/>
  <c r="D51" i="17"/>
  <c r="C51" i="17"/>
  <c r="K51" i="17" s="1"/>
  <c r="D50" i="17"/>
  <c r="C50" i="17"/>
  <c r="D49" i="17"/>
  <c r="C49" i="17"/>
  <c r="K49" i="17" s="1"/>
  <c r="D48" i="17"/>
  <c r="C48" i="17"/>
  <c r="K48" i="17" s="1"/>
  <c r="D47" i="17"/>
  <c r="C47" i="17"/>
  <c r="D46" i="17"/>
  <c r="C46" i="17"/>
  <c r="K46" i="17" s="1"/>
  <c r="D45" i="17"/>
  <c r="C45" i="17"/>
  <c r="K45" i="17" s="1"/>
  <c r="K44" i="17"/>
  <c r="D44" i="17"/>
  <c r="C44" i="17"/>
  <c r="K43" i="17"/>
  <c r="D43" i="17"/>
  <c r="C43" i="17"/>
  <c r="D42" i="17"/>
  <c r="C42" i="17"/>
  <c r="K42" i="17" s="1"/>
  <c r="D41" i="17"/>
  <c r="C41" i="17"/>
  <c r="K41" i="17" s="1"/>
  <c r="D40" i="17"/>
  <c r="C40" i="17"/>
  <c r="D39" i="17"/>
  <c r="C39" i="17"/>
  <c r="K39" i="17" s="1"/>
  <c r="D38" i="17"/>
  <c r="C38" i="17"/>
  <c r="D37" i="17"/>
  <c r="C37" i="17"/>
  <c r="K37" i="17" s="1"/>
  <c r="D36" i="17"/>
  <c r="C36" i="17"/>
  <c r="K36" i="17" s="1"/>
  <c r="D35" i="17"/>
  <c r="C35" i="17"/>
  <c r="D34" i="17"/>
  <c r="C34" i="17"/>
  <c r="K34" i="17" s="1"/>
  <c r="D33" i="17"/>
  <c r="C33" i="17"/>
  <c r="K33" i="17" s="1"/>
  <c r="K32" i="17"/>
  <c r="D32" i="17"/>
  <c r="C32" i="17"/>
  <c r="K31" i="17"/>
  <c r="D31" i="17"/>
  <c r="C31" i="17"/>
  <c r="D30" i="17"/>
  <c r="C30" i="17"/>
  <c r="K30" i="17" s="1"/>
  <c r="D29" i="17"/>
  <c r="C29" i="17"/>
  <c r="D28" i="17"/>
  <c r="C28" i="17"/>
  <c r="D27" i="17"/>
  <c r="C27" i="17"/>
  <c r="K27" i="17" s="1"/>
  <c r="D26" i="17"/>
  <c r="C26" i="17"/>
  <c r="D25" i="17"/>
  <c r="C25" i="17"/>
  <c r="D24" i="17"/>
  <c r="C24" i="17"/>
  <c r="K24" i="17" s="1"/>
  <c r="D23" i="17"/>
  <c r="C23" i="17"/>
  <c r="K23" i="17" s="1"/>
  <c r="D22" i="17"/>
  <c r="C22" i="17"/>
  <c r="K21" i="17"/>
  <c r="D21" i="17"/>
  <c r="C21" i="17"/>
  <c r="K20" i="17"/>
  <c r="D20" i="17"/>
  <c r="C20" i="17"/>
  <c r="D19" i="17"/>
  <c r="C19" i="17"/>
  <c r="K19" i="17" s="1"/>
  <c r="D18" i="17"/>
  <c r="C18" i="17"/>
  <c r="D17" i="17"/>
  <c r="C17" i="17"/>
  <c r="K17" i="17" s="1"/>
  <c r="D16" i="17"/>
  <c r="C16" i="17"/>
  <c r="D15" i="17"/>
  <c r="C15" i="17"/>
  <c r="K14" i="17"/>
  <c r="D14" i="17"/>
  <c r="C14" i="17"/>
  <c r="D13" i="17"/>
  <c r="C13" i="17"/>
  <c r="K13" i="17" s="1"/>
  <c r="D12" i="17"/>
  <c r="C12" i="17"/>
  <c r="D11" i="17"/>
  <c r="C11" i="17"/>
  <c r="D10" i="17"/>
  <c r="C10" i="17"/>
  <c r="K10" i="17" s="1"/>
  <c r="K9" i="17"/>
  <c r="D9" i="17"/>
  <c r="C9" i="17"/>
  <c r="D8" i="17"/>
  <c r="C8" i="17"/>
  <c r="K8" i="17" s="1"/>
  <c r="D7" i="17"/>
  <c r="C7" i="17"/>
  <c r="K7" i="17" s="1"/>
  <c r="D6" i="17"/>
  <c r="C6" i="17"/>
  <c r="D5" i="17"/>
  <c r="C5" i="17"/>
  <c r="K5" i="17" s="1"/>
  <c r="D4" i="17"/>
  <c r="C4" i="17"/>
  <c r="M3" i="17"/>
  <c r="D3" i="17"/>
  <c r="C3" i="17"/>
  <c r="M2" i="17"/>
  <c r="M4" i="17" s="1"/>
  <c r="D2" i="17"/>
  <c r="C2" i="17"/>
  <c r="K2" i="17" s="1"/>
  <c r="M1" i="17"/>
  <c r="D301" i="16"/>
  <c r="C301" i="16"/>
  <c r="K301" i="16" s="1"/>
  <c r="D300" i="16"/>
  <c r="C300" i="16"/>
  <c r="K300" i="16" s="1"/>
  <c r="D299" i="16"/>
  <c r="C299" i="16"/>
  <c r="K299" i="16" s="1"/>
  <c r="D298" i="16"/>
  <c r="C298" i="16"/>
  <c r="K298" i="16" s="1"/>
  <c r="D297" i="16"/>
  <c r="C297" i="16"/>
  <c r="K297" i="16" s="1"/>
  <c r="D296" i="16"/>
  <c r="C296" i="16"/>
  <c r="D295" i="16"/>
  <c r="C295" i="16"/>
  <c r="K295" i="16" s="1"/>
  <c r="D294" i="16"/>
  <c r="C294" i="16"/>
  <c r="D293" i="16"/>
  <c r="C293" i="16"/>
  <c r="K293" i="16" s="1"/>
  <c r="D292" i="16"/>
  <c r="C292" i="16"/>
  <c r="K292" i="16" s="1"/>
  <c r="D291" i="16"/>
  <c r="C291" i="16"/>
  <c r="K291" i="16" s="1"/>
  <c r="D290" i="16"/>
  <c r="C290" i="16"/>
  <c r="K290" i="16" s="1"/>
  <c r="D289" i="16"/>
  <c r="C289" i="16"/>
  <c r="D288" i="16"/>
  <c r="C288" i="16"/>
  <c r="K288" i="16" s="1"/>
  <c r="K287" i="16"/>
  <c r="D287" i="16"/>
  <c r="C287" i="16"/>
  <c r="D286" i="16"/>
  <c r="C286" i="16"/>
  <c r="K286" i="16" s="1"/>
  <c r="D285" i="16"/>
  <c r="C285" i="16"/>
  <c r="K285" i="16" s="1"/>
  <c r="D284" i="16"/>
  <c r="C284" i="16"/>
  <c r="D283" i="16"/>
  <c r="C283" i="16"/>
  <c r="K283" i="16" s="1"/>
  <c r="D282" i="16"/>
  <c r="C282" i="16"/>
  <c r="D281" i="16"/>
  <c r="C281" i="16"/>
  <c r="K281" i="16" s="1"/>
  <c r="D280" i="16"/>
  <c r="C280" i="16"/>
  <c r="K279" i="16" s="1"/>
  <c r="D279" i="16"/>
  <c r="C279" i="16"/>
  <c r="D278" i="16"/>
  <c r="C278" i="16"/>
  <c r="K278" i="16" s="1"/>
  <c r="D277" i="16"/>
  <c r="C277" i="16"/>
  <c r="D276" i="16"/>
  <c r="C276" i="16"/>
  <c r="D275" i="16"/>
  <c r="C275" i="16"/>
  <c r="D274" i="16"/>
  <c r="C274" i="16"/>
  <c r="D273" i="16"/>
  <c r="C273" i="16"/>
  <c r="D272" i="16"/>
  <c r="C272" i="16"/>
  <c r="D271" i="16"/>
  <c r="C271" i="16"/>
  <c r="D270" i="16"/>
  <c r="C270" i="16"/>
  <c r="K270" i="16" s="1"/>
  <c r="D269" i="16"/>
  <c r="C269" i="16"/>
  <c r="D268" i="16"/>
  <c r="C268" i="16"/>
  <c r="D267" i="16"/>
  <c r="C267" i="16"/>
  <c r="K267" i="16" s="1"/>
  <c r="D266" i="16"/>
  <c r="C266" i="16"/>
  <c r="D265" i="16"/>
  <c r="C265" i="16"/>
  <c r="D264" i="16"/>
  <c r="C264" i="16"/>
  <c r="K263" i="16"/>
  <c r="D263" i="16"/>
  <c r="C263" i="16"/>
  <c r="D262" i="16"/>
  <c r="C262" i="16"/>
  <c r="D261" i="16"/>
  <c r="C261" i="16"/>
  <c r="K261" i="16" s="1"/>
  <c r="D260" i="16"/>
  <c r="C260" i="16"/>
  <c r="K260" i="16" s="1"/>
  <c r="D259" i="16"/>
  <c r="C259" i="16"/>
  <c r="D258" i="16"/>
  <c r="C258" i="16"/>
  <c r="K258" i="16" s="1"/>
  <c r="D257" i="16"/>
  <c r="C257" i="16"/>
  <c r="K257" i="16" s="1"/>
  <c r="D256" i="16"/>
  <c r="C256" i="16"/>
  <c r="K255" i="16"/>
  <c r="D255" i="16"/>
  <c r="C255" i="16"/>
  <c r="D254" i="16"/>
  <c r="C254" i="16"/>
  <c r="D253" i="16"/>
  <c r="C253" i="16"/>
  <c r="K253" i="16" s="1"/>
  <c r="D252" i="16"/>
  <c r="C252" i="16"/>
  <c r="D251" i="16"/>
  <c r="C251" i="16"/>
  <c r="D250" i="16"/>
  <c r="C250" i="16"/>
  <c r="K250" i="16" s="1"/>
  <c r="D249" i="16"/>
  <c r="C249" i="16"/>
  <c r="K249" i="16" s="1"/>
  <c r="D248" i="16"/>
  <c r="C248" i="16"/>
  <c r="D247" i="16"/>
  <c r="C247" i="16"/>
  <c r="K247" i="16" s="1"/>
  <c r="D246" i="16"/>
  <c r="C246" i="16"/>
  <c r="D245" i="16"/>
  <c r="C245" i="16"/>
  <c r="K245" i="16" s="1"/>
  <c r="D244" i="16"/>
  <c r="C244" i="16"/>
  <c r="K244" i="16" s="1"/>
  <c r="D243" i="16"/>
  <c r="C243" i="16"/>
  <c r="K243" i="16" s="1"/>
  <c r="D242" i="16"/>
  <c r="C242" i="16"/>
  <c r="K242" i="16" s="1"/>
  <c r="D241" i="16"/>
  <c r="C241" i="16"/>
  <c r="D240" i="16"/>
  <c r="C240" i="16"/>
  <c r="K240" i="16" s="1"/>
  <c r="K239" i="16"/>
  <c r="D239" i="16"/>
  <c r="C239" i="16"/>
  <c r="D238" i="16"/>
  <c r="C238" i="16"/>
  <c r="K238" i="16" s="1"/>
  <c r="D237" i="16"/>
  <c r="C237" i="16"/>
  <c r="K237" i="16" s="1"/>
  <c r="D236" i="16"/>
  <c r="C236" i="16"/>
  <c r="D235" i="16"/>
  <c r="C235" i="16"/>
  <c r="K235" i="16" s="1"/>
  <c r="D234" i="16"/>
  <c r="C234" i="16"/>
  <c r="D233" i="16"/>
  <c r="C233" i="16"/>
  <c r="K233" i="16" s="1"/>
  <c r="D232" i="16"/>
  <c r="C232" i="16"/>
  <c r="K232" i="16" s="1"/>
  <c r="D231" i="16"/>
  <c r="C231" i="16"/>
  <c r="K231" i="16" s="1"/>
  <c r="D230" i="16"/>
  <c r="C230" i="16"/>
  <c r="K230" i="16" s="1"/>
  <c r="D229" i="16"/>
  <c r="C229" i="16"/>
  <c r="K229" i="16" s="1"/>
  <c r="D228" i="16"/>
  <c r="C228" i="16"/>
  <c r="K227" i="16" s="1"/>
  <c r="D227" i="16"/>
  <c r="C227" i="16"/>
  <c r="D226" i="16"/>
  <c r="C226" i="16"/>
  <c r="K226" i="16" s="1"/>
  <c r="D225" i="16"/>
  <c r="C225" i="16"/>
  <c r="D224" i="16"/>
  <c r="C224" i="16"/>
  <c r="K223" i="16"/>
  <c r="D223" i="16"/>
  <c r="C223" i="16"/>
  <c r="K222" i="16"/>
  <c r="D222" i="16"/>
  <c r="C222" i="16"/>
  <c r="D221" i="16"/>
  <c r="C221" i="16"/>
  <c r="K221" i="16" s="1"/>
  <c r="D220" i="16"/>
  <c r="C220" i="16"/>
  <c r="K220" i="16" s="1"/>
  <c r="D219" i="16"/>
  <c r="C219" i="16"/>
  <c r="K219" i="16" s="1"/>
  <c r="K218" i="16"/>
  <c r="D218" i="16"/>
  <c r="C218" i="16"/>
  <c r="D217" i="16"/>
  <c r="C217" i="16"/>
  <c r="K217" i="16" s="1"/>
  <c r="D216" i="16"/>
  <c r="C216" i="16"/>
  <c r="K216" i="16" s="1"/>
  <c r="D215" i="16"/>
  <c r="C215" i="16"/>
  <c r="K215" i="16" s="1"/>
  <c r="K214" i="16"/>
  <c r="D214" i="16"/>
  <c r="C214" i="16"/>
  <c r="D213" i="16"/>
  <c r="C213" i="16"/>
  <c r="D212" i="16"/>
  <c r="C212" i="16"/>
  <c r="D211" i="16"/>
  <c r="C211" i="16"/>
  <c r="K211" i="16" s="1"/>
  <c r="K210" i="16"/>
  <c r="D210" i="16"/>
  <c r="C210" i="16"/>
  <c r="D209" i="16"/>
  <c r="C209" i="16"/>
  <c r="K209" i="16" s="1"/>
  <c r="D208" i="16"/>
  <c r="C208" i="16"/>
  <c r="K208" i="16" s="1"/>
  <c r="D207" i="16"/>
  <c r="C207" i="16"/>
  <c r="K207" i="16" s="1"/>
  <c r="K206" i="16"/>
  <c r="D206" i="16"/>
  <c r="C206" i="16"/>
  <c r="D205" i="16"/>
  <c r="C205" i="16"/>
  <c r="K205" i="16" s="1"/>
  <c r="K204" i="16"/>
  <c r="D204" i="16"/>
  <c r="C204" i="16"/>
  <c r="D203" i="16"/>
  <c r="C203" i="16"/>
  <c r="K202" i="16"/>
  <c r="D202" i="16"/>
  <c r="C202" i="16"/>
  <c r="D201" i="16"/>
  <c r="C201" i="16"/>
  <c r="K201" i="16" s="1"/>
  <c r="K200" i="16"/>
  <c r="D200" i="16"/>
  <c r="C200" i="16"/>
  <c r="D199" i="16"/>
  <c r="C199" i="16"/>
  <c r="K199" i="16" s="1"/>
  <c r="K198" i="16"/>
  <c r="D198" i="16"/>
  <c r="C198" i="16"/>
  <c r="D197" i="16"/>
  <c r="C197" i="16"/>
  <c r="K197" i="16" s="1"/>
  <c r="D196" i="16"/>
  <c r="C196" i="16"/>
  <c r="K196" i="16" s="1"/>
  <c r="D195" i="16"/>
  <c r="C195" i="16"/>
  <c r="K195" i="16" s="1"/>
  <c r="K194" i="16"/>
  <c r="D194" i="16"/>
  <c r="C194" i="16"/>
  <c r="D193" i="16"/>
  <c r="C193" i="16"/>
  <c r="K193" i="16" s="1"/>
  <c r="D192" i="16"/>
  <c r="C192" i="16"/>
  <c r="D191" i="16"/>
  <c r="C191" i="16"/>
  <c r="K191" i="16" s="1"/>
  <c r="K190" i="16"/>
  <c r="D190" i="16"/>
  <c r="C190" i="16"/>
  <c r="D189" i="16"/>
  <c r="C189" i="16"/>
  <c r="D188" i="16"/>
  <c r="C188" i="16"/>
  <c r="D187" i="16"/>
  <c r="C187" i="16"/>
  <c r="K187" i="16" s="1"/>
  <c r="K186" i="16"/>
  <c r="D186" i="16"/>
  <c r="C186" i="16"/>
  <c r="D185" i="16"/>
  <c r="C185" i="16"/>
  <c r="K185" i="16" s="1"/>
  <c r="D184" i="16"/>
  <c r="C184" i="16"/>
  <c r="K184" i="16" s="1"/>
  <c r="D183" i="16"/>
  <c r="C183" i="16"/>
  <c r="K183" i="16" s="1"/>
  <c r="K182" i="16"/>
  <c r="D182" i="16"/>
  <c r="C182" i="16"/>
  <c r="D181" i="16"/>
  <c r="C181" i="16"/>
  <c r="K181" i="16" s="1"/>
  <c r="K180" i="16"/>
  <c r="D180" i="16"/>
  <c r="C180" i="16"/>
  <c r="D179" i="16"/>
  <c r="C179" i="16"/>
  <c r="K178" i="16"/>
  <c r="D178" i="16"/>
  <c r="C178" i="16"/>
  <c r="D177" i="16"/>
  <c r="C177" i="16"/>
  <c r="K177" i="16" s="1"/>
  <c r="K176" i="16"/>
  <c r="D176" i="16"/>
  <c r="C176" i="16"/>
  <c r="D175" i="16"/>
  <c r="C175" i="16"/>
  <c r="K175" i="16" s="1"/>
  <c r="K174" i="16"/>
  <c r="D174" i="16"/>
  <c r="C174" i="16"/>
  <c r="D173" i="16"/>
  <c r="C173" i="16"/>
  <c r="K173" i="16" s="1"/>
  <c r="D172" i="16"/>
  <c r="C172" i="16"/>
  <c r="K172" i="16" s="1"/>
  <c r="D171" i="16"/>
  <c r="C171" i="16"/>
  <c r="K170" i="16"/>
  <c r="D170" i="16"/>
  <c r="C170" i="16"/>
  <c r="D169" i="16"/>
  <c r="C169" i="16"/>
  <c r="K169" i="16" s="1"/>
  <c r="D168" i="16"/>
  <c r="C168" i="16"/>
  <c r="K168" i="16" s="1"/>
  <c r="D167" i="16"/>
  <c r="C167" i="16"/>
  <c r="K167" i="16" s="1"/>
  <c r="K166" i="16"/>
  <c r="D166" i="16"/>
  <c r="C166" i="16"/>
  <c r="D165" i="16"/>
  <c r="C165" i="16"/>
  <c r="D164" i="16"/>
  <c r="C164" i="16"/>
  <c r="D163" i="16"/>
  <c r="C163" i="16"/>
  <c r="K163" i="16" s="1"/>
  <c r="K162" i="16"/>
  <c r="D162" i="16"/>
  <c r="C162" i="16"/>
  <c r="D161" i="16"/>
  <c r="C161" i="16"/>
  <c r="K161" i="16" s="1"/>
  <c r="D160" i="16"/>
  <c r="C160" i="16"/>
  <c r="K160" i="16" s="1"/>
  <c r="D159" i="16"/>
  <c r="C159" i="16"/>
  <c r="K159" i="16" s="1"/>
  <c r="K158" i="16"/>
  <c r="D158" i="16"/>
  <c r="C158" i="16"/>
  <c r="D157" i="16"/>
  <c r="C157" i="16"/>
  <c r="K157" i="16" s="1"/>
  <c r="K156" i="16"/>
  <c r="D156" i="16"/>
  <c r="C156" i="16"/>
  <c r="D155" i="16"/>
  <c r="C155" i="16"/>
  <c r="K154" i="16"/>
  <c r="D154" i="16"/>
  <c r="C154" i="16"/>
  <c r="D153" i="16"/>
  <c r="C153" i="16"/>
  <c r="K153" i="16" s="1"/>
  <c r="K152" i="16"/>
  <c r="D152" i="16"/>
  <c r="C152" i="16"/>
  <c r="D151" i="16"/>
  <c r="C151" i="16"/>
  <c r="K151" i="16" s="1"/>
  <c r="K150" i="16"/>
  <c r="D150" i="16"/>
  <c r="C150" i="16"/>
  <c r="D149" i="16"/>
  <c r="C149" i="16"/>
  <c r="K149" i="16" s="1"/>
  <c r="D148" i="16"/>
  <c r="C148" i="16"/>
  <c r="K148" i="16" s="1"/>
  <c r="D147" i="16"/>
  <c r="C147" i="16"/>
  <c r="K147" i="16" s="1"/>
  <c r="K146" i="16"/>
  <c r="D146" i="16"/>
  <c r="C146" i="16"/>
  <c r="D145" i="16"/>
  <c r="C145" i="16"/>
  <c r="K145" i="16" s="1"/>
  <c r="D144" i="16"/>
  <c r="C144" i="16"/>
  <c r="D143" i="16"/>
  <c r="C143" i="16"/>
  <c r="K143" i="16" s="1"/>
  <c r="K142" i="16"/>
  <c r="D142" i="16"/>
  <c r="C142" i="16"/>
  <c r="D141" i="16"/>
  <c r="C141" i="16"/>
  <c r="D140" i="16"/>
  <c r="C140" i="16"/>
  <c r="D139" i="16"/>
  <c r="C139" i="16"/>
  <c r="K139" i="16" s="1"/>
  <c r="K138" i="16"/>
  <c r="D138" i="16"/>
  <c r="C138" i="16"/>
  <c r="D137" i="16"/>
  <c r="C137" i="16"/>
  <c r="K137" i="16" s="1"/>
  <c r="D136" i="16"/>
  <c r="C136" i="16"/>
  <c r="K136" i="16" s="1"/>
  <c r="D135" i="16"/>
  <c r="C135" i="16"/>
  <c r="K135" i="16" s="1"/>
  <c r="K134" i="16"/>
  <c r="D134" i="16"/>
  <c r="C134" i="16"/>
  <c r="D133" i="16"/>
  <c r="C133" i="16"/>
  <c r="K133" i="16" s="1"/>
  <c r="K132" i="16"/>
  <c r="D132" i="16"/>
  <c r="C132" i="16"/>
  <c r="D131" i="16"/>
  <c r="C131" i="16"/>
  <c r="K130" i="16"/>
  <c r="D130" i="16"/>
  <c r="C130" i="16"/>
  <c r="D129" i="16"/>
  <c r="C129" i="16"/>
  <c r="K129" i="16" s="1"/>
  <c r="K128" i="16"/>
  <c r="D128" i="16"/>
  <c r="C128" i="16"/>
  <c r="D127" i="16"/>
  <c r="C127" i="16"/>
  <c r="K127" i="16" s="1"/>
  <c r="K126" i="16"/>
  <c r="D126" i="16"/>
  <c r="C126" i="16"/>
  <c r="D125" i="16"/>
  <c r="C125" i="16"/>
  <c r="K125" i="16" s="1"/>
  <c r="D124" i="16"/>
  <c r="C124" i="16"/>
  <c r="K124" i="16" s="1"/>
  <c r="D123" i="16"/>
  <c r="C123" i="16"/>
  <c r="K122" i="16"/>
  <c r="D122" i="16"/>
  <c r="C122" i="16"/>
  <c r="D121" i="16"/>
  <c r="C121" i="16"/>
  <c r="K121" i="16" s="1"/>
  <c r="D120" i="16"/>
  <c r="C120" i="16"/>
  <c r="K120" i="16" s="1"/>
  <c r="D119" i="16"/>
  <c r="C119" i="16"/>
  <c r="K119" i="16" s="1"/>
  <c r="K118" i="16"/>
  <c r="D118" i="16"/>
  <c r="C118" i="16"/>
  <c r="D117" i="16"/>
  <c r="C117" i="16"/>
  <c r="K117" i="16" s="1"/>
  <c r="K116" i="16"/>
  <c r="D116" i="16"/>
  <c r="C116" i="16"/>
  <c r="D115" i="16"/>
  <c r="C115" i="16"/>
  <c r="D114" i="16"/>
  <c r="C114" i="16"/>
  <c r="D113" i="16"/>
  <c r="C113" i="16"/>
  <c r="K113" i="16" s="1"/>
  <c r="D112" i="16"/>
  <c r="C112" i="16"/>
  <c r="K112" i="16" s="1"/>
  <c r="D111" i="16"/>
  <c r="C111" i="16"/>
  <c r="K110" i="16"/>
  <c r="D110" i="16"/>
  <c r="C110" i="16"/>
  <c r="D109" i="16"/>
  <c r="C109" i="16"/>
  <c r="K109" i="16" s="1"/>
  <c r="D108" i="16"/>
  <c r="C108" i="16"/>
  <c r="K108" i="16" s="1"/>
  <c r="D107" i="16"/>
  <c r="C107" i="16"/>
  <c r="K106" i="16"/>
  <c r="D106" i="16"/>
  <c r="C106" i="16"/>
  <c r="D105" i="16"/>
  <c r="C105" i="16"/>
  <c r="K105" i="16" s="1"/>
  <c r="D104" i="16"/>
  <c r="C104" i="16"/>
  <c r="D103" i="16"/>
  <c r="C103" i="16"/>
  <c r="K103" i="16" s="1"/>
  <c r="D102" i="16"/>
  <c r="C102" i="16"/>
  <c r="D101" i="16"/>
  <c r="C101" i="16"/>
  <c r="K100" i="16"/>
  <c r="D100" i="16"/>
  <c r="C100" i="16"/>
  <c r="D99" i="16"/>
  <c r="C99" i="16"/>
  <c r="K99" i="16" s="1"/>
  <c r="K98" i="16"/>
  <c r="D98" i="16"/>
  <c r="C98" i="16"/>
  <c r="D97" i="16"/>
  <c r="C97" i="16"/>
  <c r="K97" i="16" s="1"/>
  <c r="D96" i="16"/>
  <c r="C96" i="16"/>
  <c r="K96" i="16" s="1"/>
  <c r="D95" i="16"/>
  <c r="C95" i="16"/>
  <c r="K94" i="16"/>
  <c r="D94" i="16"/>
  <c r="C94" i="16"/>
  <c r="D93" i="16"/>
  <c r="C93" i="16"/>
  <c r="D92" i="16"/>
  <c r="C92" i="16"/>
  <c r="K91" i="16" s="1"/>
  <c r="D91" i="16"/>
  <c r="C91" i="16"/>
  <c r="K90" i="16"/>
  <c r="D90" i="16"/>
  <c r="C90" i="16"/>
  <c r="D89" i="16"/>
  <c r="C89" i="16"/>
  <c r="K89" i="16" s="1"/>
  <c r="D88" i="16"/>
  <c r="C88" i="16"/>
  <c r="K88" i="16" s="1"/>
  <c r="K87" i="16"/>
  <c r="D87" i="16"/>
  <c r="C87" i="16"/>
  <c r="K86" i="16"/>
  <c r="D86" i="16"/>
  <c r="C86" i="16"/>
  <c r="D85" i="16"/>
  <c r="C85" i="16"/>
  <c r="K85" i="16" s="1"/>
  <c r="K84" i="16"/>
  <c r="D84" i="16"/>
  <c r="C84" i="16"/>
  <c r="K83" i="16"/>
  <c r="D83" i="16"/>
  <c r="C83" i="16"/>
  <c r="K82" i="16"/>
  <c r="D82" i="16"/>
  <c r="C82" i="16"/>
  <c r="D81" i="16"/>
  <c r="C81" i="16"/>
  <c r="K81" i="16" s="1"/>
  <c r="D80" i="16"/>
  <c r="C80" i="16"/>
  <c r="K80" i="16" s="1"/>
  <c r="D79" i="16"/>
  <c r="C79" i="16"/>
  <c r="K78" i="16"/>
  <c r="D78" i="16"/>
  <c r="C78" i="16"/>
  <c r="D77" i="16"/>
  <c r="C77" i="16"/>
  <c r="D76" i="16"/>
  <c r="C76" i="16"/>
  <c r="K75" i="16" s="1"/>
  <c r="D75" i="16"/>
  <c r="C75" i="16"/>
  <c r="K74" i="16"/>
  <c r="D74" i="16"/>
  <c r="C74" i="16"/>
  <c r="D73" i="16"/>
  <c r="C73" i="16"/>
  <c r="K73" i="16" s="1"/>
  <c r="D72" i="16"/>
  <c r="C72" i="16"/>
  <c r="K72" i="16" s="1"/>
  <c r="K71" i="16"/>
  <c r="D71" i="16"/>
  <c r="C71" i="16"/>
  <c r="K70" i="16"/>
  <c r="D70" i="16"/>
  <c r="C70" i="16"/>
  <c r="D69" i="16"/>
  <c r="C69" i="16"/>
  <c r="K69" i="16" s="1"/>
  <c r="K68" i="16"/>
  <c r="D68" i="16"/>
  <c r="C68" i="16"/>
  <c r="K67" i="16"/>
  <c r="D67" i="16"/>
  <c r="C67" i="16"/>
  <c r="K66" i="16"/>
  <c r="D66" i="16"/>
  <c r="C66" i="16"/>
  <c r="D65" i="16"/>
  <c r="C65" i="16"/>
  <c r="K65" i="16" s="1"/>
  <c r="D64" i="16"/>
  <c r="C64" i="16"/>
  <c r="K64" i="16" s="1"/>
  <c r="D63" i="16"/>
  <c r="C63" i="16"/>
  <c r="K62" i="16"/>
  <c r="D62" i="16"/>
  <c r="C62" i="16"/>
  <c r="D61" i="16"/>
  <c r="C61" i="16"/>
  <c r="K61" i="16" s="1"/>
  <c r="D60" i="16"/>
  <c r="C60" i="16"/>
  <c r="K60" i="16" s="1"/>
  <c r="D59" i="16"/>
  <c r="C59" i="16"/>
  <c r="K58" i="16"/>
  <c r="D58" i="16"/>
  <c r="C58" i="16"/>
  <c r="D57" i="16"/>
  <c r="C57" i="16"/>
  <c r="K57" i="16" s="1"/>
  <c r="D56" i="16"/>
  <c r="C56" i="16"/>
  <c r="K56" i="16" s="1"/>
  <c r="D55" i="16"/>
  <c r="C55" i="16"/>
  <c r="K54" i="16"/>
  <c r="D54" i="16"/>
  <c r="C54" i="16"/>
  <c r="D53" i="16"/>
  <c r="C53" i="16"/>
  <c r="K53" i="16" s="1"/>
  <c r="K52" i="16"/>
  <c r="D52" i="16"/>
  <c r="C52" i="16"/>
  <c r="K51" i="16"/>
  <c r="D51" i="16"/>
  <c r="C51" i="16"/>
  <c r="K50" i="16"/>
  <c r="D50" i="16"/>
  <c r="C50" i="16"/>
  <c r="D49" i="16"/>
  <c r="C49" i="16"/>
  <c r="K49" i="16" s="1"/>
  <c r="K48" i="16"/>
  <c r="D48" i="16"/>
  <c r="C48" i="16"/>
  <c r="K47" i="16"/>
  <c r="D47" i="16"/>
  <c r="C47" i="16"/>
  <c r="K46" i="16"/>
  <c r="D46" i="16"/>
  <c r="C46" i="16"/>
  <c r="D45" i="16"/>
  <c r="C45" i="16"/>
  <c r="K45" i="16" s="1"/>
  <c r="D44" i="16"/>
  <c r="C44" i="16"/>
  <c r="D43" i="16"/>
  <c r="C43" i="16"/>
  <c r="K42" i="16"/>
  <c r="D42" i="16"/>
  <c r="C42" i="16"/>
  <c r="D41" i="16"/>
  <c r="C41" i="16"/>
  <c r="K41" i="16" s="1"/>
  <c r="D40" i="16"/>
  <c r="C40" i="16"/>
  <c r="K39" i="16" s="1"/>
  <c r="D39" i="16"/>
  <c r="C39" i="16"/>
  <c r="K38" i="16"/>
  <c r="D38" i="16"/>
  <c r="C38" i="16"/>
  <c r="D37" i="16"/>
  <c r="C37" i="16"/>
  <c r="K37" i="16" s="1"/>
  <c r="D36" i="16"/>
  <c r="C36" i="16"/>
  <c r="K35" i="16" s="1"/>
  <c r="D35" i="16"/>
  <c r="C35" i="16"/>
  <c r="K34" i="16"/>
  <c r="D34" i="16"/>
  <c r="C34" i="16"/>
  <c r="D33" i="16"/>
  <c r="C33" i="16"/>
  <c r="K33" i="16" s="1"/>
  <c r="K32" i="16"/>
  <c r="D32" i="16"/>
  <c r="C32" i="16"/>
  <c r="K31" i="16"/>
  <c r="D31" i="16"/>
  <c r="C31" i="16"/>
  <c r="K30" i="16"/>
  <c r="D30" i="16"/>
  <c r="C30" i="16"/>
  <c r="D29" i="16"/>
  <c r="C29" i="16"/>
  <c r="K29" i="16" s="1"/>
  <c r="K28" i="16"/>
  <c r="D28" i="16"/>
  <c r="C28" i="16"/>
  <c r="K27" i="16" s="1"/>
  <c r="D27" i="16"/>
  <c r="C27" i="16"/>
  <c r="K26" i="16"/>
  <c r="D26" i="16"/>
  <c r="C26" i="16"/>
  <c r="D25" i="16"/>
  <c r="C25" i="16"/>
  <c r="K25" i="16" s="1"/>
  <c r="D24" i="16"/>
  <c r="C24" i="16"/>
  <c r="D23" i="16"/>
  <c r="C23" i="16"/>
  <c r="K23" i="16" s="1"/>
  <c r="D22" i="16"/>
  <c r="C22" i="16"/>
  <c r="K22" i="16" s="1"/>
  <c r="D21" i="16"/>
  <c r="C21" i="16"/>
  <c r="D20" i="16"/>
  <c r="C20" i="16"/>
  <c r="K20" i="16" s="1"/>
  <c r="D19" i="16"/>
  <c r="C19" i="16"/>
  <c r="K19" i="16" s="1"/>
  <c r="D18" i="16"/>
  <c r="C18" i="16"/>
  <c r="K17" i="16"/>
  <c r="D17" i="16"/>
  <c r="C17" i="16"/>
  <c r="K16" i="16" s="1"/>
  <c r="D16" i="16"/>
  <c r="C16" i="16"/>
  <c r="D15" i="16"/>
  <c r="C15" i="16"/>
  <c r="K15" i="16" s="1"/>
  <c r="D14" i="16"/>
  <c r="C14" i="16"/>
  <c r="K14" i="16" s="1"/>
  <c r="D13" i="16"/>
  <c r="C13" i="16"/>
  <c r="K13" i="16" s="1"/>
  <c r="D12" i="16"/>
  <c r="C12" i="16"/>
  <c r="D11" i="16"/>
  <c r="C11" i="16"/>
  <c r="K11" i="16" s="1"/>
  <c r="D10" i="16"/>
  <c r="C10" i="16"/>
  <c r="K10" i="16" s="1"/>
  <c r="D9" i="16"/>
  <c r="C9" i="16"/>
  <c r="K9" i="16" s="1"/>
  <c r="D8" i="16"/>
  <c r="C8" i="16"/>
  <c r="D7" i="16"/>
  <c r="C7" i="16"/>
  <c r="D6" i="16"/>
  <c r="C6" i="16"/>
  <c r="D5" i="16"/>
  <c r="C5" i="16"/>
  <c r="K5" i="16" s="1"/>
  <c r="D4" i="16"/>
  <c r="C4" i="16"/>
  <c r="K3" i="16" s="1"/>
  <c r="M3" i="16"/>
  <c r="D3" i="16"/>
  <c r="C3" i="16"/>
  <c r="M2" i="16"/>
  <c r="D2" i="16"/>
  <c r="C2" i="16"/>
  <c r="K2" i="16" s="1"/>
  <c r="M1" i="16"/>
  <c r="D301" i="15"/>
  <c r="C301" i="15"/>
  <c r="K301" i="15" s="1"/>
  <c r="K300" i="15"/>
  <c r="D300" i="15"/>
  <c r="C300" i="15"/>
  <c r="K299" i="15"/>
  <c r="D299" i="15"/>
  <c r="C299" i="15"/>
  <c r="K298" i="15"/>
  <c r="D298" i="15"/>
  <c r="C298" i="15"/>
  <c r="D297" i="15"/>
  <c r="C297" i="15"/>
  <c r="K297" i="15" s="1"/>
  <c r="D296" i="15"/>
  <c r="C296" i="15"/>
  <c r="D295" i="15"/>
  <c r="C295" i="15"/>
  <c r="K294" i="15"/>
  <c r="D294" i="15"/>
  <c r="C294" i="15"/>
  <c r="D293" i="15"/>
  <c r="C293" i="15"/>
  <c r="K293" i="15" s="1"/>
  <c r="D292" i="15"/>
  <c r="C292" i="15"/>
  <c r="K291" i="15" s="1"/>
  <c r="D291" i="15"/>
  <c r="C291" i="15"/>
  <c r="K290" i="15"/>
  <c r="D290" i="15"/>
  <c r="C290" i="15"/>
  <c r="D289" i="15"/>
  <c r="C289" i="15"/>
  <c r="K289" i="15" s="1"/>
  <c r="D288" i="15"/>
  <c r="C288" i="15"/>
  <c r="K287" i="15" s="1"/>
  <c r="D287" i="15"/>
  <c r="C287" i="15"/>
  <c r="K286" i="15"/>
  <c r="D286" i="15"/>
  <c r="C286" i="15"/>
  <c r="D285" i="15"/>
  <c r="C285" i="15"/>
  <c r="K285" i="15" s="1"/>
  <c r="K284" i="15"/>
  <c r="D284" i="15"/>
  <c r="C284" i="15"/>
  <c r="K283" i="15"/>
  <c r="D283" i="15"/>
  <c r="C283" i="15"/>
  <c r="K282" i="15"/>
  <c r="D282" i="15"/>
  <c r="C282" i="15"/>
  <c r="D281" i="15"/>
  <c r="C281" i="15"/>
  <c r="K281" i="15" s="1"/>
  <c r="K280" i="15"/>
  <c r="D280" i="15"/>
  <c r="C280" i="15"/>
  <c r="K279" i="15" s="1"/>
  <c r="D279" i="15"/>
  <c r="C279" i="15"/>
  <c r="K278" i="15"/>
  <c r="D278" i="15"/>
  <c r="C278" i="15"/>
  <c r="D277" i="15"/>
  <c r="C277" i="15"/>
  <c r="D276" i="15"/>
  <c r="C276" i="15"/>
  <c r="K275" i="15"/>
  <c r="D275" i="15"/>
  <c r="C275" i="15"/>
  <c r="K274" i="15"/>
  <c r="D274" i="15"/>
  <c r="C274" i="15"/>
  <c r="D273" i="15"/>
  <c r="C273" i="15"/>
  <c r="K273" i="15" s="1"/>
  <c r="D272" i="15"/>
  <c r="C272" i="15"/>
  <c r="K271" i="15"/>
  <c r="D271" i="15"/>
  <c r="C271" i="15"/>
  <c r="K270" i="15"/>
  <c r="D270" i="15"/>
  <c r="C270" i="15"/>
  <c r="D269" i="15"/>
  <c r="C269" i="15"/>
  <c r="K269" i="15" s="1"/>
  <c r="D268" i="15"/>
  <c r="C268" i="15"/>
  <c r="K268" i="15" s="1"/>
  <c r="D267" i="15"/>
  <c r="C267" i="15"/>
  <c r="K266" i="15"/>
  <c r="D266" i="15"/>
  <c r="C266" i="15"/>
  <c r="D265" i="15"/>
  <c r="C265" i="15"/>
  <c r="K265" i="15" s="1"/>
  <c r="D264" i="15"/>
  <c r="C264" i="15"/>
  <c r="K264" i="15" s="1"/>
  <c r="D263" i="15"/>
  <c r="C263" i="15"/>
  <c r="K262" i="15"/>
  <c r="D262" i="15"/>
  <c r="C262" i="15"/>
  <c r="D261" i="15"/>
  <c r="C261" i="15"/>
  <c r="K261" i="15" s="1"/>
  <c r="D260" i="15"/>
  <c r="C260" i="15"/>
  <c r="K260" i="15" s="1"/>
  <c r="D259" i="15"/>
  <c r="C259" i="15"/>
  <c r="K258" i="15"/>
  <c r="D258" i="15"/>
  <c r="C258" i="15"/>
  <c r="D257" i="15"/>
  <c r="C257" i="15"/>
  <c r="K257" i="15" s="1"/>
  <c r="K256" i="15"/>
  <c r="D256" i="15"/>
  <c r="C256" i="15"/>
  <c r="K255" i="15"/>
  <c r="D255" i="15"/>
  <c r="C255" i="15"/>
  <c r="K254" i="15"/>
  <c r="D254" i="15"/>
  <c r="C254" i="15"/>
  <c r="D253" i="15"/>
  <c r="C253" i="15"/>
  <c r="K253" i="15" s="1"/>
  <c r="K252" i="15"/>
  <c r="D252" i="15"/>
  <c r="C252" i="15"/>
  <c r="K251" i="15"/>
  <c r="D251" i="15"/>
  <c r="C251" i="15"/>
  <c r="K250" i="15"/>
  <c r="D250" i="15"/>
  <c r="C250" i="15"/>
  <c r="D249" i="15"/>
  <c r="C249" i="15"/>
  <c r="K249" i="15" s="1"/>
  <c r="D248" i="15"/>
  <c r="C248" i="15"/>
  <c r="D247" i="15"/>
  <c r="C247" i="15"/>
  <c r="K246" i="15"/>
  <c r="D246" i="15"/>
  <c r="C246" i="15"/>
  <c r="D245" i="15"/>
  <c r="C245" i="15"/>
  <c r="K245" i="15" s="1"/>
  <c r="D244" i="15"/>
  <c r="C244" i="15"/>
  <c r="D243" i="15"/>
  <c r="C243" i="15"/>
  <c r="K242" i="15"/>
  <c r="D242" i="15"/>
  <c r="C242" i="15"/>
  <c r="D241" i="15"/>
  <c r="C241" i="15"/>
  <c r="K241" i="15" s="1"/>
  <c r="K240" i="15"/>
  <c r="D240" i="15"/>
  <c r="C240" i="15"/>
  <c r="D239" i="15"/>
  <c r="C239" i="15"/>
  <c r="K239" i="15" s="1"/>
  <c r="K238" i="15"/>
  <c r="D238" i="15"/>
  <c r="C238" i="15"/>
  <c r="D237" i="15"/>
  <c r="C237" i="15"/>
  <c r="K237" i="15" s="1"/>
  <c r="D236" i="15"/>
  <c r="C236" i="15"/>
  <c r="D235" i="15"/>
  <c r="C235" i="15"/>
  <c r="K235" i="15" s="1"/>
  <c r="D234" i="15"/>
  <c r="C234" i="15"/>
  <c r="D233" i="15"/>
  <c r="C233" i="15"/>
  <c r="K233" i="15" s="1"/>
  <c r="D232" i="15"/>
  <c r="C232" i="15"/>
  <c r="K232" i="15" s="1"/>
  <c r="K231" i="15"/>
  <c r="D231" i="15"/>
  <c r="C231" i="15"/>
  <c r="K230" i="15" s="1"/>
  <c r="D230" i="15"/>
  <c r="C230" i="15"/>
  <c r="D229" i="15"/>
  <c r="C229" i="15"/>
  <c r="K229" i="15" s="1"/>
  <c r="K228" i="15"/>
  <c r="D228" i="15"/>
  <c r="C228" i="15"/>
  <c r="D227" i="15"/>
  <c r="C227" i="15"/>
  <c r="K227" i="15" s="1"/>
  <c r="K226" i="15"/>
  <c r="D226" i="15"/>
  <c r="C226" i="15"/>
  <c r="D225" i="15"/>
  <c r="C225" i="15"/>
  <c r="K225" i="15" s="1"/>
  <c r="K224" i="15"/>
  <c r="D224" i="15"/>
  <c r="C224" i="15"/>
  <c r="D223" i="15"/>
  <c r="C223" i="15"/>
  <c r="K223" i="15" s="1"/>
  <c r="K222" i="15"/>
  <c r="D222" i="15"/>
  <c r="C222" i="15"/>
  <c r="D221" i="15"/>
  <c r="C221" i="15"/>
  <c r="K221" i="15" s="1"/>
  <c r="K220" i="15"/>
  <c r="D220" i="15"/>
  <c r="C220" i="15"/>
  <c r="K219" i="15"/>
  <c r="D219" i="15"/>
  <c r="C219" i="15"/>
  <c r="K218" i="15"/>
  <c r="D218" i="15"/>
  <c r="C218" i="15"/>
  <c r="D217" i="15"/>
  <c r="C217" i="15"/>
  <c r="K217" i="15" s="1"/>
  <c r="D216" i="15"/>
  <c r="C216" i="15"/>
  <c r="K216" i="15" s="1"/>
  <c r="K215" i="15"/>
  <c r="D215" i="15"/>
  <c r="C215" i="15"/>
  <c r="K214" i="15" s="1"/>
  <c r="D214" i="15"/>
  <c r="C214" i="15"/>
  <c r="D213" i="15"/>
  <c r="C213" i="15"/>
  <c r="K213" i="15" s="1"/>
  <c r="D212" i="15"/>
  <c r="C212" i="15"/>
  <c r="D211" i="15"/>
  <c r="C211" i="15"/>
  <c r="K211" i="15" s="1"/>
  <c r="D210" i="15"/>
  <c r="C210" i="15"/>
  <c r="D209" i="15"/>
  <c r="C209" i="15"/>
  <c r="K209" i="15" s="1"/>
  <c r="K208" i="15"/>
  <c r="D208" i="15"/>
  <c r="C208" i="15"/>
  <c r="D207" i="15"/>
  <c r="C207" i="15"/>
  <c r="K207" i="15" s="1"/>
  <c r="K206" i="15"/>
  <c r="D206" i="15"/>
  <c r="C206" i="15"/>
  <c r="D205" i="15"/>
  <c r="C205" i="15"/>
  <c r="K205" i="15" s="1"/>
  <c r="D204" i="15"/>
  <c r="C204" i="15"/>
  <c r="K204" i="15" s="1"/>
  <c r="D203" i="15"/>
  <c r="C203" i="15"/>
  <c r="D202" i="15"/>
  <c r="C202" i="15"/>
  <c r="D201" i="15"/>
  <c r="C201" i="15"/>
  <c r="K201" i="15" s="1"/>
  <c r="D200" i="15"/>
  <c r="C200" i="15"/>
  <c r="D199" i="15"/>
  <c r="C199" i="15"/>
  <c r="K199" i="15" s="1"/>
  <c r="K198" i="15"/>
  <c r="D198" i="15"/>
  <c r="C198" i="15"/>
  <c r="D197" i="15"/>
  <c r="C197" i="15"/>
  <c r="D196" i="15"/>
  <c r="C196" i="15"/>
  <c r="D195" i="15"/>
  <c r="C195" i="15"/>
  <c r="D194" i="15"/>
  <c r="C194" i="15"/>
  <c r="K194" i="15" s="1"/>
  <c r="K193" i="15"/>
  <c r="D193" i="15"/>
  <c r="C193" i="15"/>
  <c r="D192" i="15"/>
  <c r="C192" i="15"/>
  <c r="K192" i="15" s="1"/>
  <c r="K191" i="15"/>
  <c r="D191" i="15"/>
  <c r="C191" i="15"/>
  <c r="D190" i="15"/>
  <c r="C190" i="15"/>
  <c r="K190" i="15" s="1"/>
  <c r="K189" i="15"/>
  <c r="D189" i="15"/>
  <c r="C189" i="15"/>
  <c r="D188" i="15"/>
  <c r="C188" i="15"/>
  <c r="K188" i="15" s="1"/>
  <c r="K187" i="15"/>
  <c r="D187" i="15"/>
  <c r="C187" i="15"/>
  <c r="D186" i="15"/>
  <c r="C186" i="15"/>
  <c r="K186" i="15" s="1"/>
  <c r="K185" i="15"/>
  <c r="D185" i="15"/>
  <c r="C185" i="15"/>
  <c r="D184" i="15"/>
  <c r="C184" i="15"/>
  <c r="K184" i="15" s="1"/>
  <c r="K183" i="15"/>
  <c r="D183" i="15"/>
  <c r="C183" i="15"/>
  <c r="D182" i="15"/>
  <c r="C182" i="15"/>
  <c r="K182" i="15" s="1"/>
  <c r="D181" i="15"/>
  <c r="C181" i="15"/>
  <c r="D180" i="15"/>
  <c r="C180" i="15"/>
  <c r="K180" i="15" s="1"/>
  <c r="D179" i="15"/>
  <c r="C179" i="15"/>
  <c r="D178" i="15"/>
  <c r="C178" i="15"/>
  <c r="K178" i="15" s="1"/>
  <c r="D177" i="15"/>
  <c r="C177" i="15"/>
  <c r="D176" i="15"/>
  <c r="C176" i="15"/>
  <c r="K176" i="15" s="1"/>
  <c r="D175" i="15"/>
  <c r="C175" i="15"/>
  <c r="D174" i="15"/>
  <c r="C174" i="15"/>
  <c r="D173" i="15"/>
  <c r="C173" i="15"/>
  <c r="D172" i="15"/>
  <c r="C172" i="15"/>
  <c r="D171" i="15"/>
  <c r="C171" i="15"/>
  <c r="D170" i="15"/>
  <c r="C170" i="15"/>
  <c r="K170" i="15" s="1"/>
  <c r="K169" i="15"/>
  <c r="D169" i="15"/>
  <c r="C169" i="15"/>
  <c r="D168" i="15"/>
  <c r="C168" i="15"/>
  <c r="K168" i="15" s="1"/>
  <c r="K167" i="15"/>
  <c r="D167" i="15"/>
  <c r="C167" i="15"/>
  <c r="D166" i="15"/>
  <c r="C166" i="15"/>
  <c r="K166" i="15" s="1"/>
  <c r="K165" i="15"/>
  <c r="D165" i="15"/>
  <c r="C165" i="15"/>
  <c r="D164" i="15"/>
  <c r="C164" i="15"/>
  <c r="K164" i="15" s="1"/>
  <c r="K163" i="15"/>
  <c r="D163" i="15"/>
  <c r="C163" i="15"/>
  <c r="D162" i="15"/>
  <c r="C162" i="15"/>
  <c r="K162" i="15" s="1"/>
  <c r="K161" i="15"/>
  <c r="D161" i="15"/>
  <c r="C161" i="15"/>
  <c r="D160" i="15"/>
  <c r="C160" i="15"/>
  <c r="K160" i="15" s="1"/>
  <c r="K159" i="15"/>
  <c r="D159" i="15"/>
  <c r="C159" i="15"/>
  <c r="D158" i="15"/>
  <c r="C158" i="15"/>
  <c r="K158" i="15" s="1"/>
  <c r="D157" i="15"/>
  <c r="C157" i="15"/>
  <c r="D156" i="15"/>
  <c r="C156" i="15"/>
  <c r="K156" i="15" s="1"/>
  <c r="D155" i="15"/>
  <c r="C155" i="15"/>
  <c r="D154" i="15"/>
  <c r="C154" i="15"/>
  <c r="K154" i="15" s="1"/>
  <c r="D153" i="15"/>
  <c r="C153" i="15"/>
  <c r="D152" i="15"/>
  <c r="C152" i="15"/>
  <c r="K152" i="15" s="1"/>
  <c r="D151" i="15"/>
  <c r="C151" i="15"/>
  <c r="D150" i="15"/>
  <c r="C150" i="15"/>
  <c r="D149" i="15"/>
  <c r="C149" i="15"/>
  <c r="D148" i="15"/>
  <c r="C148" i="15"/>
  <c r="D147" i="15"/>
  <c r="C147" i="15"/>
  <c r="D146" i="15"/>
  <c r="C146" i="15"/>
  <c r="K146" i="15" s="1"/>
  <c r="K145" i="15"/>
  <c r="D145" i="15"/>
  <c r="C145" i="15"/>
  <c r="D144" i="15"/>
  <c r="C144" i="15"/>
  <c r="K144" i="15" s="1"/>
  <c r="K143" i="15"/>
  <c r="D143" i="15"/>
  <c r="C143" i="15"/>
  <c r="D142" i="15"/>
  <c r="C142" i="15"/>
  <c r="K142" i="15" s="1"/>
  <c r="K141" i="15"/>
  <c r="D141" i="15"/>
  <c r="C141" i="15"/>
  <c r="D140" i="15"/>
  <c r="C140" i="15"/>
  <c r="K140" i="15" s="1"/>
  <c r="K139" i="15"/>
  <c r="D139" i="15"/>
  <c r="C139" i="15"/>
  <c r="D138" i="15"/>
  <c r="C138" i="15"/>
  <c r="K138" i="15" s="1"/>
  <c r="K137" i="15"/>
  <c r="D137" i="15"/>
  <c r="C137" i="15"/>
  <c r="D136" i="15"/>
  <c r="C136" i="15"/>
  <c r="K136" i="15" s="1"/>
  <c r="K135" i="15"/>
  <c r="D135" i="15"/>
  <c r="C135" i="15"/>
  <c r="D134" i="15"/>
  <c r="C134" i="15"/>
  <c r="K134" i="15" s="1"/>
  <c r="D133" i="15"/>
  <c r="C133" i="15"/>
  <c r="D132" i="15"/>
  <c r="C132" i="15"/>
  <c r="K132" i="15" s="1"/>
  <c r="D131" i="15"/>
  <c r="C131" i="15"/>
  <c r="D130" i="15"/>
  <c r="C130" i="15"/>
  <c r="K130" i="15" s="1"/>
  <c r="D129" i="15"/>
  <c r="C129" i="15"/>
  <c r="D128" i="15"/>
  <c r="C128" i="15"/>
  <c r="K128" i="15" s="1"/>
  <c r="D127" i="15"/>
  <c r="C127" i="15"/>
  <c r="D126" i="15"/>
  <c r="C126" i="15"/>
  <c r="D125" i="15"/>
  <c r="C125" i="15"/>
  <c r="D124" i="15"/>
  <c r="C124" i="15"/>
  <c r="D123" i="15"/>
  <c r="C123" i="15"/>
  <c r="D122" i="15"/>
  <c r="C122" i="15"/>
  <c r="K122" i="15" s="1"/>
  <c r="K121" i="15"/>
  <c r="D121" i="15"/>
  <c r="C121" i="15"/>
  <c r="D120" i="15"/>
  <c r="C120" i="15"/>
  <c r="K120" i="15" s="1"/>
  <c r="K119" i="15"/>
  <c r="D119" i="15"/>
  <c r="C119" i="15"/>
  <c r="D118" i="15"/>
  <c r="C118" i="15"/>
  <c r="K118" i="15" s="1"/>
  <c r="K117" i="15"/>
  <c r="D117" i="15"/>
  <c r="C117" i="15"/>
  <c r="D116" i="15"/>
  <c r="C116" i="15"/>
  <c r="K116" i="15" s="1"/>
  <c r="K115" i="15"/>
  <c r="D115" i="15"/>
  <c r="C115" i="15"/>
  <c r="D114" i="15"/>
  <c r="C114" i="15"/>
  <c r="K114" i="15" s="1"/>
  <c r="K113" i="15"/>
  <c r="D113" i="15"/>
  <c r="C113" i="15"/>
  <c r="D112" i="15"/>
  <c r="C112" i="15"/>
  <c r="K112" i="15" s="1"/>
  <c r="K111" i="15"/>
  <c r="D111" i="15"/>
  <c r="C111" i="15"/>
  <c r="D110" i="15"/>
  <c r="C110" i="15"/>
  <c r="K110" i="15" s="1"/>
  <c r="D109" i="15"/>
  <c r="C109" i="15"/>
  <c r="D108" i="15"/>
  <c r="C108" i="15"/>
  <c r="K108" i="15" s="1"/>
  <c r="D107" i="15"/>
  <c r="C107" i="15"/>
  <c r="D106" i="15"/>
  <c r="C106" i="15"/>
  <c r="K106" i="15" s="1"/>
  <c r="D105" i="15"/>
  <c r="C105" i="15"/>
  <c r="D104" i="15"/>
  <c r="C104" i="15"/>
  <c r="K104" i="15" s="1"/>
  <c r="D103" i="15"/>
  <c r="C103" i="15"/>
  <c r="D102" i="15"/>
  <c r="C102" i="15"/>
  <c r="D101" i="15"/>
  <c r="C101" i="15"/>
  <c r="D100" i="15"/>
  <c r="C100" i="15"/>
  <c r="D99" i="15"/>
  <c r="C99" i="15"/>
  <c r="D98" i="15"/>
  <c r="C98" i="15"/>
  <c r="K98" i="15" s="1"/>
  <c r="K97" i="15"/>
  <c r="D97" i="15"/>
  <c r="C97" i="15"/>
  <c r="D96" i="15"/>
  <c r="C96" i="15"/>
  <c r="K96" i="15" s="1"/>
  <c r="K95" i="15"/>
  <c r="D95" i="15"/>
  <c r="C95" i="15"/>
  <c r="D94" i="15"/>
  <c r="C94" i="15"/>
  <c r="K94" i="15" s="1"/>
  <c r="K93" i="15"/>
  <c r="D93" i="15"/>
  <c r="C93" i="15"/>
  <c r="D92" i="15"/>
  <c r="C92" i="15"/>
  <c r="K92" i="15" s="1"/>
  <c r="K91" i="15"/>
  <c r="D91" i="15"/>
  <c r="C91" i="15"/>
  <c r="D90" i="15"/>
  <c r="C90" i="15"/>
  <c r="K90" i="15" s="1"/>
  <c r="K89" i="15"/>
  <c r="D89" i="15"/>
  <c r="C89" i="15"/>
  <c r="D88" i="15"/>
  <c r="C88" i="15"/>
  <c r="K88" i="15" s="1"/>
  <c r="K87" i="15"/>
  <c r="D87" i="15"/>
  <c r="C87" i="15"/>
  <c r="D86" i="15"/>
  <c r="C86" i="15"/>
  <c r="K86" i="15" s="1"/>
  <c r="K85" i="15"/>
  <c r="D85" i="15"/>
  <c r="C85" i="15"/>
  <c r="D84" i="15"/>
  <c r="C84" i="15"/>
  <c r="K84" i="15" s="1"/>
  <c r="K83" i="15"/>
  <c r="D83" i="15"/>
  <c r="C83" i="15"/>
  <c r="D82" i="15"/>
  <c r="C82" i="15"/>
  <c r="K82" i="15" s="1"/>
  <c r="K81" i="15"/>
  <c r="D81" i="15"/>
  <c r="C81" i="15"/>
  <c r="D80" i="15"/>
  <c r="C80" i="15"/>
  <c r="K80" i="15" s="1"/>
  <c r="K79" i="15"/>
  <c r="D79" i="15"/>
  <c r="C79" i="15"/>
  <c r="D78" i="15"/>
  <c r="C78" i="15"/>
  <c r="K78" i="15" s="1"/>
  <c r="K77" i="15"/>
  <c r="D77" i="15"/>
  <c r="C77" i="15"/>
  <c r="D76" i="15"/>
  <c r="C76" i="15"/>
  <c r="K76" i="15" s="1"/>
  <c r="K75" i="15"/>
  <c r="D75" i="15"/>
  <c r="C75" i="15"/>
  <c r="D74" i="15"/>
  <c r="C74" i="15"/>
  <c r="K74" i="15" s="1"/>
  <c r="K73" i="15"/>
  <c r="D73" i="15"/>
  <c r="C73" i="15"/>
  <c r="D72" i="15"/>
  <c r="C72" i="15"/>
  <c r="K72" i="15" s="1"/>
  <c r="K71" i="15"/>
  <c r="D71" i="15"/>
  <c r="C71" i="15"/>
  <c r="D70" i="15"/>
  <c r="C70" i="15"/>
  <c r="K70" i="15" s="1"/>
  <c r="K69" i="15"/>
  <c r="D69" i="15"/>
  <c r="C69" i="15"/>
  <c r="D68" i="15"/>
  <c r="C68" i="15"/>
  <c r="K67" i="15"/>
  <c r="D67" i="15"/>
  <c r="C67" i="15"/>
  <c r="D66" i="15"/>
  <c r="C66" i="15"/>
  <c r="K66" i="15" s="1"/>
  <c r="D65" i="15"/>
  <c r="C65" i="15"/>
  <c r="K65" i="15" s="1"/>
  <c r="D64" i="15"/>
  <c r="C64" i="15"/>
  <c r="K63" i="15" s="1"/>
  <c r="D63" i="15"/>
  <c r="C63" i="15"/>
  <c r="K62" i="15"/>
  <c r="D62" i="15"/>
  <c r="C62" i="15"/>
  <c r="K61" i="15"/>
  <c r="D61" i="15"/>
  <c r="C61" i="15"/>
  <c r="D60" i="15"/>
  <c r="C60" i="15"/>
  <c r="K60" i="15" s="1"/>
  <c r="D59" i="15"/>
  <c r="C59" i="15"/>
  <c r="K58" i="15"/>
  <c r="D58" i="15"/>
  <c r="C58" i="15"/>
  <c r="K57" i="15"/>
  <c r="D57" i="15"/>
  <c r="C57" i="15"/>
  <c r="D56" i="15"/>
  <c r="C56" i="15"/>
  <c r="K56" i="15" s="1"/>
  <c r="K55" i="15"/>
  <c r="D55" i="15"/>
  <c r="C55" i="15"/>
  <c r="D54" i="15"/>
  <c r="C54" i="15"/>
  <c r="D53" i="15"/>
  <c r="C53" i="15"/>
  <c r="D52" i="15"/>
  <c r="C52" i="15"/>
  <c r="K51" i="15"/>
  <c r="D51" i="15"/>
  <c r="C51" i="15"/>
  <c r="D50" i="15"/>
  <c r="C50" i="15"/>
  <c r="K50" i="15" s="1"/>
  <c r="D49" i="15"/>
  <c r="C49" i="15"/>
  <c r="K49" i="15" s="1"/>
  <c r="D48" i="15"/>
  <c r="C48" i="15"/>
  <c r="K47" i="15"/>
  <c r="D47" i="15"/>
  <c r="C47" i="15"/>
  <c r="K46" i="15"/>
  <c r="D46" i="15"/>
  <c r="C46" i="15"/>
  <c r="K45" i="15"/>
  <c r="D45" i="15"/>
  <c r="C45" i="15"/>
  <c r="D44" i="15"/>
  <c r="C44" i="15"/>
  <c r="K44" i="15" s="1"/>
  <c r="D43" i="15"/>
  <c r="C43" i="15"/>
  <c r="K42" i="15"/>
  <c r="D42" i="15"/>
  <c r="C42" i="15"/>
  <c r="K41" i="15"/>
  <c r="D41" i="15"/>
  <c r="C41" i="15"/>
  <c r="D40" i="15"/>
  <c r="C40" i="15"/>
  <c r="K40" i="15" s="1"/>
  <c r="K39" i="15"/>
  <c r="D39" i="15"/>
  <c r="C39" i="15"/>
  <c r="D38" i="15"/>
  <c r="C38" i="15"/>
  <c r="D37" i="15"/>
  <c r="C37" i="15"/>
  <c r="D36" i="15"/>
  <c r="C36" i="15"/>
  <c r="K36" i="15" s="1"/>
  <c r="D35" i="15"/>
  <c r="C35" i="15"/>
  <c r="K34" i="15"/>
  <c r="D34" i="15"/>
  <c r="C34" i="15"/>
  <c r="K33" i="15"/>
  <c r="D33" i="15"/>
  <c r="C33" i="15"/>
  <c r="D32" i="15"/>
  <c r="C32" i="15"/>
  <c r="K31" i="15"/>
  <c r="D31" i="15"/>
  <c r="C31" i="15"/>
  <c r="D30" i="15"/>
  <c r="C30" i="15"/>
  <c r="D29" i="15"/>
  <c r="C29" i="15"/>
  <c r="D28" i="15"/>
  <c r="C28" i="15"/>
  <c r="K28" i="15" s="1"/>
  <c r="D27" i="15"/>
  <c r="C27" i="15"/>
  <c r="K26" i="15"/>
  <c r="D26" i="15"/>
  <c r="C26" i="15"/>
  <c r="D25" i="15"/>
  <c r="C25" i="15"/>
  <c r="K25" i="15" s="1"/>
  <c r="D24" i="15"/>
  <c r="C24" i="15"/>
  <c r="K24" i="15" s="1"/>
  <c r="D23" i="15"/>
  <c r="C23" i="15"/>
  <c r="K23" i="15" s="1"/>
  <c r="D22" i="15"/>
  <c r="C22" i="15"/>
  <c r="K21" i="15"/>
  <c r="D21" i="15"/>
  <c r="C21" i="15"/>
  <c r="D20" i="15"/>
  <c r="C20" i="15"/>
  <c r="K20" i="15" s="1"/>
  <c r="K19" i="15"/>
  <c r="D19" i="15"/>
  <c r="C19" i="15"/>
  <c r="D18" i="15"/>
  <c r="C18" i="15"/>
  <c r="K18" i="15" s="1"/>
  <c r="D17" i="15"/>
  <c r="C17" i="15"/>
  <c r="D16" i="15"/>
  <c r="C16" i="15"/>
  <c r="D15" i="15"/>
  <c r="C15" i="15"/>
  <c r="K15" i="15" s="1"/>
  <c r="D14" i="15"/>
  <c r="C14" i="15"/>
  <c r="K14" i="15" s="1"/>
  <c r="D13" i="15"/>
  <c r="C13" i="15"/>
  <c r="D12" i="15"/>
  <c r="C12" i="15"/>
  <c r="K12" i="15" s="1"/>
  <c r="K11" i="15"/>
  <c r="D11" i="15"/>
  <c r="C11" i="15"/>
  <c r="D10" i="15"/>
  <c r="C10" i="15"/>
  <c r="K9" i="15"/>
  <c r="D9" i="15"/>
  <c r="C9" i="15"/>
  <c r="D8" i="15"/>
  <c r="C8" i="15"/>
  <c r="K8" i="15" s="1"/>
  <c r="D7" i="15"/>
  <c r="C7" i="15"/>
  <c r="K7" i="15" s="1"/>
  <c r="D6" i="15"/>
  <c r="C6" i="15"/>
  <c r="K5" i="15"/>
  <c r="D5" i="15"/>
  <c r="C5" i="15"/>
  <c r="D4" i="15"/>
  <c r="C4" i="15"/>
  <c r="M3" i="15"/>
  <c r="D3" i="15"/>
  <c r="C3" i="15"/>
  <c r="K3" i="15" s="1"/>
  <c r="M2" i="15"/>
  <c r="D2" i="15"/>
  <c r="C2" i="15"/>
  <c r="K2" i="15" s="1"/>
  <c r="M1" i="15"/>
  <c r="D301" i="14"/>
  <c r="C301" i="14"/>
  <c r="K301" i="14" s="1"/>
  <c r="D300" i="14"/>
  <c r="C300" i="14"/>
  <c r="K299" i="14"/>
  <c r="D299" i="14"/>
  <c r="C299" i="14"/>
  <c r="D298" i="14"/>
  <c r="C298" i="14"/>
  <c r="K298" i="14" s="1"/>
  <c r="D297" i="14"/>
  <c r="C297" i="14"/>
  <c r="D296" i="14"/>
  <c r="C296" i="14"/>
  <c r="K295" i="14"/>
  <c r="D295" i="14"/>
  <c r="C295" i="14"/>
  <c r="D294" i="14"/>
  <c r="C294" i="14"/>
  <c r="K294" i="14" s="1"/>
  <c r="D293" i="14"/>
  <c r="C293" i="14"/>
  <c r="K292" i="14"/>
  <c r="D292" i="14"/>
  <c r="C292" i="14"/>
  <c r="K291" i="14"/>
  <c r="D291" i="14"/>
  <c r="C291" i="14"/>
  <c r="D290" i="14"/>
  <c r="C290" i="14"/>
  <c r="K290" i="14" s="1"/>
  <c r="D289" i="14"/>
  <c r="C289" i="14"/>
  <c r="K288" i="14" s="1"/>
  <c r="D288" i="14"/>
  <c r="C288" i="14"/>
  <c r="D287" i="14"/>
  <c r="C287" i="14"/>
  <c r="K287" i="14" s="1"/>
  <c r="D286" i="14"/>
  <c r="C286" i="14"/>
  <c r="K286" i="14" s="1"/>
  <c r="D285" i="14"/>
  <c r="C285" i="14"/>
  <c r="K285" i="14" s="1"/>
  <c r="K284" i="14"/>
  <c r="D284" i="14"/>
  <c r="C284" i="14"/>
  <c r="D283" i="14"/>
  <c r="C283" i="14"/>
  <c r="K283" i="14" s="1"/>
  <c r="D282" i="14"/>
  <c r="C282" i="14"/>
  <c r="K282" i="14" s="1"/>
  <c r="D281" i="14"/>
  <c r="C281" i="14"/>
  <c r="D280" i="14"/>
  <c r="C280" i="14"/>
  <c r="D279" i="14"/>
  <c r="C279" i="14"/>
  <c r="K279" i="14" s="1"/>
  <c r="D278" i="14"/>
  <c r="C278" i="14"/>
  <c r="K278" i="14" s="1"/>
  <c r="D277" i="14"/>
  <c r="C277" i="14"/>
  <c r="K276" i="14"/>
  <c r="D276" i="14"/>
  <c r="C276" i="14"/>
  <c r="D275" i="14"/>
  <c r="C275" i="14"/>
  <c r="K275" i="14" s="1"/>
  <c r="D274" i="14"/>
  <c r="C274" i="14"/>
  <c r="K274" i="14" s="1"/>
  <c r="D273" i="14"/>
  <c r="C273" i="14"/>
  <c r="K272" i="14" s="1"/>
  <c r="D272" i="14"/>
  <c r="C272" i="14"/>
  <c r="D271" i="14"/>
  <c r="C271" i="14"/>
  <c r="K271" i="14" s="1"/>
  <c r="D270" i="14"/>
  <c r="C270" i="14"/>
  <c r="K270" i="14" s="1"/>
  <c r="D269" i="14"/>
  <c r="C269" i="14"/>
  <c r="K269" i="14" s="1"/>
  <c r="K268" i="14"/>
  <c r="D268" i="14"/>
  <c r="C268" i="14"/>
  <c r="D267" i="14"/>
  <c r="C267" i="14"/>
  <c r="K267" i="14" s="1"/>
  <c r="D266" i="14"/>
  <c r="C266" i="14"/>
  <c r="K266" i="14" s="1"/>
  <c r="D265" i="14"/>
  <c r="C265" i="14"/>
  <c r="K265" i="14" s="1"/>
  <c r="D264" i="14"/>
  <c r="C264" i="14"/>
  <c r="D263" i="14"/>
  <c r="C263" i="14"/>
  <c r="K263" i="14" s="1"/>
  <c r="D262" i="14"/>
  <c r="C262" i="14"/>
  <c r="K262" i="14" s="1"/>
  <c r="D261" i="14"/>
  <c r="C261" i="14"/>
  <c r="K260" i="14"/>
  <c r="D260" i="14"/>
  <c r="C260" i="14"/>
  <c r="D259" i="14"/>
  <c r="C259" i="14"/>
  <c r="K259" i="14" s="1"/>
  <c r="D258" i="14"/>
  <c r="C258" i="14"/>
  <c r="K258" i="14" s="1"/>
  <c r="D257" i="14"/>
  <c r="C257" i="14"/>
  <c r="K256" i="14" s="1"/>
  <c r="D256" i="14"/>
  <c r="C256" i="14"/>
  <c r="D255" i="14"/>
  <c r="C255" i="14"/>
  <c r="K255" i="14" s="1"/>
  <c r="D254" i="14"/>
  <c r="C254" i="14"/>
  <c r="K254" i="14" s="1"/>
  <c r="D253" i="14"/>
  <c r="C253" i="14"/>
  <c r="K253" i="14" s="1"/>
  <c r="K252" i="14"/>
  <c r="D252" i="14"/>
  <c r="C252" i="14"/>
  <c r="D251" i="14"/>
  <c r="C251" i="14"/>
  <c r="K251" i="14" s="1"/>
  <c r="D250" i="14"/>
  <c r="C250" i="14"/>
  <c r="K250" i="14" s="1"/>
  <c r="D249" i="14"/>
  <c r="C249" i="14"/>
  <c r="K249" i="14" s="1"/>
  <c r="D248" i="14"/>
  <c r="C248" i="14"/>
  <c r="D247" i="14"/>
  <c r="C247" i="14"/>
  <c r="K247" i="14" s="1"/>
  <c r="D246" i="14"/>
  <c r="C246" i="14"/>
  <c r="K246" i="14" s="1"/>
  <c r="D245" i="14"/>
  <c r="C245" i="14"/>
  <c r="K244" i="14"/>
  <c r="D244" i="14"/>
  <c r="C244" i="14"/>
  <c r="D243" i="14"/>
  <c r="C243" i="14"/>
  <c r="K243" i="14" s="1"/>
  <c r="D242" i="14"/>
  <c r="C242" i="14"/>
  <c r="K242" i="14" s="1"/>
  <c r="D241" i="14"/>
  <c r="C241" i="14"/>
  <c r="K240" i="14" s="1"/>
  <c r="D240" i="14"/>
  <c r="C240" i="14"/>
  <c r="D239" i="14"/>
  <c r="C239" i="14"/>
  <c r="K239" i="14" s="1"/>
  <c r="D238" i="14"/>
  <c r="C238" i="14"/>
  <c r="K238" i="14" s="1"/>
  <c r="D237" i="14"/>
  <c r="C237" i="14"/>
  <c r="K237" i="14" s="1"/>
  <c r="K236" i="14"/>
  <c r="D236" i="14"/>
  <c r="C236" i="14"/>
  <c r="D235" i="14"/>
  <c r="C235" i="14"/>
  <c r="K235" i="14" s="1"/>
  <c r="D234" i="14"/>
  <c r="C234" i="14"/>
  <c r="K234" i="14" s="1"/>
  <c r="D233" i="14"/>
  <c r="C233" i="14"/>
  <c r="D232" i="14"/>
  <c r="C232" i="14"/>
  <c r="D231" i="14"/>
  <c r="C231" i="14"/>
  <c r="K231" i="14" s="1"/>
  <c r="D230" i="14"/>
  <c r="C230" i="14"/>
  <c r="K230" i="14" s="1"/>
  <c r="D229" i="14"/>
  <c r="C229" i="14"/>
  <c r="K228" i="14"/>
  <c r="D228" i="14"/>
  <c r="C228" i="14"/>
  <c r="D227" i="14"/>
  <c r="C227" i="14"/>
  <c r="K227" i="14" s="1"/>
  <c r="D226" i="14"/>
  <c r="C226" i="14"/>
  <c r="K226" i="14" s="1"/>
  <c r="D225" i="14"/>
  <c r="C225" i="14"/>
  <c r="K224" i="14"/>
  <c r="D224" i="14"/>
  <c r="C224" i="14"/>
  <c r="D223" i="14"/>
  <c r="C223" i="14"/>
  <c r="K223" i="14" s="1"/>
  <c r="D222" i="14"/>
  <c r="C222" i="14"/>
  <c r="K222" i="14" s="1"/>
  <c r="D221" i="14"/>
  <c r="C221" i="14"/>
  <c r="K221" i="14" s="1"/>
  <c r="K220" i="14"/>
  <c r="D220" i="14"/>
  <c r="C220" i="14"/>
  <c r="K219" i="14"/>
  <c r="D219" i="14"/>
  <c r="C219" i="14"/>
  <c r="K218" i="14"/>
  <c r="D218" i="14"/>
  <c r="C218" i="14"/>
  <c r="D217" i="14"/>
  <c r="C217" i="14"/>
  <c r="D216" i="14"/>
  <c r="C216" i="14"/>
  <c r="D215" i="14"/>
  <c r="C215" i="14"/>
  <c r="K215" i="14" s="1"/>
  <c r="D214" i="14"/>
  <c r="C214" i="14"/>
  <c r="K214" i="14" s="1"/>
  <c r="D213" i="14"/>
  <c r="C213" i="14"/>
  <c r="K212" i="14" s="1"/>
  <c r="D212" i="14"/>
  <c r="C212" i="14"/>
  <c r="D211" i="14"/>
  <c r="C211" i="14"/>
  <c r="K211" i="14" s="1"/>
  <c r="K210" i="14"/>
  <c r="D210" i="14"/>
  <c r="C210" i="14"/>
  <c r="D209" i="14"/>
  <c r="C209" i="14"/>
  <c r="K209" i="14" s="1"/>
  <c r="K208" i="14"/>
  <c r="D208" i="14"/>
  <c r="C208" i="14"/>
  <c r="D207" i="14"/>
  <c r="C207" i="14"/>
  <c r="K207" i="14" s="1"/>
  <c r="D206" i="14"/>
  <c r="C206" i="14"/>
  <c r="K206" i="14" s="1"/>
  <c r="D205" i="14"/>
  <c r="C205" i="14"/>
  <c r="K204" i="14" s="1"/>
  <c r="D204" i="14"/>
  <c r="C204" i="14"/>
  <c r="K203" i="14"/>
  <c r="D203" i="14"/>
  <c r="C203" i="14"/>
  <c r="D202" i="14"/>
  <c r="C202" i="14"/>
  <c r="K202" i="14" s="1"/>
  <c r="D201" i="14"/>
  <c r="C201" i="14"/>
  <c r="K201" i="14" s="1"/>
  <c r="K200" i="14"/>
  <c r="D200" i="14"/>
  <c r="C200" i="14"/>
  <c r="D199" i="14"/>
  <c r="C199" i="14"/>
  <c r="K199" i="14" s="1"/>
  <c r="D198" i="14"/>
  <c r="C198" i="14"/>
  <c r="D197" i="14"/>
  <c r="C197" i="14"/>
  <c r="K197" i="14" s="1"/>
  <c r="K196" i="14"/>
  <c r="D196" i="14"/>
  <c r="C196" i="14"/>
  <c r="K195" i="14"/>
  <c r="D195" i="14"/>
  <c r="C195" i="14"/>
  <c r="D194" i="14"/>
  <c r="C194" i="14"/>
  <c r="K194" i="14" s="1"/>
  <c r="D193" i="14"/>
  <c r="C193" i="14"/>
  <c r="K192" i="14"/>
  <c r="D192" i="14"/>
  <c r="C192" i="14"/>
  <c r="D191" i="14"/>
  <c r="C191" i="14"/>
  <c r="K191" i="14" s="1"/>
  <c r="D190" i="14"/>
  <c r="C190" i="14"/>
  <c r="K190" i="14" s="1"/>
  <c r="D189" i="14"/>
  <c r="C189" i="14"/>
  <c r="K189" i="14" s="1"/>
  <c r="K188" i="14"/>
  <c r="D188" i="14"/>
  <c r="C188" i="14"/>
  <c r="D187" i="14"/>
  <c r="C187" i="14"/>
  <c r="K187" i="14" s="1"/>
  <c r="K186" i="14"/>
  <c r="D186" i="14"/>
  <c r="C186" i="14"/>
  <c r="D185" i="14"/>
  <c r="C185" i="14"/>
  <c r="K185" i="14" s="1"/>
  <c r="K184" i="14"/>
  <c r="D184" i="14"/>
  <c r="C184" i="14"/>
  <c r="K183" i="14"/>
  <c r="D183" i="14"/>
  <c r="C183" i="14"/>
  <c r="D182" i="14"/>
  <c r="C182" i="14"/>
  <c r="K182" i="14" s="1"/>
  <c r="D181" i="14"/>
  <c r="C181" i="14"/>
  <c r="D180" i="14"/>
  <c r="C180" i="14"/>
  <c r="D179" i="14"/>
  <c r="C179" i="14"/>
  <c r="K179" i="14" s="1"/>
  <c r="D178" i="14"/>
  <c r="C178" i="14"/>
  <c r="K178" i="14" s="1"/>
  <c r="D177" i="14"/>
  <c r="C177" i="14"/>
  <c r="K176" i="14"/>
  <c r="D176" i="14"/>
  <c r="C176" i="14"/>
  <c r="D175" i="14"/>
  <c r="C175" i="14"/>
  <c r="K175" i="14" s="1"/>
  <c r="D174" i="14"/>
  <c r="C174" i="14"/>
  <c r="K174" i="14" s="1"/>
  <c r="D173" i="14"/>
  <c r="C173" i="14"/>
  <c r="K173" i="14" s="1"/>
  <c r="K172" i="14"/>
  <c r="D172" i="14"/>
  <c r="C172" i="14"/>
  <c r="K171" i="14"/>
  <c r="D171" i="14"/>
  <c r="C171" i="14"/>
  <c r="K170" i="14"/>
  <c r="D170" i="14"/>
  <c r="C170" i="14"/>
  <c r="D169" i="14"/>
  <c r="C169" i="14"/>
  <c r="D168" i="14"/>
  <c r="C168" i="14"/>
  <c r="K167" i="14"/>
  <c r="D167" i="14"/>
  <c r="C167" i="14"/>
  <c r="D166" i="14"/>
  <c r="C166" i="14"/>
  <c r="K166" i="14" s="1"/>
  <c r="D165" i="14"/>
  <c r="C165" i="14"/>
  <c r="D164" i="14"/>
  <c r="C164" i="14"/>
  <c r="K164" i="14" s="1"/>
  <c r="D163" i="14"/>
  <c r="C163" i="14"/>
  <c r="K163" i="14" s="1"/>
  <c r="K162" i="14"/>
  <c r="D162" i="14"/>
  <c r="C162" i="14"/>
  <c r="K161" i="14"/>
  <c r="D161" i="14"/>
  <c r="C161" i="14"/>
  <c r="D160" i="14"/>
  <c r="C160" i="14"/>
  <c r="K160" i="14" s="1"/>
  <c r="D159" i="14"/>
  <c r="C159" i="14"/>
  <c r="K159" i="14" s="1"/>
  <c r="D158" i="14"/>
  <c r="C158" i="14"/>
  <c r="K157" i="14"/>
  <c r="D157" i="14"/>
  <c r="C157" i="14"/>
  <c r="D156" i="14"/>
  <c r="C156" i="14"/>
  <c r="K156" i="14" s="1"/>
  <c r="D155" i="14"/>
  <c r="C155" i="14"/>
  <c r="K155" i="14" s="1"/>
  <c r="D154" i="14"/>
  <c r="C154" i="14"/>
  <c r="K153" i="14"/>
  <c r="D153" i="14"/>
  <c r="C153" i="14"/>
  <c r="D152" i="14"/>
  <c r="C152" i="14"/>
  <c r="K152" i="14" s="1"/>
  <c r="D151" i="14"/>
  <c r="C151" i="14"/>
  <c r="K151" i="14" s="1"/>
  <c r="K150" i="14"/>
  <c r="D150" i="14"/>
  <c r="C150" i="14"/>
  <c r="K149" i="14"/>
  <c r="D149" i="14"/>
  <c r="C149" i="14"/>
  <c r="D148" i="14"/>
  <c r="C148" i="14"/>
  <c r="K148" i="14" s="1"/>
  <c r="D147" i="14"/>
  <c r="C147" i="14"/>
  <c r="K147" i="14" s="1"/>
  <c r="D146" i="14"/>
  <c r="C146" i="14"/>
  <c r="K145" i="14"/>
  <c r="D145" i="14"/>
  <c r="C145" i="14"/>
  <c r="D144" i="14"/>
  <c r="C144" i="14"/>
  <c r="K144" i="14" s="1"/>
  <c r="D143" i="14"/>
  <c r="C143" i="14"/>
  <c r="K143" i="14" s="1"/>
  <c r="D142" i="14"/>
  <c r="C142" i="14"/>
  <c r="K141" i="14"/>
  <c r="D141" i="14"/>
  <c r="C141" i="14"/>
  <c r="D140" i="14"/>
  <c r="C140" i="14"/>
  <c r="K140" i="14" s="1"/>
  <c r="D139" i="14"/>
  <c r="C139" i="14"/>
  <c r="K139" i="14" s="1"/>
  <c r="K138" i="14"/>
  <c r="D138" i="14"/>
  <c r="C138" i="14"/>
  <c r="K137" i="14"/>
  <c r="D137" i="14"/>
  <c r="C137" i="14"/>
  <c r="D136" i="14"/>
  <c r="C136" i="14"/>
  <c r="K136" i="14" s="1"/>
  <c r="D135" i="14"/>
  <c r="C135" i="14"/>
  <c r="K135" i="14" s="1"/>
  <c r="K134" i="14"/>
  <c r="D134" i="14"/>
  <c r="C134" i="14"/>
  <c r="K133" i="14"/>
  <c r="D133" i="14"/>
  <c r="C133" i="14"/>
  <c r="D132" i="14"/>
  <c r="C132" i="14"/>
  <c r="K132" i="14" s="1"/>
  <c r="D131" i="14"/>
  <c r="C131" i="14"/>
  <c r="K131" i="14" s="1"/>
  <c r="D130" i="14"/>
  <c r="C130" i="14"/>
  <c r="K130" i="14" s="1"/>
  <c r="K129" i="14"/>
  <c r="D129" i="14"/>
  <c r="C129" i="14"/>
  <c r="D128" i="14"/>
  <c r="C128" i="14"/>
  <c r="K128" i="14" s="1"/>
  <c r="D127" i="14"/>
  <c r="C127" i="14"/>
  <c r="D126" i="14"/>
  <c r="C126" i="14"/>
  <c r="K126" i="14" s="1"/>
  <c r="D125" i="14"/>
  <c r="C125" i="14"/>
  <c r="D124" i="14"/>
  <c r="C124" i="14"/>
  <c r="K124" i="14" s="1"/>
  <c r="D123" i="14"/>
  <c r="C123" i="14"/>
  <c r="K122" i="14"/>
  <c r="D122" i="14"/>
  <c r="C122" i="14"/>
  <c r="K121" i="14"/>
  <c r="D121" i="14"/>
  <c r="C121" i="14"/>
  <c r="D120" i="14"/>
  <c r="C120" i="14"/>
  <c r="K120" i="14" s="1"/>
  <c r="D119" i="14"/>
  <c r="C119" i="14"/>
  <c r="K119" i="14" s="1"/>
  <c r="D118" i="14"/>
  <c r="C118" i="14"/>
  <c r="K118" i="14" s="1"/>
  <c r="K117" i="14"/>
  <c r="D117" i="14"/>
  <c r="C117" i="14"/>
  <c r="D116" i="14"/>
  <c r="C116" i="14"/>
  <c r="K116" i="14" s="1"/>
  <c r="D115" i="14"/>
  <c r="C115" i="14"/>
  <c r="D114" i="14"/>
  <c r="C114" i="14"/>
  <c r="K114" i="14" s="1"/>
  <c r="D113" i="14"/>
  <c r="C113" i="14"/>
  <c r="D112" i="14"/>
  <c r="C112" i="14"/>
  <c r="K112" i="14" s="1"/>
  <c r="D111" i="14"/>
  <c r="C111" i="14"/>
  <c r="K110" i="14"/>
  <c r="D110" i="14"/>
  <c r="C110" i="14"/>
  <c r="K109" i="14"/>
  <c r="D109" i="14"/>
  <c r="C109" i="14"/>
  <c r="D108" i="14"/>
  <c r="C108" i="14"/>
  <c r="K108" i="14" s="1"/>
  <c r="D107" i="14"/>
  <c r="C107" i="14"/>
  <c r="K107" i="14" s="1"/>
  <c r="D106" i="14"/>
  <c r="C106" i="14"/>
  <c r="K106" i="14" s="1"/>
  <c r="K105" i="14"/>
  <c r="D105" i="14"/>
  <c r="C105" i="14"/>
  <c r="D104" i="14"/>
  <c r="C104" i="14"/>
  <c r="K104" i="14" s="1"/>
  <c r="D103" i="14"/>
  <c r="C103" i="14"/>
  <c r="K103" i="14" s="1"/>
  <c r="K102" i="14"/>
  <c r="D102" i="14"/>
  <c r="C102" i="14"/>
  <c r="K101" i="14"/>
  <c r="D101" i="14"/>
  <c r="C101" i="14"/>
  <c r="D100" i="14"/>
  <c r="C100" i="14"/>
  <c r="K100" i="14" s="1"/>
  <c r="D99" i="14"/>
  <c r="C99" i="14"/>
  <c r="D98" i="14"/>
  <c r="C98" i="14"/>
  <c r="K98" i="14" s="1"/>
  <c r="K97" i="14"/>
  <c r="D97" i="14"/>
  <c r="C97" i="14"/>
  <c r="D96" i="14"/>
  <c r="C96" i="14"/>
  <c r="K96" i="14" s="1"/>
  <c r="D95" i="14"/>
  <c r="C95" i="14"/>
  <c r="D94" i="14"/>
  <c r="C94" i="14"/>
  <c r="K94" i="14" s="1"/>
  <c r="K93" i="14"/>
  <c r="D93" i="14"/>
  <c r="C93" i="14"/>
  <c r="D92" i="14"/>
  <c r="C92" i="14"/>
  <c r="K92" i="14" s="1"/>
  <c r="D91" i="14"/>
  <c r="C91" i="14"/>
  <c r="K91" i="14" s="1"/>
  <c r="D90" i="14"/>
  <c r="C90" i="14"/>
  <c r="K90" i="14" s="1"/>
  <c r="D89" i="14"/>
  <c r="C89" i="14"/>
  <c r="D88" i="14"/>
  <c r="C88" i="14"/>
  <c r="K88" i="14" s="1"/>
  <c r="D87" i="14"/>
  <c r="C87" i="14"/>
  <c r="K86" i="14"/>
  <c r="D86" i="14"/>
  <c r="C86" i="14"/>
  <c r="K85" i="14" s="1"/>
  <c r="D85" i="14"/>
  <c r="C85" i="14"/>
  <c r="D84" i="14"/>
  <c r="C84" i="14"/>
  <c r="K84" i="14" s="1"/>
  <c r="D83" i="14"/>
  <c r="C83" i="14"/>
  <c r="K83" i="14" s="1"/>
  <c r="D82" i="14"/>
  <c r="C82" i="14"/>
  <c r="D81" i="14"/>
  <c r="C81" i="14"/>
  <c r="D80" i="14"/>
  <c r="C80" i="14"/>
  <c r="K80" i="14" s="1"/>
  <c r="D79" i="14"/>
  <c r="C79" i="14"/>
  <c r="K79" i="14" s="1"/>
  <c r="K78" i="14"/>
  <c r="D78" i="14"/>
  <c r="C78" i="14"/>
  <c r="K77" i="14"/>
  <c r="D77" i="14"/>
  <c r="C77" i="14"/>
  <c r="D76" i="14"/>
  <c r="C76" i="14"/>
  <c r="K76" i="14" s="1"/>
  <c r="D75" i="14"/>
  <c r="C75" i="14"/>
  <c r="D74" i="14"/>
  <c r="C74" i="14"/>
  <c r="K74" i="14" s="1"/>
  <c r="K73" i="14"/>
  <c r="D73" i="14"/>
  <c r="C73" i="14"/>
  <c r="D72" i="14"/>
  <c r="C72" i="14"/>
  <c r="K72" i="14" s="1"/>
  <c r="D71" i="14"/>
  <c r="C71" i="14"/>
  <c r="D70" i="14"/>
  <c r="C70" i="14"/>
  <c r="K70" i="14" s="1"/>
  <c r="K69" i="14"/>
  <c r="D69" i="14"/>
  <c r="C69" i="14"/>
  <c r="D68" i="14"/>
  <c r="C68" i="14"/>
  <c r="K68" i="14" s="1"/>
  <c r="D67" i="14"/>
  <c r="C67" i="14"/>
  <c r="K67" i="14" s="1"/>
  <c r="D66" i="14"/>
  <c r="C66" i="14"/>
  <c r="D65" i="14"/>
  <c r="C65" i="14"/>
  <c r="D64" i="14"/>
  <c r="C64" i="14"/>
  <c r="K64" i="14" s="1"/>
  <c r="D63" i="14"/>
  <c r="C63" i="14"/>
  <c r="D62" i="14"/>
  <c r="C62" i="14"/>
  <c r="K62" i="14" s="1"/>
  <c r="K61" i="14"/>
  <c r="D61" i="14"/>
  <c r="C61" i="14"/>
  <c r="D60" i="14"/>
  <c r="C60" i="14"/>
  <c r="K60" i="14" s="1"/>
  <c r="D59" i="14"/>
  <c r="C59" i="14"/>
  <c r="K58" i="14"/>
  <c r="D58" i="14"/>
  <c r="C58" i="14"/>
  <c r="K57" i="14"/>
  <c r="D57" i="14"/>
  <c r="C57" i="14"/>
  <c r="D56" i="14"/>
  <c r="C56" i="14"/>
  <c r="K56" i="14" s="1"/>
  <c r="D55" i="14"/>
  <c r="C55" i="14"/>
  <c r="D54" i="14"/>
  <c r="C54" i="14"/>
  <c r="K54" i="14" s="1"/>
  <c r="D53" i="14"/>
  <c r="C53" i="14"/>
  <c r="K53" i="14" s="1"/>
  <c r="D52" i="14"/>
  <c r="C52" i="14"/>
  <c r="D51" i="14"/>
  <c r="C51" i="14"/>
  <c r="K50" i="14"/>
  <c r="D50" i="14"/>
  <c r="C50" i="14"/>
  <c r="K49" i="14"/>
  <c r="D49" i="14"/>
  <c r="C49" i="14"/>
  <c r="D48" i="14"/>
  <c r="C48" i="14"/>
  <c r="K48" i="14" s="1"/>
  <c r="D47" i="14"/>
  <c r="C47" i="14"/>
  <c r="K47" i="14" s="1"/>
  <c r="D46" i="14"/>
  <c r="C46" i="14"/>
  <c r="K46" i="14" s="1"/>
  <c r="D45" i="14"/>
  <c r="C45" i="14"/>
  <c r="K45" i="14" s="1"/>
  <c r="D44" i="14"/>
  <c r="C44" i="14"/>
  <c r="K44" i="14" s="1"/>
  <c r="D43" i="14"/>
  <c r="C43" i="14"/>
  <c r="K43" i="14" s="1"/>
  <c r="D42" i="14"/>
  <c r="C42" i="14"/>
  <c r="K41" i="14"/>
  <c r="D41" i="14"/>
  <c r="C41" i="14"/>
  <c r="D40" i="14"/>
  <c r="C40" i="14"/>
  <c r="D39" i="14"/>
  <c r="C39" i="14"/>
  <c r="K38" i="14"/>
  <c r="D38" i="14"/>
  <c r="C38" i="14"/>
  <c r="K37" i="14" s="1"/>
  <c r="D37" i="14"/>
  <c r="C37" i="14"/>
  <c r="D36" i="14"/>
  <c r="C36" i="14"/>
  <c r="K36" i="14" s="1"/>
  <c r="K35" i="14"/>
  <c r="D35" i="14"/>
  <c r="C35" i="14"/>
  <c r="D34" i="14"/>
  <c r="C34" i="14"/>
  <c r="K34" i="14" s="1"/>
  <c r="D33" i="14"/>
  <c r="C33" i="14"/>
  <c r="D32" i="14"/>
  <c r="C32" i="14"/>
  <c r="K32" i="14" s="1"/>
  <c r="D31" i="14"/>
  <c r="C31" i="14"/>
  <c r="K31" i="14" s="1"/>
  <c r="D30" i="14"/>
  <c r="C30" i="14"/>
  <c r="K29" i="14"/>
  <c r="D29" i="14"/>
  <c r="C29" i="14"/>
  <c r="D28" i="14"/>
  <c r="C28" i="14"/>
  <c r="K28" i="14" s="1"/>
  <c r="D27" i="14"/>
  <c r="C27" i="14"/>
  <c r="D26" i="14"/>
  <c r="C26" i="14"/>
  <c r="K25" i="14"/>
  <c r="D25" i="14"/>
  <c r="C25" i="14"/>
  <c r="D24" i="14"/>
  <c r="C24" i="14"/>
  <c r="K24" i="14" s="1"/>
  <c r="D23" i="14"/>
  <c r="C23" i="14"/>
  <c r="K23" i="14" s="1"/>
  <c r="D22" i="14"/>
  <c r="C22" i="14"/>
  <c r="D21" i="14"/>
  <c r="C21" i="14"/>
  <c r="K20" i="14"/>
  <c r="D20" i="14"/>
  <c r="C20" i="14"/>
  <c r="K19" i="14" s="1"/>
  <c r="D19" i="14"/>
  <c r="C19" i="14"/>
  <c r="D18" i="14"/>
  <c r="C18" i="14"/>
  <c r="K17" i="14" s="1"/>
  <c r="D17" i="14"/>
  <c r="C17" i="14"/>
  <c r="D16" i="14"/>
  <c r="C16" i="14"/>
  <c r="K16" i="14" s="1"/>
  <c r="D15" i="14"/>
  <c r="C15" i="14"/>
  <c r="K15" i="14" s="1"/>
  <c r="D14" i="14"/>
  <c r="C14" i="14"/>
  <c r="D13" i="14"/>
  <c r="C13" i="14"/>
  <c r="D12" i="14"/>
  <c r="C12" i="14"/>
  <c r="K11" i="14" s="1"/>
  <c r="D11" i="14"/>
  <c r="C11" i="14"/>
  <c r="D10" i="14"/>
  <c r="C10" i="14"/>
  <c r="K10" i="14" s="1"/>
  <c r="D9" i="14"/>
  <c r="C9" i="14"/>
  <c r="D8" i="14"/>
  <c r="C8" i="14"/>
  <c r="K7" i="14" s="1"/>
  <c r="D7" i="14"/>
  <c r="C7" i="14"/>
  <c r="D6" i="14"/>
  <c r="C6" i="14"/>
  <c r="K5" i="14" s="1"/>
  <c r="D5" i="14"/>
  <c r="C5" i="14"/>
  <c r="M4" i="14"/>
  <c r="D4" i="14"/>
  <c r="C4" i="14"/>
  <c r="K4" i="14" s="1"/>
  <c r="M3" i="14"/>
  <c r="D3" i="14"/>
  <c r="C3" i="14"/>
  <c r="M2" i="14"/>
  <c r="D2" i="14"/>
  <c r="C2" i="14"/>
  <c r="K2" i="14" s="1"/>
  <c r="M1" i="14"/>
  <c r="K301" i="13"/>
  <c r="D301" i="13"/>
  <c r="C301" i="13"/>
  <c r="D300" i="13"/>
  <c r="C300" i="13"/>
  <c r="K300" i="13" s="1"/>
  <c r="D299" i="13"/>
  <c r="C299" i="13"/>
  <c r="D298" i="13"/>
  <c r="C298" i="13"/>
  <c r="K297" i="13"/>
  <c r="D297" i="13"/>
  <c r="C297" i="13"/>
  <c r="D296" i="13"/>
  <c r="C296" i="13"/>
  <c r="K296" i="13" s="1"/>
  <c r="D295" i="13"/>
  <c r="C295" i="13"/>
  <c r="K295" i="13" s="1"/>
  <c r="K294" i="13"/>
  <c r="D294" i="13"/>
  <c r="C294" i="13"/>
  <c r="K293" i="13"/>
  <c r="D293" i="13"/>
  <c r="C293" i="13"/>
  <c r="D292" i="13"/>
  <c r="C292" i="13"/>
  <c r="K292" i="13" s="1"/>
  <c r="K291" i="13"/>
  <c r="D291" i="13"/>
  <c r="C291" i="13"/>
  <c r="K290" i="13"/>
  <c r="D290" i="13"/>
  <c r="C290" i="13"/>
  <c r="K289" i="13"/>
  <c r="D289" i="13"/>
  <c r="C289" i="13"/>
  <c r="D288" i="13"/>
  <c r="C288" i="13"/>
  <c r="K288" i="13" s="1"/>
  <c r="K287" i="13"/>
  <c r="D287" i="13"/>
  <c r="C287" i="13"/>
  <c r="K286" i="13" s="1"/>
  <c r="D286" i="13"/>
  <c r="C286" i="13"/>
  <c r="K285" i="13"/>
  <c r="D285" i="13"/>
  <c r="C285" i="13"/>
  <c r="D284" i="13"/>
  <c r="C284" i="13"/>
  <c r="K284" i="13" s="1"/>
  <c r="K283" i="13"/>
  <c r="D283" i="13"/>
  <c r="C283" i="13"/>
  <c r="K282" i="13" s="1"/>
  <c r="D282" i="13"/>
  <c r="C282" i="13"/>
  <c r="K281" i="13"/>
  <c r="D281" i="13"/>
  <c r="C281" i="13"/>
  <c r="D280" i="13"/>
  <c r="C280" i="13"/>
  <c r="K280" i="13" s="1"/>
  <c r="D279" i="13"/>
  <c r="C279" i="13"/>
  <c r="K279" i="13" s="1"/>
  <c r="D278" i="13"/>
  <c r="C278" i="13"/>
  <c r="K277" i="13"/>
  <c r="D277" i="13"/>
  <c r="C277" i="13"/>
  <c r="D276" i="13"/>
  <c r="C276" i="13"/>
  <c r="K276" i="13" s="1"/>
  <c r="D275" i="13"/>
  <c r="C275" i="13"/>
  <c r="K274" i="13" s="1"/>
  <c r="D274" i="13"/>
  <c r="C274" i="13"/>
  <c r="K273" i="13"/>
  <c r="D273" i="13"/>
  <c r="C273" i="13"/>
  <c r="D272" i="13"/>
  <c r="C272" i="13"/>
  <c r="K272" i="13" s="1"/>
  <c r="K271" i="13"/>
  <c r="D271" i="13"/>
  <c r="C271" i="13"/>
  <c r="K270" i="13"/>
  <c r="D270" i="13"/>
  <c r="C270" i="13"/>
  <c r="D269" i="13"/>
  <c r="C269" i="13"/>
  <c r="K269" i="13" s="1"/>
  <c r="D268" i="13"/>
  <c r="C268" i="13"/>
  <c r="K268" i="13" s="1"/>
  <c r="D267" i="13"/>
  <c r="C267" i="13"/>
  <c r="K266" i="13" s="1"/>
  <c r="D266" i="13"/>
  <c r="C266" i="13"/>
  <c r="D265" i="13"/>
  <c r="C265" i="13"/>
  <c r="K265" i="13" s="1"/>
  <c r="D264" i="13"/>
  <c r="C264" i="13"/>
  <c r="K264" i="13" s="1"/>
  <c r="D263" i="13"/>
  <c r="C263" i="13"/>
  <c r="K263" i="13" s="1"/>
  <c r="K262" i="13"/>
  <c r="D262" i="13"/>
  <c r="C262" i="13"/>
  <c r="D261" i="13"/>
  <c r="C261" i="13"/>
  <c r="K261" i="13" s="1"/>
  <c r="D260" i="13"/>
  <c r="C260" i="13"/>
  <c r="K260" i="13" s="1"/>
  <c r="D259" i="13"/>
  <c r="C259" i="13"/>
  <c r="K259" i="13" s="1"/>
  <c r="D258" i="13"/>
  <c r="C258" i="13"/>
  <c r="D257" i="13"/>
  <c r="C257" i="13"/>
  <c r="K257" i="13" s="1"/>
  <c r="D256" i="13"/>
  <c r="C256" i="13"/>
  <c r="K256" i="13" s="1"/>
  <c r="K255" i="13"/>
  <c r="D255" i="13"/>
  <c r="C255" i="13"/>
  <c r="K254" i="13" s="1"/>
  <c r="D254" i="13"/>
  <c r="C254" i="13"/>
  <c r="D253" i="13"/>
  <c r="C253" i="13"/>
  <c r="K253" i="13" s="1"/>
  <c r="D252" i="13"/>
  <c r="C252" i="13"/>
  <c r="K252" i="13" s="1"/>
  <c r="D251" i="13"/>
  <c r="C251" i="13"/>
  <c r="K251" i="13" s="1"/>
  <c r="D250" i="13"/>
  <c r="C250" i="13"/>
  <c r="D249" i="13"/>
  <c r="C249" i="13"/>
  <c r="K249" i="13" s="1"/>
  <c r="D248" i="13"/>
  <c r="C248" i="13"/>
  <c r="K248" i="13" s="1"/>
  <c r="K247" i="13"/>
  <c r="D247" i="13"/>
  <c r="C247" i="13"/>
  <c r="K246" i="13"/>
  <c r="D246" i="13"/>
  <c r="C246" i="13"/>
  <c r="D245" i="13"/>
  <c r="C245" i="13"/>
  <c r="K245" i="13" s="1"/>
  <c r="D244" i="13"/>
  <c r="C244" i="13"/>
  <c r="K244" i="13" s="1"/>
  <c r="K243" i="13"/>
  <c r="D243" i="13"/>
  <c r="C243" i="13"/>
  <c r="K242" i="13" s="1"/>
  <c r="D242" i="13"/>
  <c r="C242" i="13"/>
  <c r="D241" i="13"/>
  <c r="C241" i="13"/>
  <c r="K241" i="13" s="1"/>
  <c r="D240" i="13"/>
  <c r="C240" i="13"/>
  <c r="K240" i="13" s="1"/>
  <c r="D239" i="13"/>
  <c r="C239" i="13"/>
  <c r="K239" i="13" s="1"/>
  <c r="K238" i="13"/>
  <c r="D238" i="13"/>
  <c r="C238" i="13"/>
  <c r="D237" i="13"/>
  <c r="C237" i="13"/>
  <c r="K237" i="13" s="1"/>
  <c r="D236" i="13"/>
  <c r="C236" i="13"/>
  <c r="K236" i="13" s="1"/>
  <c r="D235" i="13"/>
  <c r="C235" i="13"/>
  <c r="K235" i="13" s="1"/>
  <c r="D234" i="13"/>
  <c r="C234" i="13"/>
  <c r="D233" i="13"/>
  <c r="C233" i="13"/>
  <c r="K233" i="13" s="1"/>
  <c r="D232" i="13"/>
  <c r="C232" i="13"/>
  <c r="K232" i="13" s="1"/>
  <c r="K231" i="13"/>
  <c r="D231" i="13"/>
  <c r="C231" i="13"/>
  <c r="K230" i="13" s="1"/>
  <c r="D230" i="13"/>
  <c r="C230" i="13"/>
  <c r="D229" i="13"/>
  <c r="C229" i="13"/>
  <c r="K229" i="13" s="1"/>
  <c r="D228" i="13"/>
  <c r="C228" i="13"/>
  <c r="K228" i="13" s="1"/>
  <c r="D227" i="13"/>
  <c r="C227" i="13"/>
  <c r="K227" i="13" s="1"/>
  <c r="D226" i="13"/>
  <c r="C226" i="13"/>
  <c r="D225" i="13"/>
  <c r="C225" i="13"/>
  <c r="K225" i="13" s="1"/>
  <c r="D224" i="13"/>
  <c r="C224" i="13"/>
  <c r="K224" i="13" s="1"/>
  <c r="K223" i="13"/>
  <c r="D223" i="13"/>
  <c r="C223" i="13"/>
  <c r="K222" i="13"/>
  <c r="D222" i="13"/>
  <c r="C222" i="13"/>
  <c r="D221" i="13"/>
  <c r="C221" i="13"/>
  <c r="K221" i="13" s="1"/>
  <c r="D220" i="13"/>
  <c r="C220" i="13"/>
  <c r="K220" i="13" s="1"/>
  <c r="D219" i="13"/>
  <c r="C219" i="13"/>
  <c r="K218" i="13" s="1"/>
  <c r="D218" i="13"/>
  <c r="C218" i="13"/>
  <c r="D217" i="13"/>
  <c r="C217" i="13"/>
  <c r="K217" i="13" s="1"/>
  <c r="D216" i="13"/>
  <c r="C216" i="13"/>
  <c r="K216" i="13" s="1"/>
  <c r="D215" i="13"/>
  <c r="C215" i="13"/>
  <c r="K215" i="13" s="1"/>
  <c r="D214" i="13"/>
  <c r="C214" i="13"/>
  <c r="D213" i="13"/>
  <c r="C213" i="13"/>
  <c r="K213" i="13" s="1"/>
  <c r="D212" i="13"/>
  <c r="C212" i="13"/>
  <c r="K212" i="13" s="1"/>
  <c r="D211" i="13"/>
  <c r="C211" i="13"/>
  <c r="K210" i="13" s="1"/>
  <c r="D210" i="13"/>
  <c r="C210" i="13"/>
  <c r="D209" i="13"/>
  <c r="C209" i="13"/>
  <c r="K209" i="13" s="1"/>
  <c r="D208" i="13"/>
  <c r="C208" i="13"/>
  <c r="K208" i="13" s="1"/>
  <c r="K207" i="13"/>
  <c r="D207" i="13"/>
  <c r="C207" i="13"/>
  <c r="K206" i="13" s="1"/>
  <c r="D206" i="13"/>
  <c r="C206" i="13"/>
  <c r="D205" i="13"/>
  <c r="C205" i="13"/>
  <c r="K205" i="13" s="1"/>
  <c r="D204" i="13"/>
  <c r="C204" i="13"/>
  <c r="K204" i="13" s="1"/>
  <c r="D203" i="13"/>
  <c r="C203" i="13"/>
  <c r="D202" i="13"/>
  <c r="C202" i="13"/>
  <c r="D201" i="13"/>
  <c r="C201" i="13"/>
  <c r="K201" i="13" s="1"/>
  <c r="D200" i="13"/>
  <c r="C200" i="13"/>
  <c r="K200" i="13" s="1"/>
  <c r="K199" i="13"/>
  <c r="D199" i="13"/>
  <c r="C199" i="13"/>
  <c r="K198" i="13"/>
  <c r="D198" i="13"/>
  <c r="C198" i="13"/>
  <c r="D197" i="13"/>
  <c r="C197" i="13"/>
  <c r="K197" i="13" s="1"/>
  <c r="D196" i="13"/>
  <c r="C196" i="13"/>
  <c r="K196" i="13" s="1"/>
  <c r="K195" i="13"/>
  <c r="D195" i="13"/>
  <c r="C195" i="13"/>
  <c r="K194" i="13" s="1"/>
  <c r="D194" i="13"/>
  <c r="C194" i="13"/>
  <c r="D193" i="13"/>
  <c r="C193" i="13"/>
  <c r="K193" i="13" s="1"/>
  <c r="D192" i="13"/>
  <c r="C192" i="13"/>
  <c r="K192" i="13" s="1"/>
  <c r="D191" i="13"/>
  <c r="C191" i="13"/>
  <c r="K191" i="13" s="1"/>
  <c r="K190" i="13"/>
  <c r="D190" i="13"/>
  <c r="C190" i="13"/>
  <c r="D189" i="13"/>
  <c r="C189" i="13"/>
  <c r="K189" i="13" s="1"/>
  <c r="D188" i="13"/>
  <c r="C188" i="13"/>
  <c r="K188" i="13" s="1"/>
  <c r="D187" i="13"/>
  <c r="C187" i="13"/>
  <c r="K186" i="13"/>
  <c r="D186" i="13"/>
  <c r="C186" i="13"/>
  <c r="D185" i="13"/>
  <c r="C185" i="13"/>
  <c r="K185" i="13" s="1"/>
  <c r="D184" i="13"/>
  <c r="C184" i="13"/>
  <c r="K184" i="13" s="1"/>
  <c r="K183" i="13"/>
  <c r="D183" i="13"/>
  <c r="C183" i="13"/>
  <c r="K182" i="13" s="1"/>
  <c r="D182" i="13"/>
  <c r="C182" i="13"/>
  <c r="D181" i="13"/>
  <c r="C181" i="13"/>
  <c r="K181" i="13" s="1"/>
  <c r="D180" i="13"/>
  <c r="C180" i="13"/>
  <c r="K180" i="13" s="1"/>
  <c r="D179" i="13"/>
  <c r="C179" i="13"/>
  <c r="D178" i="13"/>
  <c r="C178" i="13"/>
  <c r="D177" i="13"/>
  <c r="C177" i="13"/>
  <c r="K177" i="13" s="1"/>
  <c r="D176" i="13"/>
  <c r="C176" i="13"/>
  <c r="K176" i="13" s="1"/>
  <c r="D175" i="13"/>
  <c r="C175" i="13"/>
  <c r="K174" i="13"/>
  <c r="D174" i="13"/>
  <c r="C174" i="13"/>
  <c r="D173" i="13"/>
  <c r="C173" i="13"/>
  <c r="K173" i="13" s="1"/>
  <c r="D172" i="13"/>
  <c r="C172" i="13"/>
  <c r="K172" i="13" s="1"/>
  <c r="D171" i="13"/>
  <c r="C171" i="13"/>
  <c r="K170" i="13" s="1"/>
  <c r="D170" i="13"/>
  <c r="C170" i="13"/>
  <c r="K169" i="13"/>
  <c r="D169" i="13"/>
  <c r="C169" i="13"/>
  <c r="D168" i="13"/>
  <c r="C168" i="13"/>
  <c r="K168" i="13" s="1"/>
  <c r="K167" i="13"/>
  <c r="D167" i="13"/>
  <c r="C167" i="13"/>
  <c r="K166" i="13" s="1"/>
  <c r="D166" i="13"/>
  <c r="C166" i="13"/>
  <c r="K165" i="13"/>
  <c r="D165" i="13"/>
  <c r="C165" i="13"/>
  <c r="D164" i="13"/>
  <c r="C164" i="13"/>
  <c r="D163" i="13"/>
  <c r="C163" i="13"/>
  <c r="K163" i="13" s="1"/>
  <c r="K162" i="13"/>
  <c r="D162" i="13"/>
  <c r="C162" i="13"/>
  <c r="D161" i="13"/>
  <c r="C161" i="13"/>
  <c r="K161" i="13" s="1"/>
  <c r="D160" i="13"/>
  <c r="C160" i="13"/>
  <c r="D159" i="13"/>
  <c r="C159" i="13"/>
  <c r="K159" i="13" s="1"/>
  <c r="K158" i="13"/>
  <c r="D158" i="13"/>
  <c r="C158" i="13"/>
  <c r="K157" i="13"/>
  <c r="D157" i="13"/>
  <c r="C157" i="13"/>
  <c r="D156" i="13"/>
  <c r="C156" i="13"/>
  <c r="D155" i="13"/>
  <c r="C155" i="13"/>
  <c r="K154" i="13" s="1"/>
  <c r="D154" i="13"/>
  <c r="C154" i="13"/>
  <c r="D153" i="13"/>
  <c r="C153" i="13"/>
  <c r="K153" i="13" s="1"/>
  <c r="D152" i="13"/>
  <c r="C152" i="13"/>
  <c r="K152" i="13" s="1"/>
  <c r="D151" i="13"/>
  <c r="C151" i="13"/>
  <c r="D150" i="13"/>
  <c r="C150" i="13"/>
  <c r="D149" i="13"/>
  <c r="C149" i="13"/>
  <c r="K149" i="13" s="1"/>
  <c r="D148" i="13"/>
  <c r="C148" i="13"/>
  <c r="K148" i="13" s="1"/>
  <c r="K147" i="13"/>
  <c r="D147" i="13"/>
  <c r="C147" i="13"/>
  <c r="K146" i="13" s="1"/>
  <c r="D146" i="13"/>
  <c r="C146" i="13"/>
  <c r="K145" i="13"/>
  <c r="D145" i="13"/>
  <c r="C145" i="13"/>
  <c r="D144" i="13"/>
  <c r="C144" i="13"/>
  <c r="K144" i="13" s="1"/>
  <c r="K143" i="13"/>
  <c r="D143" i="13"/>
  <c r="C143" i="13"/>
  <c r="K142" i="13"/>
  <c r="D142" i="13"/>
  <c r="C142" i="13"/>
  <c r="D141" i="13"/>
  <c r="C141" i="13"/>
  <c r="K141" i="13" s="1"/>
  <c r="D140" i="13"/>
  <c r="C140" i="13"/>
  <c r="K139" i="13"/>
  <c r="D139" i="13"/>
  <c r="C139" i="13"/>
  <c r="K138" i="13"/>
  <c r="D138" i="13"/>
  <c r="C138" i="13"/>
  <c r="K137" i="13"/>
  <c r="D137" i="13"/>
  <c r="C137" i="13"/>
  <c r="D136" i="13"/>
  <c r="C136" i="13"/>
  <c r="K136" i="13" s="1"/>
  <c r="D135" i="13"/>
  <c r="C135" i="13"/>
  <c r="K135" i="13" s="1"/>
  <c r="K134" i="13"/>
  <c r="D134" i="13"/>
  <c r="C134" i="13"/>
  <c r="K133" i="13"/>
  <c r="D133" i="13"/>
  <c r="C133" i="13"/>
  <c r="D132" i="13"/>
  <c r="C132" i="13"/>
  <c r="D131" i="13"/>
  <c r="C131" i="13"/>
  <c r="K130" i="13" s="1"/>
  <c r="D130" i="13"/>
  <c r="C130" i="13"/>
  <c r="K129" i="13"/>
  <c r="D129" i="13"/>
  <c r="C129" i="13"/>
  <c r="D128" i="13"/>
  <c r="C128" i="13"/>
  <c r="K127" i="13" s="1"/>
  <c r="D127" i="13"/>
  <c r="C127" i="13"/>
  <c r="K126" i="13"/>
  <c r="D126" i="13"/>
  <c r="C126" i="13"/>
  <c r="D125" i="13"/>
  <c r="C125" i="13"/>
  <c r="K125" i="13" s="1"/>
  <c r="D124" i="13"/>
  <c r="C124" i="13"/>
  <c r="K123" i="13"/>
  <c r="D123" i="13"/>
  <c r="C123" i="13"/>
  <c r="K122" i="13"/>
  <c r="D122" i="13"/>
  <c r="C122" i="13"/>
  <c r="K121" i="13"/>
  <c r="D121" i="13"/>
  <c r="C121" i="13"/>
  <c r="D120" i="13"/>
  <c r="C120" i="13"/>
  <c r="K120" i="13" s="1"/>
  <c r="K119" i="13"/>
  <c r="D119" i="13"/>
  <c r="C119" i="13"/>
  <c r="K118" i="13"/>
  <c r="D118" i="13"/>
  <c r="C118" i="13"/>
  <c r="K117" i="13"/>
  <c r="D117" i="13"/>
  <c r="C117" i="13"/>
  <c r="D116" i="13"/>
  <c r="C116" i="13"/>
  <c r="D115" i="13"/>
  <c r="C115" i="13"/>
  <c r="K115" i="13" s="1"/>
  <c r="K114" i="13"/>
  <c r="D114" i="13"/>
  <c r="C114" i="13"/>
  <c r="K113" i="13"/>
  <c r="D113" i="13"/>
  <c r="C113" i="13"/>
  <c r="D112" i="13"/>
  <c r="C112" i="13"/>
  <c r="D111" i="13"/>
  <c r="C111" i="13"/>
  <c r="K111" i="13" s="1"/>
  <c r="K110" i="13"/>
  <c r="D110" i="13"/>
  <c r="C110" i="13"/>
  <c r="D109" i="13"/>
  <c r="C109" i="13"/>
  <c r="K109" i="13" s="1"/>
  <c r="D108" i="13"/>
  <c r="C108" i="13"/>
  <c r="D107" i="13"/>
  <c r="C107" i="13"/>
  <c r="K106" i="13" s="1"/>
  <c r="D106" i="13"/>
  <c r="C106" i="13"/>
  <c r="D105" i="13"/>
  <c r="C105" i="13"/>
  <c r="K105" i="13" s="1"/>
  <c r="D104" i="13"/>
  <c r="C104" i="13"/>
  <c r="D103" i="13"/>
  <c r="C103" i="13"/>
  <c r="D102" i="13"/>
  <c r="C102" i="13"/>
  <c r="D101" i="13"/>
  <c r="C101" i="13"/>
  <c r="K101" i="13" s="1"/>
  <c r="D100" i="13"/>
  <c r="C100" i="13"/>
  <c r="K100" i="13" s="1"/>
  <c r="D99" i="13"/>
  <c r="C99" i="13"/>
  <c r="K98" i="13" s="1"/>
  <c r="D98" i="13"/>
  <c r="C98" i="13"/>
  <c r="K97" i="13"/>
  <c r="D97" i="13"/>
  <c r="C97" i="13"/>
  <c r="D96" i="13"/>
  <c r="C96" i="13"/>
  <c r="K96" i="13" s="1"/>
  <c r="K95" i="13"/>
  <c r="D95" i="13"/>
  <c r="C95" i="13"/>
  <c r="K94" i="13"/>
  <c r="D94" i="13"/>
  <c r="C94" i="13"/>
  <c r="D93" i="13"/>
  <c r="C93" i="13"/>
  <c r="K93" i="13" s="1"/>
  <c r="D92" i="13"/>
  <c r="C92" i="13"/>
  <c r="K91" i="13"/>
  <c r="D91" i="13"/>
  <c r="C91" i="13"/>
  <c r="K90" i="13"/>
  <c r="D90" i="13"/>
  <c r="C90" i="13"/>
  <c r="K89" i="13"/>
  <c r="D89" i="13"/>
  <c r="C89" i="13"/>
  <c r="D88" i="13"/>
  <c r="C88" i="13"/>
  <c r="K88" i="13" s="1"/>
  <c r="D87" i="13"/>
  <c r="C87" i="13"/>
  <c r="K87" i="13" s="1"/>
  <c r="K86" i="13"/>
  <c r="D86" i="13"/>
  <c r="C86" i="13"/>
  <c r="D85" i="13"/>
  <c r="C85" i="13"/>
  <c r="K85" i="13" s="1"/>
  <c r="D84" i="13"/>
  <c r="C84" i="13"/>
  <c r="D83" i="13"/>
  <c r="C83" i="13"/>
  <c r="K82" i="13" s="1"/>
  <c r="D82" i="13"/>
  <c r="C82" i="13"/>
  <c r="D81" i="13"/>
  <c r="C81" i="13"/>
  <c r="K81" i="13" s="1"/>
  <c r="D80" i="13"/>
  <c r="C80" i="13"/>
  <c r="K79" i="13" s="1"/>
  <c r="D79" i="13"/>
  <c r="C79" i="13"/>
  <c r="K78" i="13"/>
  <c r="D78" i="13"/>
  <c r="C78" i="13"/>
  <c r="D77" i="13"/>
  <c r="C77" i="13"/>
  <c r="K77" i="13" s="1"/>
  <c r="D76" i="13"/>
  <c r="C76" i="13"/>
  <c r="K76" i="13" s="1"/>
  <c r="D75" i="13"/>
  <c r="C75" i="13"/>
  <c r="K74" i="13"/>
  <c r="D74" i="13"/>
  <c r="C74" i="13"/>
  <c r="K73" i="13"/>
  <c r="D73" i="13"/>
  <c r="C73" i="13"/>
  <c r="D72" i="13"/>
  <c r="C72" i="13"/>
  <c r="K72" i="13" s="1"/>
  <c r="D71" i="13"/>
  <c r="C71" i="13"/>
  <c r="K71" i="13" s="1"/>
  <c r="D70" i="13"/>
  <c r="C70" i="13"/>
  <c r="K69" i="13"/>
  <c r="D69" i="13"/>
  <c r="C69" i="13"/>
  <c r="D68" i="13"/>
  <c r="C68" i="13"/>
  <c r="D67" i="13"/>
  <c r="C67" i="13"/>
  <c r="K67" i="13" s="1"/>
  <c r="D66" i="13"/>
  <c r="C66" i="13"/>
  <c r="K65" i="13"/>
  <c r="D65" i="13"/>
  <c r="C65" i="13"/>
  <c r="D64" i="13"/>
  <c r="C64" i="13"/>
  <c r="D63" i="13"/>
  <c r="C63" i="13"/>
  <c r="K63" i="13" s="1"/>
  <c r="K62" i="13"/>
  <c r="D62" i="13"/>
  <c r="C62" i="13"/>
  <c r="K61" i="13"/>
  <c r="D61" i="13"/>
  <c r="C61" i="13"/>
  <c r="D60" i="13"/>
  <c r="C60" i="13"/>
  <c r="D59" i="13"/>
  <c r="C59" i="13"/>
  <c r="K58" i="13" s="1"/>
  <c r="D58" i="13"/>
  <c r="C58" i="13"/>
  <c r="D57" i="13"/>
  <c r="C57" i="13"/>
  <c r="K57" i="13" s="1"/>
  <c r="D56" i="13"/>
  <c r="C56" i="13"/>
  <c r="D55" i="13"/>
  <c r="C55" i="13"/>
  <c r="D54" i="13"/>
  <c r="C54" i="13"/>
  <c r="D53" i="13"/>
  <c r="C53" i="13"/>
  <c r="K53" i="13" s="1"/>
  <c r="D52" i="13"/>
  <c r="C52" i="13"/>
  <c r="K52" i="13" s="1"/>
  <c r="D51" i="13"/>
  <c r="C51" i="13"/>
  <c r="K51" i="13" s="1"/>
  <c r="D50" i="13"/>
  <c r="C50" i="13"/>
  <c r="D49" i="13"/>
  <c r="C49" i="13"/>
  <c r="D48" i="13"/>
  <c r="C48" i="13"/>
  <c r="K48" i="13" s="1"/>
  <c r="K47" i="13"/>
  <c r="D47" i="13"/>
  <c r="C47" i="13"/>
  <c r="K46" i="13" s="1"/>
  <c r="D46" i="13"/>
  <c r="C46" i="13"/>
  <c r="D45" i="13"/>
  <c r="C45" i="13"/>
  <c r="K45" i="13" s="1"/>
  <c r="D44" i="13"/>
  <c r="C44" i="13"/>
  <c r="K44" i="13" s="1"/>
  <c r="D43" i="13"/>
  <c r="C43" i="13"/>
  <c r="D42" i="13"/>
  <c r="C42" i="13"/>
  <c r="K42" i="13" s="1"/>
  <c r="D41" i="13"/>
  <c r="C41" i="13"/>
  <c r="K41" i="13" s="1"/>
  <c r="D40" i="13"/>
  <c r="C40" i="13"/>
  <c r="K39" i="13"/>
  <c r="D39" i="13"/>
  <c r="C39" i="13"/>
  <c r="D38" i="13"/>
  <c r="C38" i="13"/>
  <c r="K38" i="13" s="1"/>
  <c r="K37" i="13"/>
  <c r="D37" i="13"/>
  <c r="C37" i="13"/>
  <c r="D36" i="13"/>
  <c r="C36" i="13"/>
  <c r="D35" i="13"/>
  <c r="C35" i="13"/>
  <c r="K35" i="13" s="1"/>
  <c r="D34" i="13"/>
  <c r="C34" i="13"/>
  <c r="K34" i="13" s="1"/>
  <c r="K33" i="13"/>
  <c r="D33" i="13"/>
  <c r="C33" i="13"/>
  <c r="D32" i="13"/>
  <c r="C32" i="13"/>
  <c r="D31" i="13"/>
  <c r="C31" i="13"/>
  <c r="K31" i="13" s="1"/>
  <c r="D30" i="13"/>
  <c r="C30" i="13"/>
  <c r="K29" i="13" s="1"/>
  <c r="D29" i="13"/>
  <c r="C29" i="13"/>
  <c r="D28" i="13"/>
  <c r="C28" i="13"/>
  <c r="K28" i="13" s="1"/>
  <c r="K27" i="13"/>
  <c r="D27" i="13"/>
  <c r="C27" i="13"/>
  <c r="K26" i="13"/>
  <c r="D26" i="13"/>
  <c r="C26" i="13"/>
  <c r="D25" i="13"/>
  <c r="C25" i="13"/>
  <c r="K25" i="13" s="1"/>
  <c r="D24" i="13"/>
  <c r="C24" i="13"/>
  <c r="K23" i="13" s="1"/>
  <c r="D23" i="13"/>
  <c r="C23" i="13"/>
  <c r="D22" i="13"/>
  <c r="C22" i="13"/>
  <c r="K22" i="13" s="1"/>
  <c r="D21" i="13"/>
  <c r="C21" i="13"/>
  <c r="D20" i="13"/>
  <c r="C20" i="13"/>
  <c r="K19" i="13"/>
  <c r="D19" i="13"/>
  <c r="C19" i="13"/>
  <c r="D18" i="13"/>
  <c r="C18" i="13"/>
  <c r="K17" i="13" s="1"/>
  <c r="D17" i="13"/>
  <c r="C17" i="13"/>
  <c r="K16" i="13"/>
  <c r="D16" i="13"/>
  <c r="C16" i="13"/>
  <c r="D15" i="13"/>
  <c r="C15" i="13"/>
  <c r="K15" i="13" s="1"/>
  <c r="D14" i="13"/>
  <c r="C14" i="13"/>
  <c r="K14" i="13" s="1"/>
  <c r="D13" i="13"/>
  <c r="C13" i="13"/>
  <c r="D12" i="13"/>
  <c r="C12" i="13"/>
  <c r="K11" i="13" s="1"/>
  <c r="D11" i="13"/>
  <c r="C11" i="13"/>
  <c r="D10" i="13"/>
  <c r="C10" i="13"/>
  <c r="K10" i="13" s="1"/>
  <c r="D9" i="13"/>
  <c r="C9" i="13"/>
  <c r="D8" i="13"/>
  <c r="C8" i="13"/>
  <c r="D7" i="13"/>
  <c r="C7" i="13"/>
  <c r="D6" i="13"/>
  <c r="C6" i="13"/>
  <c r="K6" i="13" s="1"/>
  <c r="D5" i="13"/>
  <c r="C5" i="13"/>
  <c r="K4" i="13" s="1"/>
  <c r="D4" i="13"/>
  <c r="C4" i="13"/>
  <c r="M3" i="13"/>
  <c r="D3" i="13"/>
  <c r="C3" i="13"/>
  <c r="M2" i="13"/>
  <c r="M4" i="13" s="1"/>
  <c r="E301" i="13" s="1"/>
  <c r="D2" i="13"/>
  <c r="C2" i="13"/>
  <c r="M1" i="13"/>
  <c r="K301" i="12"/>
  <c r="D301" i="12"/>
  <c r="C301" i="12"/>
  <c r="D300" i="12"/>
  <c r="C300" i="12"/>
  <c r="D299" i="12"/>
  <c r="C299" i="12"/>
  <c r="K299" i="12" s="1"/>
  <c r="K298" i="12"/>
  <c r="D298" i="12"/>
  <c r="C298" i="12"/>
  <c r="D297" i="12"/>
  <c r="C297" i="12"/>
  <c r="K297" i="12" s="1"/>
  <c r="D296" i="12"/>
  <c r="C296" i="12"/>
  <c r="D295" i="12"/>
  <c r="C295" i="12"/>
  <c r="K295" i="12" s="1"/>
  <c r="D294" i="12"/>
  <c r="C294" i="12"/>
  <c r="K294" i="12" s="1"/>
  <c r="K293" i="12"/>
  <c r="D293" i="12"/>
  <c r="C293" i="12"/>
  <c r="D292" i="12"/>
  <c r="C292" i="12"/>
  <c r="K292" i="12" s="1"/>
  <c r="D291" i="12"/>
  <c r="C291" i="12"/>
  <c r="K290" i="12" s="1"/>
  <c r="D290" i="12"/>
  <c r="C290" i="12"/>
  <c r="D289" i="12"/>
  <c r="C289" i="12"/>
  <c r="K289" i="12" s="1"/>
  <c r="D288" i="12"/>
  <c r="C288" i="12"/>
  <c r="K288" i="12" s="1"/>
  <c r="D287" i="12"/>
  <c r="C287" i="12"/>
  <c r="D286" i="12"/>
  <c r="C286" i="12"/>
  <c r="K286" i="12" s="1"/>
  <c r="D285" i="12"/>
  <c r="C285" i="12"/>
  <c r="K285" i="12" s="1"/>
  <c r="D284" i="12"/>
  <c r="C284" i="12"/>
  <c r="K284" i="12" s="1"/>
  <c r="D283" i="12"/>
  <c r="C283" i="12"/>
  <c r="D282" i="12"/>
  <c r="C282" i="12"/>
  <c r="K282" i="12" s="1"/>
  <c r="K281" i="12"/>
  <c r="D281" i="12"/>
  <c r="C281" i="12"/>
  <c r="D280" i="12"/>
  <c r="C280" i="12"/>
  <c r="D279" i="12"/>
  <c r="C279" i="12"/>
  <c r="K278" i="12"/>
  <c r="D278" i="12"/>
  <c r="C278" i="12"/>
  <c r="D277" i="12"/>
  <c r="C277" i="12"/>
  <c r="K277" i="12" s="1"/>
  <c r="D276" i="12"/>
  <c r="C276" i="12"/>
  <c r="D275" i="12"/>
  <c r="C275" i="12"/>
  <c r="K275" i="12" s="1"/>
  <c r="K274" i="12"/>
  <c r="D274" i="12"/>
  <c r="C274" i="12"/>
  <c r="D273" i="12"/>
  <c r="C273" i="12"/>
  <c r="K273" i="12" s="1"/>
  <c r="D272" i="12"/>
  <c r="C272" i="12"/>
  <c r="D271" i="12"/>
  <c r="C271" i="12"/>
  <c r="K271" i="12" s="1"/>
  <c r="K270" i="12"/>
  <c r="D270" i="12"/>
  <c r="C270" i="12"/>
  <c r="K269" i="12" s="1"/>
  <c r="D269" i="12"/>
  <c r="C269" i="12"/>
  <c r="D268" i="12"/>
  <c r="C268" i="12"/>
  <c r="K268" i="12" s="1"/>
  <c r="K267" i="12"/>
  <c r="D267" i="12"/>
  <c r="C267" i="12"/>
  <c r="K266" i="12" s="1"/>
  <c r="D266" i="12"/>
  <c r="C266" i="12"/>
  <c r="D265" i="12"/>
  <c r="C265" i="12"/>
  <c r="K265" i="12" s="1"/>
  <c r="D264" i="12"/>
  <c r="C264" i="12"/>
  <c r="D263" i="12"/>
  <c r="C263" i="12"/>
  <c r="D262" i="12"/>
  <c r="C262" i="12"/>
  <c r="K262" i="12" s="1"/>
  <c r="D261" i="12"/>
  <c r="C261" i="12"/>
  <c r="K260" i="12"/>
  <c r="D260" i="12"/>
  <c r="C260" i="12"/>
  <c r="D259" i="12"/>
  <c r="C259" i="12"/>
  <c r="D258" i="12"/>
  <c r="C258" i="12"/>
  <c r="K258" i="12" s="1"/>
  <c r="D257" i="12"/>
  <c r="C257" i="12"/>
  <c r="D256" i="12"/>
  <c r="C256" i="12"/>
  <c r="K256" i="12" s="1"/>
  <c r="D255" i="12"/>
  <c r="C255" i="12"/>
  <c r="D254" i="12"/>
  <c r="C254" i="12"/>
  <c r="K254" i="12" s="1"/>
  <c r="K253" i="12"/>
  <c r="D253" i="12"/>
  <c r="C253" i="12"/>
  <c r="D252" i="12"/>
  <c r="C252" i="12"/>
  <c r="K252" i="12" s="1"/>
  <c r="D251" i="12"/>
  <c r="C251" i="12"/>
  <c r="D250" i="12"/>
  <c r="C250" i="12"/>
  <c r="K250" i="12" s="1"/>
  <c r="K249" i="12"/>
  <c r="D249" i="12"/>
  <c r="C249" i="12"/>
  <c r="K248" i="12"/>
  <c r="D248" i="12"/>
  <c r="C248" i="12"/>
  <c r="D247" i="12"/>
  <c r="C247" i="12"/>
  <c r="K247" i="12" s="1"/>
  <c r="K246" i="12"/>
  <c r="D246" i="12"/>
  <c r="C246" i="12"/>
  <c r="D245" i="12"/>
  <c r="C245" i="12"/>
  <c r="K245" i="12" s="1"/>
  <c r="K244" i="12"/>
  <c r="D244" i="12"/>
  <c r="C244" i="12"/>
  <c r="D243" i="12"/>
  <c r="C243" i="12"/>
  <c r="K243" i="12" s="1"/>
  <c r="D242" i="12"/>
  <c r="C242" i="12"/>
  <c r="K242" i="12" s="1"/>
  <c r="K241" i="12"/>
  <c r="D241" i="12"/>
  <c r="C241" i="12"/>
  <c r="D240" i="12"/>
  <c r="C240" i="12"/>
  <c r="K240" i="12" s="1"/>
  <c r="D239" i="12"/>
  <c r="C239" i="12"/>
  <c r="D238" i="12"/>
  <c r="C238" i="12"/>
  <c r="K238" i="12" s="1"/>
  <c r="K237" i="12"/>
  <c r="D237" i="12"/>
  <c r="C237" i="12"/>
  <c r="D236" i="12"/>
  <c r="C236" i="12"/>
  <c r="K236" i="12" s="1"/>
  <c r="D235" i="12"/>
  <c r="C235" i="12"/>
  <c r="K234" i="12"/>
  <c r="D234" i="12"/>
  <c r="C234" i="12"/>
  <c r="K233" i="12"/>
  <c r="D233" i="12"/>
  <c r="C233" i="12"/>
  <c r="K232" i="12"/>
  <c r="D232" i="12"/>
  <c r="C232" i="12"/>
  <c r="D231" i="12"/>
  <c r="C231" i="12"/>
  <c r="K231" i="12" s="1"/>
  <c r="K230" i="12"/>
  <c r="D230" i="12"/>
  <c r="C230" i="12"/>
  <c r="D229" i="12"/>
  <c r="C229" i="12"/>
  <c r="K229" i="12" s="1"/>
  <c r="K228" i="12"/>
  <c r="D228" i="12"/>
  <c r="C228" i="12"/>
  <c r="D227" i="12"/>
  <c r="C227" i="12"/>
  <c r="K227" i="12" s="1"/>
  <c r="D226" i="12"/>
  <c r="C226" i="12"/>
  <c r="K226" i="12" s="1"/>
  <c r="K225" i="12"/>
  <c r="D225" i="12"/>
  <c r="C225" i="12"/>
  <c r="D224" i="12"/>
  <c r="C224" i="12"/>
  <c r="K224" i="12" s="1"/>
  <c r="D223" i="12"/>
  <c r="C223" i="12"/>
  <c r="D222" i="12"/>
  <c r="C222" i="12"/>
  <c r="K222" i="12" s="1"/>
  <c r="K221" i="12"/>
  <c r="D221" i="12"/>
  <c r="C221" i="12"/>
  <c r="D220" i="12"/>
  <c r="C220" i="12"/>
  <c r="K220" i="12" s="1"/>
  <c r="D219" i="12"/>
  <c r="C219" i="12"/>
  <c r="K218" i="12"/>
  <c r="D218" i="12"/>
  <c r="C218" i="12"/>
  <c r="K217" i="12"/>
  <c r="D217" i="12"/>
  <c r="C217" i="12"/>
  <c r="K216" i="12"/>
  <c r="D216" i="12"/>
  <c r="C216" i="12"/>
  <c r="D215" i="12"/>
  <c r="C215" i="12"/>
  <c r="K215" i="12" s="1"/>
  <c r="K214" i="12"/>
  <c r="D214" i="12"/>
  <c r="C214" i="12"/>
  <c r="D213" i="12"/>
  <c r="C213" i="12"/>
  <c r="K213" i="12" s="1"/>
  <c r="K212" i="12"/>
  <c r="D212" i="12"/>
  <c r="C212" i="12"/>
  <c r="D211" i="12"/>
  <c r="C211" i="12"/>
  <c r="K211" i="12" s="1"/>
  <c r="D210" i="12"/>
  <c r="C210" i="12"/>
  <c r="K210" i="12" s="1"/>
  <c r="K209" i="12"/>
  <c r="D209" i="12"/>
  <c r="C209" i="12"/>
  <c r="D208" i="12"/>
  <c r="C208" i="12"/>
  <c r="K208" i="12" s="1"/>
  <c r="D207" i="12"/>
  <c r="C207" i="12"/>
  <c r="D206" i="12"/>
  <c r="C206" i="12"/>
  <c r="K206" i="12" s="1"/>
  <c r="K205" i="12"/>
  <c r="D205" i="12"/>
  <c r="C205" i="12"/>
  <c r="D204" i="12"/>
  <c r="C204" i="12"/>
  <c r="K204" i="12" s="1"/>
  <c r="D203" i="12"/>
  <c r="C203" i="12"/>
  <c r="K202" i="12"/>
  <c r="D202" i="12"/>
  <c r="C202" i="12"/>
  <c r="K201" i="12"/>
  <c r="D201" i="12"/>
  <c r="C201" i="12"/>
  <c r="K200" i="12"/>
  <c r="D200" i="12"/>
  <c r="C200" i="12"/>
  <c r="D199" i="12"/>
  <c r="C199" i="12"/>
  <c r="K199" i="12" s="1"/>
  <c r="K198" i="12"/>
  <c r="D198" i="12"/>
  <c r="C198" i="12"/>
  <c r="D197" i="12"/>
  <c r="C197" i="12"/>
  <c r="K197" i="12" s="1"/>
  <c r="K196" i="12"/>
  <c r="D196" i="12"/>
  <c r="C196" i="12"/>
  <c r="D195" i="12"/>
  <c r="C195" i="12"/>
  <c r="K195" i="12" s="1"/>
  <c r="D194" i="12"/>
  <c r="C194" i="12"/>
  <c r="K194" i="12" s="1"/>
  <c r="K193" i="12"/>
  <c r="D193" i="12"/>
  <c r="C193" i="12"/>
  <c r="D192" i="12"/>
  <c r="C192" i="12"/>
  <c r="K192" i="12" s="1"/>
  <c r="D191" i="12"/>
  <c r="C191" i="12"/>
  <c r="D190" i="12"/>
  <c r="C190" i="12"/>
  <c r="K190" i="12" s="1"/>
  <c r="K189" i="12"/>
  <c r="D189" i="12"/>
  <c r="C189" i="12"/>
  <c r="D188" i="12"/>
  <c r="C188" i="12"/>
  <c r="K188" i="12" s="1"/>
  <c r="D187" i="12"/>
  <c r="C187" i="12"/>
  <c r="K186" i="12"/>
  <c r="D186" i="12"/>
  <c r="C186" i="12"/>
  <c r="K185" i="12"/>
  <c r="D185" i="12"/>
  <c r="C185" i="12"/>
  <c r="K184" i="12"/>
  <c r="D184" i="12"/>
  <c r="C184" i="12"/>
  <c r="D183" i="12"/>
  <c r="C183" i="12"/>
  <c r="K183" i="12" s="1"/>
  <c r="K182" i="12"/>
  <c r="D182" i="12"/>
  <c r="C182" i="12"/>
  <c r="D181" i="12"/>
  <c r="C181" i="12"/>
  <c r="K181" i="12" s="1"/>
  <c r="K180" i="12"/>
  <c r="D180" i="12"/>
  <c r="C180" i="12"/>
  <c r="D179" i="12"/>
  <c r="C179" i="12"/>
  <c r="K179" i="12" s="1"/>
  <c r="D178" i="12"/>
  <c r="C178" i="12"/>
  <c r="K178" i="12" s="1"/>
  <c r="K177" i="12"/>
  <c r="D177" i="12"/>
  <c r="C177" i="12"/>
  <c r="D176" i="12"/>
  <c r="C176" i="12"/>
  <c r="K176" i="12" s="1"/>
  <c r="D175" i="12"/>
  <c r="C175" i="12"/>
  <c r="D174" i="12"/>
  <c r="C174" i="12"/>
  <c r="K174" i="12" s="1"/>
  <c r="K173" i="12"/>
  <c r="D173" i="12"/>
  <c r="C173" i="12"/>
  <c r="D172" i="12"/>
  <c r="C172" i="12"/>
  <c r="K172" i="12" s="1"/>
  <c r="D171" i="12"/>
  <c r="C171" i="12"/>
  <c r="K170" i="12"/>
  <c r="D170" i="12"/>
  <c r="C170" i="12"/>
  <c r="K169" i="12"/>
  <c r="D169" i="12"/>
  <c r="C169" i="12"/>
  <c r="K168" i="12"/>
  <c r="D168" i="12"/>
  <c r="C168" i="12"/>
  <c r="D167" i="12"/>
  <c r="C167" i="12"/>
  <c r="K167" i="12" s="1"/>
  <c r="D166" i="12"/>
  <c r="C166" i="12"/>
  <c r="K166" i="12" s="1"/>
  <c r="D165" i="12"/>
  <c r="C165" i="12"/>
  <c r="K165" i="12" s="1"/>
  <c r="K164" i="12"/>
  <c r="D164" i="12"/>
  <c r="C164" i="12"/>
  <c r="D163" i="12"/>
  <c r="C163" i="12"/>
  <c r="K163" i="12" s="1"/>
  <c r="D162" i="12"/>
  <c r="C162" i="12"/>
  <c r="K162" i="12" s="1"/>
  <c r="K161" i="12"/>
  <c r="D161" i="12"/>
  <c r="C161" i="12"/>
  <c r="D160" i="12"/>
  <c r="C160" i="12"/>
  <c r="K160" i="12" s="1"/>
  <c r="D159" i="12"/>
  <c r="C159" i="12"/>
  <c r="D158" i="12"/>
  <c r="C158" i="12"/>
  <c r="K158" i="12" s="1"/>
  <c r="K157" i="12"/>
  <c r="D157" i="12"/>
  <c r="C157" i="12"/>
  <c r="D156" i="12"/>
  <c r="C156" i="12"/>
  <c r="K156" i="12" s="1"/>
  <c r="D155" i="12"/>
  <c r="C155" i="12"/>
  <c r="K154" i="12"/>
  <c r="D154" i="12"/>
  <c r="C154" i="12"/>
  <c r="K153" i="12"/>
  <c r="D153" i="12"/>
  <c r="C153" i="12"/>
  <c r="K152" i="12"/>
  <c r="D152" i="12"/>
  <c r="C152" i="12"/>
  <c r="D151" i="12"/>
  <c r="C151" i="12"/>
  <c r="K151" i="12" s="1"/>
  <c r="D150" i="12"/>
  <c r="C150" i="12"/>
  <c r="K150" i="12" s="1"/>
  <c r="D149" i="12"/>
  <c r="C149" i="12"/>
  <c r="K149" i="12" s="1"/>
  <c r="K148" i="12"/>
  <c r="D148" i="12"/>
  <c r="C148" i="12"/>
  <c r="D147" i="12"/>
  <c r="C147" i="12"/>
  <c r="K147" i="12" s="1"/>
  <c r="K146" i="12"/>
  <c r="D146" i="12"/>
  <c r="C146" i="12"/>
  <c r="K145" i="12"/>
  <c r="D145" i="12"/>
  <c r="C145" i="12"/>
  <c r="K144" i="12"/>
  <c r="D144" i="12"/>
  <c r="C144" i="12"/>
  <c r="D143" i="12"/>
  <c r="C143" i="12"/>
  <c r="K143" i="12" s="1"/>
  <c r="K142" i="12"/>
  <c r="D142" i="12"/>
  <c r="C142" i="12"/>
  <c r="K141" i="12"/>
  <c r="D141" i="12"/>
  <c r="C141" i="12"/>
  <c r="K140" i="12"/>
  <c r="D140" i="12"/>
  <c r="C140" i="12"/>
  <c r="D139" i="12"/>
  <c r="C139" i="12"/>
  <c r="K139" i="12" s="1"/>
  <c r="K138" i="12"/>
  <c r="D138" i="12"/>
  <c r="C138" i="12"/>
  <c r="K137" i="12"/>
  <c r="D137" i="12"/>
  <c r="C137" i="12"/>
  <c r="K136" i="12"/>
  <c r="D136" i="12"/>
  <c r="C136" i="12"/>
  <c r="D135" i="12"/>
  <c r="C135" i="12"/>
  <c r="K135" i="12" s="1"/>
  <c r="K134" i="12"/>
  <c r="D134" i="12"/>
  <c r="C134" i="12"/>
  <c r="K133" i="12"/>
  <c r="D133" i="12"/>
  <c r="C133" i="12"/>
  <c r="K132" i="12"/>
  <c r="D132" i="12"/>
  <c r="C132" i="12"/>
  <c r="D131" i="12"/>
  <c r="C131" i="12"/>
  <c r="K131" i="12" s="1"/>
  <c r="K130" i="12"/>
  <c r="D130" i="12"/>
  <c r="C130" i="12"/>
  <c r="K129" i="12"/>
  <c r="D129" i="12"/>
  <c r="C129" i="12"/>
  <c r="K128" i="12"/>
  <c r="D128" i="12"/>
  <c r="C128" i="12"/>
  <c r="D127" i="12"/>
  <c r="C127" i="12"/>
  <c r="K127" i="12" s="1"/>
  <c r="K126" i="12"/>
  <c r="D126" i="12"/>
  <c r="C126" i="12"/>
  <c r="K125" i="12"/>
  <c r="D125" i="12"/>
  <c r="C125" i="12"/>
  <c r="K124" i="12"/>
  <c r="D124" i="12"/>
  <c r="C124" i="12"/>
  <c r="D123" i="12"/>
  <c r="C123" i="12"/>
  <c r="K123" i="12" s="1"/>
  <c r="K122" i="12"/>
  <c r="D122" i="12"/>
  <c r="C122" i="12"/>
  <c r="K121" i="12"/>
  <c r="D121" i="12"/>
  <c r="C121" i="12"/>
  <c r="K120" i="12"/>
  <c r="D120" i="12"/>
  <c r="C120" i="12"/>
  <c r="D119" i="12"/>
  <c r="C119" i="12"/>
  <c r="K119" i="12" s="1"/>
  <c r="K118" i="12"/>
  <c r="D118" i="12"/>
  <c r="C118" i="12"/>
  <c r="K117" i="12"/>
  <c r="D117" i="12"/>
  <c r="C117" i="12"/>
  <c r="K116" i="12"/>
  <c r="D116" i="12"/>
  <c r="C116" i="12"/>
  <c r="D115" i="12"/>
  <c r="C115" i="12"/>
  <c r="K115" i="12" s="1"/>
  <c r="K114" i="12"/>
  <c r="D114" i="12"/>
  <c r="C114" i="12"/>
  <c r="K113" i="12"/>
  <c r="D113" i="12"/>
  <c r="C113" i="12"/>
  <c r="K112" i="12"/>
  <c r="D112" i="12"/>
  <c r="C112" i="12"/>
  <c r="D111" i="12"/>
  <c r="C111" i="12"/>
  <c r="K111" i="12" s="1"/>
  <c r="K110" i="12"/>
  <c r="D110" i="12"/>
  <c r="C110" i="12"/>
  <c r="K109" i="12"/>
  <c r="D109" i="12"/>
  <c r="C109" i="12"/>
  <c r="K108" i="12"/>
  <c r="D108" i="12"/>
  <c r="C108" i="12"/>
  <c r="D107" i="12"/>
  <c r="C107" i="12"/>
  <c r="K107" i="12" s="1"/>
  <c r="K106" i="12"/>
  <c r="D106" i="12"/>
  <c r="C106" i="12"/>
  <c r="K105" i="12"/>
  <c r="D105" i="12"/>
  <c r="C105" i="12"/>
  <c r="K104" i="12"/>
  <c r="D104" i="12"/>
  <c r="C104" i="12"/>
  <c r="D103" i="12"/>
  <c r="C103" i="12"/>
  <c r="K103" i="12" s="1"/>
  <c r="K102" i="12"/>
  <c r="D102" i="12"/>
  <c r="C102" i="12"/>
  <c r="K101" i="12"/>
  <c r="D101" i="12"/>
  <c r="C101" i="12"/>
  <c r="K100" i="12"/>
  <c r="D100" i="12"/>
  <c r="C100" i="12"/>
  <c r="D99" i="12"/>
  <c r="C99" i="12"/>
  <c r="K99" i="12" s="1"/>
  <c r="K98" i="12"/>
  <c r="D98" i="12"/>
  <c r="C98" i="12"/>
  <c r="K97" i="12"/>
  <c r="D97" i="12"/>
  <c r="C97" i="12"/>
  <c r="K96" i="12"/>
  <c r="D96" i="12"/>
  <c r="C96" i="12"/>
  <c r="D95" i="12"/>
  <c r="C95" i="12"/>
  <c r="K95" i="12" s="1"/>
  <c r="K94" i="12"/>
  <c r="D94" i="12"/>
  <c r="C94" i="12"/>
  <c r="K93" i="12"/>
  <c r="D93" i="12"/>
  <c r="C93" i="12"/>
  <c r="K92" i="12"/>
  <c r="D92" i="12"/>
  <c r="C92" i="12"/>
  <c r="D91" i="12"/>
  <c r="C91" i="12"/>
  <c r="K91" i="12" s="1"/>
  <c r="K90" i="12"/>
  <c r="D90" i="12"/>
  <c r="C90" i="12"/>
  <c r="K89" i="12"/>
  <c r="D89" i="12"/>
  <c r="C89" i="12"/>
  <c r="K88" i="12"/>
  <c r="D88" i="12"/>
  <c r="C88" i="12"/>
  <c r="D87" i="12"/>
  <c r="C87" i="12"/>
  <c r="K87" i="12" s="1"/>
  <c r="K86" i="12"/>
  <c r="D86" i="12"/>
  <c r="C86" i="12"/>
  <c r="K85" i="12"/>
  <c r="D85" i="12"/>
  <c r="C85" i="12"/>
  <c r="K84" i="12"/>
  <c r="D84" i="12"/>
  <c r="C84" i="12"/>
  <c r="D83" i="12"/>
  <c r="C83" i="12"/>
  <c r="K83" i="12" s="1"/>
  <c r="K82" i="12"/>
  <c r="D82" i="12"/>
  <c r="C82" i="12"/>
  <c r="K81" i="12"/>
  <c r="D81" i="12"/>
  <c r="C81" i="12"/>
  <c r="K80" i="12"/>
  <c r="D80" i="12"/>
  <c r="C80" i="12"/>
  <c r="D79" i="12"/>
  <c r="C79" i="12"/>
  <c r="K79" i="12" s="1"/>
  <c r="K78" i="12"/>
  <c r="D78" i="12"/>
  <c r="C78" i="12"/>
  <c r="K77" i="12"/>
  <c r="D77" i="12"/>
  <c r="C77" i="12"/>
  <c r="K76" i="12"/>
  <c r="D76" i="12"/>
  <c r="C76" i="12"/>
  <c r="D75" i="12"/>
  <c r="C75" i="12"/>
  <c r="K75" i="12" s="1"/>
  <c r="K74" i="12"/>
  <c r="D74" i="12"/>
  <c r="C74" i="12"/>
  <c r="K73" i="12"/>
  <c r="D73" i="12"/>
  <c r="C73" i="12"/>
  <c r="K72" i="12"/>
  <c r="D72" i="12"/>
  <c r="C72" i="12"/>
  <c r="D71" i="12"/>
  <c r="C71" i="12"/>
  <c r="K71" i="12" s="1"/>
  <c r="K70" i="12"/>
  <c r="D70" i="12"/>
  <c r="C70" i="12"/>
  <c r="K69" i="12"/>
  <c r="D69" i="12"/>
  <c r="C69" i="12"/>
  <c r="K68" i="12"/>
  <c r="D68" i="12"/>
  <c r="C68" i="12"/>
  <c r="D67" i="12"/>
  <c r="C67" i="12"/>
  <c r="K67" i="12" s="1"/>
  <c r="K66" i="12"/>
  <c r="D66" i="12"/>
  <c r="C66" i="12"/>
  <c r="K65" i="12"/>
  <c r="D65" i="12"/>
  <c r="C65" i="12"/>
  <c r="K64" i="12"/>
  <c r="D64" i="12"/>
  <c r="C64" i="12"/>
  <c r="D63" i="12"/>
  <c r="C63" i="12"/>
  <c r="K63" i="12" s="1"/>
  <c r="K62" i="12"/>
  <c r="D62" i="12"/>
  <c r="C62" i="12"/>
  <c r="K61" i="12"/>
  <c r="D61" i="12"/>
  <c r="C61" i="12"/>
  <c r="K60" i="12"/>
  <c r="D60" i="12"/>
  <c r="C60" i="12"/>
  <c r="D59" i="12"/>
  <c r="C59" i="12"/>
  <c r="K59" i="12" s="1"/>
  <c r="K58" i="12"/>
  <c r="D58" i="12"/>
  <c r="C58" i="12"/>
  <c r="K57" i="12"/>
  <c r="D57" i="12"/>
  <c r="C57" i="12"/>
  <c r="K56" i="12"/>
  <c r="D56" i="12"/>
  <c r="C56" i="12"/>
  <c r="D55" i="12"/>
  <c r="C55" i="12"/>
  <c r="K55" i="12" s="1"/>
  <c r="K54" i="12"/>
  <c r="D54" i="12"/>
  <c r="C54" i="12"/>
  <c r="K53" i="12"/>
  <c r="D53" i="12"/>
  <c r="C53" i="12"/>
  <c r="K52" i="12"/>
  <c r="D52" i="12"/>
  <c r="C52" i="12"/>
  <c r="D51" i="12"/>
  <c r="C51" i="12"/>
  <c r="K51" i="12" s="1"/>
  <c r="K50" i="12"/>
  <c r="D50" i="12"/>
  <c r="C50" i="12"/>
  <c r="K49" i="12"/>
  <c r="D49" i="12"/>
  <c r="C49" i="12"/>
  <c r="K48" i="12"/>
  <c r="D48" i="12"/>
  <c r="C48" i="12"/>
  <c r="D47" i="12"/>
  <c r="C47" i="12"/>
  <c r="K47" i="12" s="1"/>
  <c r="K46" i="12"/>
  <c r="D46" i="12"/>
  <c r="C46" i="12"/>
  <c r="K45" i="12"/>
  <c r="D45" i="12"/>
  <c r="C45" i="12"/>
  <c r="K44" i="12"/>
  <c r="D44" i="12"/>
  <c r="C44" i="12"/>
  <c r="D43" i="12"/>
  <c r="C43" i="12"/>
  <c r="K43" i="12" s="1"/>
  <c r="K42" i="12"/>
  <c r="D42" i="12"/>
  <c r="C42" i="12"/>
  <c r="K41" i="12"/>
  <c r="D41" i="12"/>
  <c r="C41" i="12"/>
  <c r="K40" i="12"/>
  <c r="D40" i="12"/>
  <c r="C40" i="12"/>
  <c r="D39" i="12"/>
  <c r="C39" i="12"/>
  <c r="K39" i="12" s="1"/>
  <c r="K38" i="12"/>
  <c r="D38" i="12"/>
  <c r="C38" i="12"/>
  <c r="K37" i="12"/>
  <c r="D37" i="12"/>
  <c r="C37" i="12"/>
  <c r="K36" i="12"/>
  <c r="D36" i="12"/>
  <c r="C36" i="12"/>
  <c r="D35" i="12"/>
  <c r="C35" i="12"/>
  <c r="K35" i="12" s="1"/>
  <c r="K34" i="12"/>
  <c r="D34" i="12"/>
  <c r="C34" i="12"/>
  <c r="K33" i="12"/>
  <c r="D33" i="12"/>
  <c r="C33" i="12"/>
  <c r="K32" i="12"/>
  <c r="D32" i="12"/>
  <c r="C32" i="12"/>
  <c r="D31" i="12"/>
  <c r="C31" i="12"/>
  <c r="K31" i="12" s="1"/>
  <c r="K30" i="12"/>
  <c r="D30" i="12"/>
  <c r="C30" i="12"/>
  <c r="K29" i="12"/>
  <c r="D29" i="12"/>
  <c r="C29" i="12"/>
  <c r="K28" i="12"/>
  <c r="D28" i="12"/>
  <c r="C28" i="12"/>
  <c r="D27" i="12"/>
  <c r="C27" i="12"/>
  <c r="K27" i="12" s="1"/>
  <c r="K26" i="12"/>
  <c r="D26" i="12"/>
  <c r="C26" i="12"/>
  <c r="K25" i="12"/>
  <c r="D25" i="12"/>
  <c r="C25" i="12"/>
  <c r="D24" i="12"/>
  <c r="C24" i="12"/>
  <c r="K24" i="12" s="1"/>
  <c r="K23" i="12"/>
  <c r="D23" i="12"/>
  <c r="C23" i="12"/>
  <c r="D22" i="12"/>
  <c r="C22" i="12"/>
  <c r="K22" i="12" s="1"/>
  <c r="D21" i="12"/>
  <c r="C21" i="12"/>
  <c r="D20" i="12"/>
  <c r="C20" i="12"/>
  <c r="K19" i="12" s="1"/>
  <c r="D19" i="12"/>
  <c r="C19" i="12"/>
  <c r="D18" i="12"/>
  <c r="C18" i="12"/>
  <c r="K18" i="12" s="1"/>
  <c r="D17" i="12"/>
  <c r="C17" i="12"/>
  <c r="K17" i="12" s="1"/>
  <c r="D16" i="12"/>
  <c r="C16" i="12"/>
  <c r="K16" i="12" s="1"/>
  <c r="D15" i="12"/>
  <c r="C15" i="12"/>
  <c r="D14" i="12"/>
  <c r="C14" i="12"/>
  <c r="K14" i="12" s="1"/>
  <c r="D13" i="12"/>
  <c r="C13" i="12"/>
  <c r="K13" i="12" s="1"/>
  <c r="D12" i="12"/>
  <c r="C12" i="12"/>
  <c r="K12" i="12" s="1"/>
  <c r="D11" i="12"/>
  <c r="C11" i="12"/>
  <c r="K11" i="12" s="1"/>
  <c r="D10" i="12"/>
  <c r="C10" i="12"/>
  <c r="D9" i="12"/>
  <c r="C9" i="12"/>
  <c r="K9" i="12" s="1"/>
  <c r="D8" i="12"/>
  <c r="C8" i="12"/>
  <c r="K7" i="12"/>
  <c r="D7" i="12"/>
  <c r="C7" i="12"/>
  <c r="D6" i="12"/>
  <c r="C6" i="12"/>
  <c r="K6" i="12" s="1"/>
  <c r="D5" i="12"/>
  <c r="C5" i="12"/>
  <c r="D4" i="12"/>
  <c r="C4" i="12"/>
  <c r="K4" i="12" s="1"/>
  <c r="M3" i="12"/>
  <c r="D3" i="12"/>
  <c r="C3" i="12"/>
  <c r="M2" i="12"/>
  <c r="M4" i="12" s="1"/>
  <c r="D2" i="12"/>
  <c r="C2" i="12"/>
  <c r="M1" i="12"/>
  <c r="K301" i="11"/>
  <c r="D301" i="11"/>
  <c r="C301" i="11"/>
  <c r="K300" i="11"/>
  <c r="D300" i="11"/>
  <c r="C300" i="11"/>
  <c r="D299" i="11"/>
  <c r="C299" i="11"/>
  <c r="K299" i="11" s="1"/>
  <c r="K298" i="11"/>
  <c r="D298" i="11"/>
  <c r="C298" i="11"/>
  <c r="K297" i="11"/>
  <c r="D297" i="11"/>
  <c r="C297" i="11"/>
  <c r="K296" i="11"/>
  <c r="D296" i="11"/>
  <c r="C296" i="11"/>
  <c r="D295" i="11"/>
  <c r="C295" i="11"/>
  <c r="K295" i="11" s="1"/>
  <c r="K294" i="11"/>
  <c r="D294" i="11"/>
  <c r="C294" i="11"/>
  <c r="K293" i="11"/>
  <c r="D293" i="11"/>
  <c r="C293" i="11"/>
  <c r="K292" i="11"/>
  <c r="D292" i="11"/>
  <c r="C292" i="11"/>
  <c r="D291" i="11"/>
  <c r="C291" i="11"/>
  <c r="K291" i="11" s="1"/>
  <c r="K290" i="11"/>
  <c r="D290" i="11"/>
  <c r="C290" i="11"/>
  <c r="K289" i="11"/>
  <c r="D289" i="11"/>
  <c r="C289" i="11"/>
  <c r="K288" i="11"/>
  <c r="D288" i="11"/>
  <c r="C288" i="11"/>
  <c r="D287" i="11"/>
  <c r="C287" i="11"/>
  <c r="K287" i="11" s="1"/>
  <c r="K286" i="11"/>
  <c r="D286" i="11"/>
  <c r="C286" i="11"/>
  <c r="K285" i="11"/>
  <c r="D285" i="11"/>
  <c r="C285" i="11"/>
  <c r="K284" i="11"/>
  <c r="D284" i="11"/>
  <c r="C284" i="11"/>
  <c r="D283" i="11"/>
  <c r="C283" i="11"/>
  <c r="K283" i="11" s="1"/>
  <c r="K282" i="11"/>
  <c r="D282" i="11"/>
  <c r="C282" i="11"/>
  <c r="K281" i="11"/>
  <c r="D281" i="11"/>
  <c r="C281" i="11"/>
  <c r="K280" i="11"/>
  <c r="D280" i="11"/>
  <c r="C280" i="11"/>
  <c r="D279" i="11"/>
  <c r="C279" i="11"/>
  <c r="K279" i="11" s="1"/>
  <c r="K278" i="11"/>
  <c r="D278" i="11"/>
  <c r="C278" i="11"/>
  <c r="K277" i="11"/>
  <c r="D277" i="11"/>
  <c r="C277" i="11"/>
  <c r="K276" i="11"/>
  <c r="D276" i="11"/>
  <c r="C276" i="11"/>
  <c r="D275" i="11"/>
  <c r="C275" i="11"/>
  <c r="K275" i="11" s="1"/>
  <c r="K274" i="11"/>
  <c r="D274" i="11"/>
  <c r="C274" i="11"/>
  <c r="K273" i="11"/>
  <c r="D273" i="11"/>
  <c r="C273" i="11"/>
  <c r="K272" i="11"/>
  <c r="D272" i="11"/>
  <c r="C272" i="11"/>
  <c r="D271" i="11"/>
  <c r="C271" i="11"/>
  <c r="K271" i="11" s="1"/>
  <c r="K270" i="11"/>
  <c r="D270" i="11"/>
  <c r="C270" i="11"/>
  <c r="K269" i="11"/>
  <c r="D269" i="11"/>
  <c r="C269" i="11"/>
  <c r="K268" i="11"/>
  <c r="D268" i="11"/>
  <c r="C268" i="11"/>
  <c r="D267" i="11"/>
  <c r="C267" i="11"/>
  <c r="K267" i="11" s="1"/>
  <c r="K266" i="11"/>
  <c r="D266" i="11"/>
  <c r="C266" i="11"/>
  <c r="K265" i="11"/>
  <c r="D265" i="11"/>
  <c r="C265" i="11"/>
  <c r="K264" i="11"/>
  <c r="D264" i="11"/>
  <c r="C264" i="11"/>
  <c r="D263" i="11"/>
  <c r="C263" i="11"/>
  <c r="K263" i="11" s="1"/>
  <c r="K262" i="11"/>
  <c r="D262" i="11"/>
  <c r="C262" i="11"/>
  <c r="K261" i="11"/>
  <c r="D261" i="11"/>
  <c r="C261" i="11"/>
  <c r="K260" i="11"/>
  <c r="D260" i="11"/>
  <c r="C260" i="11"/>
  <c r="D259" i="11"/>
  <c r="C259" i="11"/>
  <c r="K259" i="11" s="1"/>
  <c r="K258" i="11"/>
  <c r="D258" i="11"/>
  <c r="C258" i="11"/>
  <c r="K257" i="11"/>
  <c r="D257" i="11"/>
  <c r="C257" i="11"/>
  <c r="K256" i="11"/>
  <c r="D256" i="11"/>
  <c r="C256" i="11"/>
  <c r="D255" i="11"/>
  <c r="C255" i="11"/>
  <c r="K255" i="11" s="1"/>
  <c r="K254" i="11"/>
  <c r="D254" i="11"/>
  <c r="C254" i="11"/>
  <c r="K253" i="11"/>
  <c r="D253" i="11"/>
  <c r="C253" i="11"/>
  <c r="K252" i="11"/>
  <c r="D252" i="11"/>
  <c r="C252" i="11"/>
  <c r="D251" i="11"/>
  <c r="C251" i="11"/>
  <c r="K251" i="11" s="1"/>
  <c r="K250" i="11"/>
  <c r="D250" i="11"/>
  <c r="C250" i="11"/>
  <c r="K249" i="11"/>
  <c r="D249" i="11"/>
  <c r="C249" i="11"/>
  <c r="K248" i="11"/>
  <c r="D248" i="11"/>
  <c r="C248" i="11"/>
  <c r="D247" i="11"/>
  <c r="C247" i="11"/>
  <c r="K247" i="11" s="1"/>
  <c r="K246" i="11"/>
  <c r="D246" i="11"/>
  <c r="C246" i="11"/>
  <c r="K245" i="11"/>
  <c r="D245" i="11"/>
  <c r="C245" i="11"/>
  <c r="K244" i="11"/>
  <c r="D244" i="11"/>
  <c r="C244" i="11"/>
  <c r="D243" i="11"/>
  <c r="C243" i="11"/>
  <c r="K243" i="11" s="1"/>
  <c r="K242" i="11"/>
  <c r="D242" i="11"/>
  <c r="C242" i="11"/>
  <c r="K241" i="11"/>
  <c r="D241" i="11"/>
  <c r="C241" i="11"/>
  <c r="K240" i="11"/>
  <c r="D240" i="11"/>
  <c r="C240" i="11"/>
  <c r="D239" i="11"/>
  <c r="C239" i="11"/>
  <c r="K239" i="11" s="1"/>
  <c r="K238" i="11"/>
  <c r="D238" i="11"/>
  <c r="C238" i="11"/>
  <c r="K237" i="11"/>
  <c r="D237" i="11"/>
  <c r="C237" i="11"/>
  <c r="K236" i="11"/>
  <c r="D236" i="11"/>
  <c r="C236" i="11"/>
  <c r="D235" i="11"/>
  <c r="C235" i="11"/>
  <c r="K235" i="11" s="1"/>
  <c r="K234" i="11"/>
  <c r="D234" i="11"/>
  <c r="C234" i="11"/>
  <c r="K233" i="11"/>
  <c r="D233" i="11"/>
  <c r="C233" i="11"/>
  <c r="K232" i="11"/>
  <c r="D232" i="11"/>
  <c r="C232" i="11"/>
  <c r="D231" i="11"/>
  <c r="C231" i="11"/>
  <c r="K231" i="11" s="1"/>
  <c r="K230" i="11"/>
  <c r="D230" i="11"/>
  <c r="C230" i="11"/>
  <c r="K229" i="11"/>
  <c r="D229" i="11"/>
  <c r="C229" i="11"/>
  <c r="K228" i="11"/>
  <c r="D228" i="11"/>
  <c r="C228" i="11"/>
  <c r="D227" i="11"/>
  <c r="C227" i="11"/>
  <c r="K227" i="11" s="1"/>
  <c r="K226" i="11"/>
  <c r="D226" i="11"/>
  <c r="C226" i="11"/>
  <c r="K225" i="11"/>
  <c r="D225" i="11"/>
  <c r="C225" i="11"/>
  <c r="K224" i="11"/>
  <c r="D224" i="11"/>
  <c r="C224" i="11"/>
  <c r="D223" i="11"/>
  <c r="C223" i="11"/>
  <c r="K223" i="11" s="1"/>
  <c r="K222" i="11"/>
  <c r="D222" i="11"/>
  <c r="C222" i="11"/>
  <c r="K221" i="11"/>
  <c r="D221" i="11"/>
  <c r="C221" i="11"/>
  <c r="K220" i="11"/>
  <c r="D220" i="11"/>
  <c r="C220" i="11"/>
  <c r="D219" i="11"/>
  <c r="C219" i="11"/>
  <c r="K219" i="11" s="1"/>
  <c r="K218" i="11"/>
  <c r="D218" i="11"/>
  <c r="C218" i="11"/>
  <c r="K217" i="11"/>
  <c r="D217" i="11"/>
  <c r="C217" i="11"/>
  <c r="K216" i="11"/>
  <c r="D216" i="11"/>
  <c r="C216" i="11"/>
  <c r="D215" i="11"/>
  <c r="C215" i="11"/>
  <c r="K215" i="11" s="1"/>
  <c r="K214" i="11"/>
  <c r="D214" i="11"/>
  <c r="C214" i="11"/>
  <c r="K213" i="11"/>
  <c r="D213" i="11"/>
  <c r="C213" i="11"/>
  <c r="K212" i="11"/>
  <c r="D212" i="11"/>
  <c r="C212" i="11"/>
  <c r="D211" i="11"/>
  <c r="C211" i="11"/>
  <c r="K211" i="11" s="1"/>
  <c r="K210" i="11"/>
  <c r="D210" i="11"/>
  <c r="C210" i="11"/>
  <c r="K209" i="11"/>
  <c r="D209" i="11"/>
  <c r="C209" i="11"/>
  <c r="K208" i="11"/>
  <c r="D208" i="11"/>
  <c r="C208" i="11"/>
  <c r="D207" i="11"/>
  <c r="C207" i="11"/>
  <c r="K207" i="11" s="1"/>
  <c r="K206" i="11"/>
  <c r="D206" i="11"/>
  <c r="C206" i="11"/>
  <c r="K205" i="11"/>
  <c r="D205" i="11"/>
  <c r="C205" i="11"/>
  <c r="K204" i="11"/>
  <c r="D204" i="11"/>
  <c r="C204" i="11"/>
  <c r="D203" i="11"/>
  <c r="C203" i="11"/>
  <c r="K203" i="11" s="1"/>
  <c r="K202" i="11"/>
  <c r="D202" i="11"/>
  <c r="C202" i="11"/>
  <c r="K201" i="11"/>
  <c r="D201" i="11"/>
  <c r="C201" i="11"/>
  <c r="K200" i="11"/>
  <c r="D200" i="11"/>
  <c r="C200" i="11"/>
  <c r="D199" i="11"/>
  <c r="C199" i="11"/>
  <c r="K199" i="11" s="1"/>
  <c r="K198" i="11"/>
  <c r="D198" i="11"/>
  <c r="C198" i="11"/>
  <c r="K197" i="11"/>
  <c r="D197" i="11"/>
  <c r="C197" i="11"/>
  <c r="K196" i="11"/>
  <c r="D196" i="11"/>
  <c r="C196" i="11"/>
  <c r="D195" i="11"/>
  <c r="C195" i="11"/>
  <c r="K195" i="11" s="1"/>
  <c r="K194" i="11"/>
  <c r="D194" i="11"/>
  <c r="C194" i="11"/>
  <c r="K193" i="11"/>
  <c r="D193" i="11"/>
  <c r="C193" i="11"/>
  <c r="K192" i="11"/>
  <c r="D192" i="11"/>
  <c r="C192" i="11"/>
  <c r="D191" i="11"/>
  <c r="C191" i="11"/>
  <c r="K191" i="11" s="1"/>
  <c r="K190" i="11"/>
  <c r="D190" i="11"/>
  <c r="C190" i="11"/>
  <c r="K189" i="11"/>
  <c r="D189" i="11"/>
  <c r="C189" i="11"/>
  <c r="K188" i="11"/>
  <c r="D188" i="11"/>
  <c r="C188" i="11"/>
  <c r="D187" i="11"/>
  <c r="C187" i="11"/>
  <c r="K187" i="11" s="1"/>
  <c r="K186" i="11"/>
  <c r="D186" i="11"/>
  <c r="C186" i="11"/>
  <c r="K185" i="11"/>
  <c r="D185" i="11"/>
  <c r="C185" i="11"/>
  <c r="K184" i="11"/>
  <c r="D184" i="11"/>
  <c r="C184" i="11"/>
  <c r="D183" i="11"/>
  <c r="C183" i="11"/>
  <c r="K183" i="11" s="1"/>
  <c r="K182" i="11"/>
  <c r="D182" i="11"/>
  <c r="C182" i="11"/>
  <c r="K181" i="11"/>
  <c r="D181" i="11"/>
  <c r="C181" i="11"/>
  <c r="K180" i="11"/>
  <c r="D180" i="11"/>
  <c r="C180" i="11"/>
  <c r="D179" i="11"/>
  <c r="C179" i="11"/>
  <c r="K179" i="11" s="1"/>
  <c r="K178" i="11"/>
  <c r="D178" i="11"/>
  <c r="C178" i="11"/>
  <c r="K177" i="11"/>
  <c r="D177" i="11"/>
  <c r="C177" i="11"/>
  <c r="D176" i="11"/>
  <c r="C176" i="11"/>
  <c r="K176" i="11" s="1"/>
  <c r="D175" i="11"/>
  <c r="C175" i="11"/>
  <c r="K174" i="11"/>
  <c r="D174" i="11"/>
  <c r="C174" i="11"/>
  <c r="K173" i="11"/>
  <c r="D173" i="11"/>
  <c r="C173" i="11"/>
  <c r="K172" i="11"/>
  <c r="D172" i="11"/>
  <c r="C172" i="11"/>
  <c r="D171" i="11"/>
  <c r="C171" i="11"/>
  <c r="K171" i="11" s="1"/>
  <c r="K170" i="11"/>
  <c r="D170" i="11"/>
  <c r="C170" i="11"/>
  <c r="K169" i="11"/>
  <c r="D169" i="11"/>
  <c r="C169" i="11"/>
  <c r="D168" i="11"/>
  <c r="C168" i="11"/>
  <c r="K168" i="11" s="1"/>
  <c r="D167" i="11"/>
  <c r="C167" i="11"/>
  <c r="D166" i="11"/>
  <c r="C166" i="11"/>
  <c r="D165" i="11"/>
  <c r="C165" i="11"/>
  <c r="K164" i="11"/>
  <c r="D164" i="11"/>
  <c r="C164" i="11"/>
  <c r="D163" i="11"/>
  <c r="C163" i="11"/>
  <c r="K163" i="11" s="1"/>
  <c r="D162" i="11"/>
  <c r="C162" i="11"/>
  <c r="K161" i="11" s="1"/>
  <c r="D161" i="11"/>
  <c r="C161" i="11"/>
  <c r="D160" i="11"/>
  <c r="C160" i="11"/>
  <c r="K160" i="11" s="1"/>
  <c r="D159" i="11"/>
  <c r="C159" i="11"/>
  <c r="D158" i="11"/>
  <c r="C158" i="11"/>
  <c r="D157" i="11"/>
  <c r="C157" i="11"/>
  <c r="D156" i="11"/>
  <c r="C156" i="11"/>
  <c r="K156" i="11" s="1"/>
  <c r="D155" i="11"/>
  <c r="C155" i="11"/>
  <c r="K155" i="11" s="1"/>
  <c r="D154" i="11"/>
  <c r="C154" i="11"/>
  <c r="D153" i="11"/>
  <c r="C153" i="11"/>
  <c r="D152" i="11"/>
  <c r="C152" i="11"/>
  <c r="K152" i="11" s="1"/>
  <c r="D151" i="11"/>
  <c r="C151" i="11"/>
  <c r="K151" i="11" s="1"/>
  <c r="D150" i="11"/>
  <c r="C150" i="11"/>
  <c r="D149" i="11"/>
  <c r="C149" i="11"/>
  <c r="K148" i="11"/>
  <c r="D148" i="11"/>
  <c r="C148" i="11"/>
  <c r="K147" i="11"/>
  <c r="D147" i="11"/>
  <c r="C147" i="11"/>
  <c r="K146" i="11" s="1"/>
  <c r="D146" i="11"/>
  <c r="C146" i="11"/>
  <c r="D145" i="11"/>
  <c r="C145" i="11"/>
  <c r="K145" i="11" s="1"/>
  <c r="K144" i="11"/>
  <c r="D144" i="11"/>
  <c r="C144" i="11"/>
  <c r="D143" i="11"/>
  <c r="C143" i="11"/>
  <c r="K142" i="11" s="1"/>
  <c r="D142" i="11"/>
  <c r="C142" i="11"/>
  <c r="D141" i="11"/>
  <c r="C141" i="11"/>
  <c r="K141" i="11" s="1"/>
  <c r="K140" i="11"/>
  <c r="D140" i="11"/>
  <c r="C140" i="11"/>
  <c r="K139" i="11"/>
  <c r="D139" i="11"/>
  <c r="C139" i="11"/>
  <c r="K138" i="11" s="1"/>
  <c r="D138" i="11"/>
  <c r="C138" i="11"/>
  <c r="D137" i="11"/>
  <c r="C137" i="11"/>
  <c r="K137" i="11" s="1"/>
  <c r="K136" i="11"/>
  <c r="D136" i="11"/>
  <c r="C136" i="11"/>
  <c r="D135" i="11"/>
  <c r="C135" i="11"/>
  <c r="K134" i="11" s="1"/>
  <c r="D134" i="11"/>
  <c r="C134" i="11"/>
  <c r="D133" i="11"/>
  <c r="C133" i="11"/>
  <c r="K133" i="11" s="1"/>
  <c r="K132" i="11"/>
  <c r="D132" i="11"/>
  <c r="C132" i="11"/>
  <c r="K131" i="11"/>
  <c r="D131" i="11"/>
  <c r="C131" i="11"/>
  <c r="K130" i="11" s="1"/>
  <c r="D130" i="11"/>
  <c r="C130" i="11"/>
  <c r="D129" i="11"/>
  <c r="C129" i="11"/>
  <c r="K129" i="11" s="1"/>
  <c r="K128" i="11"/>
  <c r="D128" i="11"/>
  <c r="C128" i="11"/>
  <c r="D127" i="11"/>
  <c r="C127" i="11"/>
  <c r="K126" i="11" s="1"/>
  <c r="D126" i="11"/>
  <c r="C126" i="11"/>
  <c r="D125" i="11"/>
  <c r="C125" i="11"/>
  <c r="K125" i="11" s="1"/>
  <c r="K124" i="11"/>
  <c r="D124" i="11"/>
  <c r="C124" i="11"/>
  <c r="K123" i="11"/>
  <c r="D123" i="11"/>
  <c r="C123" i="11"/>
  <c r="K122" i="11" s="1"/>
  <c r="D122" i="11"/>
  <c r="C122" i="11"/>
  <c r="D121" i="11"/>
  <c r="C121" i="11"/>
  <c r="K121" i="11" s="1"/>
  <c r="K120" i="11"/>
  <c r="D120" i="11"/>
  <c r="C120" i="11"/>
  <c r="D119" i="11"/>
  <c r="C119" i="11"/>
  <c r="K118" i="11" s="1"/>
  <c r="D118" i="11"/>
  <c r="C118" i="11"/>
  <c r="D117" i="11"/>
  <c r="C117" i="11"/>
  <c r="K117" i="11" s="1"/>
  <c r="K116" i="11"/>
  <c r="D116" i="11"/>
  <c r="C116" i="11"/>
  <c r="K115" i="11"/>
  <c r="D115" i="11"/>
  <c r="C115" i="11"/>
  <c r="K114" i="11" s="1"/>
  <c r="D114" i="11"/>
  <c r="C114" i="11"/>
  <c r="D113" i="11"/>
  <c r="C113" i="11"/>
  <c r="K113" i="11" s="1"/>
  <c r="K112" i="11"/>
  <c r="D112" i="11"/>
  <c r="C112" i="11"/>
  <c r="D111" i="11"/>
  <c r="C111" i="11"/>
  <c r="K110" i="11" s="1"/>
  <c r="D110" i="11"/>
  <c r="C110" i="11"/>
  <c r="D109" i="11"/>
  <c r="C109" i="11"/>
  <c r="K109" i="11" s="1"/>
  <c r="K108" i="11"/>
  <c r="D108" i="11"/>
  <c r="C108" i="11"/>
  <c r="K107" i="11"/>
  <c r="D107" i="11"/>
  <c r="C107" i="11"/>
  <c r="K106" i="11" s="1"/>
  <c r="D106" i="11"/>
  <c r="C106" i="11"/>
  <c r="D105" i="11"/>
  <c r="C105" i="11"/>
  <c r="K105" i="11" s="1"/>
  <c r="K104" i="11"/>
  <c r="D104" i="11"/>
  <c r="C104" i="11"/>
  <c r="D103" i="11"/>
  <c r="C103" i="11"/>
  <c r="K102" i="11" s="1"/>
  <c r="D102" i="11"/>
  <c r="C102" i="11"/>
  <c r="D101" i="11"/>
  <c r="C101" i="11"/>
  <c r="K101" i="11" s="1"/>
  <c r="K100" i="11"/>
  <c r="D100" i="11"/>
  <c r="C100" i="11"/>
  <c r="K99" i="11"/>
  <c r="D99" i="11"/>
  <c r="C99" i="11"/>
  <c r="K98" i="11" s="1"/>
  <c r="D98" i="11"/>
  <c r="C98" i="11"/>
  <c r="D97" i="11"/>
  <c r="C97" i="11"/>
  <c r="K97" i="11" s="1"/>
  <c r="K96" i="11"/>
  <c r="D96" i="11"/>
  <c r="C96" i="11"/>
  <c r="D95" i="11"/>
  <c r="C95" i="11"/>
  <c r="K94" i="11" s="1"/>
  <c r="D94" i="11"/>
  <c r="C94" i="11"/>
  <c r="D93" i="11"/>
  <c r="C93" i="11"/>
  <c r="K93" i="11" s="1"/>
  <c r="K92" i="11"/>
  <c r="D92" i="11"/>
  <c r="C92" i="11"/>
  <c r="K91" i="11"/>
  <c r="D91" i="11"/>
  <c r="C91" i="11"/>
  <c r="K90" i="11" s="1"/>
  <c r="D90" i="11"/>
  <c r="C90" i="11"/>
  <c r="D89" i="11"/>
  <c r="C89" i="11"/>
  <c r="K89" i="11" s="1"/>
  <c r="K88" i="11"/>
  <c r="D88" i="11"/>
  <c r="C88" i="11"/>
  <c r="D87" i="11"/>
  <c r="C87" i="11"/>
  <c r="K86" i="11" s="1"/>
  <c r="D86" i="11"/>
  <c r="C86" i="11"/>
  <c r="D85" i="11"/>
  <c r="C85" i="11"/>
  <c r="K85" i="11" s="1"/>
  <c r="K84" i="11"/>
  <c r="D84" i="11"/>
  <c r="C84" i="11"/>
  <c r="K83" i="11"/>
  <c r="D83" i="11"/>
  <c r="C83" i="11"/>
  <c r="K82" i="11" s="1"/>
  <c r="D82" i="11"/>
  <c r="C82" i="11"/>
  <c r="D81" i="11"/>
  <c r="C81" i="11"/>
  <c r="K81" i="11" s="1"/>
  <c r="K80" i="11"/>
  <c r="D80" i="11"/>
  <c r="C80" i="11"/>
  <c r="D79" i="11"/>
  <c r="C79" i="11"/>
  <c r="K78" i="11" s="1"/>
  <c r="D78" i="11"/>
  <c r="C78" i="11"/>
  <c r="D77" i="11"/>
  <c r="C77" i="11"/>
  <c r="K77" i="11" s="1"/>
  <c r="K76" i="11"/>
  <c r="D76" i="11"/>
  <c r="C76" i="11"/>
  <c r="K75" i="11"/>
  <c r="D75" i="11"/>
  <c r="C75" i="11"/>
  <c r="K74" i="11" s="1"/>
  <c r="D74" i="11"/>
  <c r="C74" i="11"/>
  <c r="D73" i="11"/>
  <c r="C73" i="11"/>
  <c r="K73" i="11" s="1"/>
  <c r="K72" i="11"/>
  <c r="D72" i="11"/>
  <c r="C72" i="11"/>
  <c r="D71" i="11"/>
  <c r="C71" i="11"/>
  <c r="K70" i="11" s="1"/>
  <c r="D70" i="11"/>
  <c r="C70" i="11"/>
  <c r="D69" i="11"/>
  <c r="C69" i="11"/>
  <c r="K69" i="11" s="1"/>
  <c r="K68" i="11"/>
  <c r="D68" i="11"/>
  <c r="C68" i="11"/>
  <c r="K67" i="11"/>
  <c r="D67" i="11"/>
  <c r="C67" i="11"/>
  <c r="K66" i="11" s="1"/>
  <c r="D66" i="11"/>
  <c r="C66" i="11"/>
  <c r="D65" i="11"/>
  <c r="C65" i="11"/>
  <c r="K65" i="11" s="1"/>
  <c r="K64" i="11"/>
  <c r="D64" i="11"/>
  <c r="C64" i="11"/>
  <c r="D63" i="11"/>
  <c r="C63" i="11"/>
  <c r="K62" i="11" s="1"/>
  <c r="D62" i="11"/>
  <c r="C62" i="11"/>
  <c r="D61" i="11"/>
  <c r="C61" i="11"/>
  <c r="K61" i="11" s="1"/>
  <c r="K60" i="11"/>
  <c r="D60" i="11"/>
  <c r="C60" i="11"/>
  <c r="K59" i="11"/>
  <c r="D59" i="11"/>
  <c r="C59" i="11"/>
  <c r="K58" i="11" s="1"/>
  <c r="D58" i="11"/>
  <c r="C58" i="11"/>
  <c r="D57" i="11"/>
  <c r="C57" i="11"/>
  <c r="K57" i="11" s="1"/>
  <c r="K56" i="11"/>
  <c r="D56" i="11"/>
  <c r="C56" i="11"/>
  <c r="D55" i="11"/>
  <c r="C55" i="11"/>
  <c r="K54" i="11" s="1"/>
  <c r="D54" i="11"/>
  <c r="C54" i="11"/>
  <c r="D53" i="11"/>
  <c r="C53" i="11"/>
  <c r="K53" i="11" s="1"/>
  <c r="K52" i="11"/>
  <c r="D52" i="11"/>
  <c r="C52" i="11"/>
  <c r="K51" i="11"/>
  <c r="D51" i="11"/>
  <c r="C51" i="11"/>
  <c r="K50" i="11" s="1"/>
  <c r="D50" i="11"/>
  <c r="C50" i="11"/>
  <c r="D49" i="11"/>
  <c r="C49" i="11"/>
  <c r="K49" i="11" s="1"/>
  <c r="K48" i="11"/>
  <c r="D48" i="11"/>
  <c r="C48" i="11"/>
  <c r="D47" i="11"/>
  <c r="C47" i="11"/>
  <c r="K46" i="11" s="1"/>
  <c r="D46" i="11"/>
  <c r="C46" i="11"/>
  <c r="D45" i="11"/>
  <c r="C45" i="11"/>
  <c r="K45" i="11" s="1"/>
  <c r="K44" i="11"/>
  <c r="D44" i="11"/>
  <c r="C44" i="11"/>
  <c r="K43" i="11"/>
  <c r="D43" i="11"/>
  <c r="C43" i="11"/>
  <c r="K42" i="11" s="1"/>
  <c r="D42" i="11"/>
  <c r="C42" i="11"/>
  <c r="D41" i="11"/>
  <c r="C41" i="11"/>
  <c r="K41" i="11" s="1"/>
  <c r="K40" i="11"/>
  <c r="D40" i="11"/>
  <c r="C40" i="11"/>
  <c r="D39" i="11"/>
  <c r="C39" i="11"/>
  <c r="K38" i="11" s="1"/>
  <c r="D38" i="11"/>
  <c r="C38" i="11"/>
  <c r="D37" i="11"/>
  <c r="C37" i="11"/>
  <c r="K37" i="11" s="1"/>
  <c r="K36" i="11"/>
  <c r="D36" i="11"/>
  <c r="C36" i="11"/>
  <c r="K35" i="11"/>
  <c r="D35" i="11"/>
  <c r="C35" i="11"/>
  <c r="K34" i="11" s="1"/>
  <c r="D34" i="11"/>
  <c r="C34" i="11"/>
  <c r="D33" i="11"/>
  <c r="C33" i="11"/>
  <c r="K33" i="11" s="1"/>
  <c r="K32" i="11"/>
  <c r="D32" i="11"/>
  <c r="C32" i="11"/>
  <c r="D31" i="11"/>
  <c r="C31" i="11"/>
  <c r="K30" i="11" s="1"/>
  <c r="D30" i="11"/>
  <c r="C30" i="11"/>
  <c r="D29" i="11"/>
  <c r="C29" i="11"/>
  <c r="K29" i="11" s="1"/>
  <c r="K28" i="11"/>
  <c r="D28" i="11"/>
  <c r="C28" i="11"/>
  <c r="K27" i="11"/>
  <c r="D27" i="11"/>
  <c r="C27" i="11"/>
  <c r="K26" i="11" s="1"/>
  <c r="D26" i="11"/>
  <c r="C26" i="11"/>
  <c r="D25" i="11"/>
  <c r="C25" i="11"/>
  <c r="K25" i="11" s="1"/>
  <c r="D24" i="11"/>
  <c r="C24" i="11"/>
  <c r="D23" i="11"/>
  <c r="C23" i="11"/>
  <c r="K23" i="11" s="1"/>
  <c r="D22" i="11"/>
  <c r="C22" i="11"/>
  <c r="K22" i="11" s="1"/>
  <c r="K21" i="11"/>
  <c r="D21" i="11"/>
  <c r="C21" i="11"/>
  <c r="K20" i="11"/>
  <c r="D20" i="11"/>
  <c r="C20" i="11"/>
  <c r="D19" i="11"/>
  <c r="C19" i="11"/>
  <c r="K19" i="11" s="1"/>
  <c r="D18" i="11"/>
  <c r="C18" i="11"/>
  <c r="D17" i="11"/>
  <c r="C17" i="11"/>
  <c r="K16" i="11"/>
  <c r="D16" i="11"/>
  <c r="C16" i="11"/>
  <c r="K15" i="11" s="1"/>
  <c r="D15" i="11"/>
  <c r="C15" i="11"/>
  <c r="D14" i="11"/>
  <c r="C14" i="11"/>
  <c r="K14" i="11" s="1"/>
  <c r="D13" i="11"/>
  <c r="C13" i="11"/>
  <c r="K13" i="11" s="1"/>
  <c r="D12" i="11"/>
  <c r="C12" i="11"/>
  <c r="D11" i="11"/>
  <c r="C11" i="11"/>
  <c r="K10" i="11" s="1"/>
  <c r="D10" i="11"/>
  <c r="C10" i="11"/>
  <c r="K9" i="11" s="1"/>
  <c r="D9" i="11"/>
  <c r="C9" i="11"/>
  <c r="K8" i="11"/>
  <c r="D8" i="11"/>
  <c r="C8" i="11"/>
  <c r="D7" i="11"/>
  <c r="C7" i="11"/>
  <c r="K7" i="11" s="1"/>
  <c r="D6" i="11"/>
  <c r="C6" i="11"/>
  <c r="K6" i="11" s="1"/>
  <c r="D5" i="11"/>
  <c r="C5" i="11"/>
  <c r="D4" i="11"/>
  <c r="C4" i="11"/>
  <c r="K4" i="11" s="1"/>
  <c r="M3" i="11"/>
  <c r="D3" i="11"/>
  <c r="C3" i="11"/>
  <c r="K3" i="11" s="1"/>
  <c r="M2" i="11"/>
  <c r="K2" i="11"/>
  <c r="D2" i="11"/>
  <c r="C2" i="11"/>
  <c r="M1" i="11"/>
  <c r="D301" i="10"/>
  <c r="C301" i="10"/>
  <c r="K301" i="10" s="1"/>
  <c r="K300" i="10"/>
  <c r="D300" i="10"/>
  <c r="C300" i="10"/>
  <c r="D299" i="10"/>
  <c r="C299" i="10"/>
  <c r="K299" i="10" s="1"/>
  <c r="K298" i="10"/>
  <c r="D298" i="10"/>
  <c r="C298" i="10"/>
  <c r="D297" i="10"/>
  <c r="C297" i="10"/>
  <c r="K297" i="10" s="1"/>
  <c r="K296" i="10"/>
  <c r="D296" i="10"/>
  <c r="C296" i="10"/>
  <c r="D295" i="10"/>
  <c r="C295" i="10"/>
  <c r="D294" i="10"/>
  <c r="C294" i="10"/>
  <c r="D293" i="10"/>
  <c r="C293" i="10"/>
  <c r="D292" i="10"/>
  <c r="C292" i="10"/>
  <c r="K291" i="10"/>
  <c r="D291" i="10"/>
  <c r="C291" i="10"/>
  <c r="K290" i="10" s="1"/>
  <c r="D290" i="10"/>
  <c r="C290" i="10"/>
  <c r="D289" i="10"/>
  <c r="C289" i="10"/>
  <c r="K289" i="10" s="1"/>
  <c r="D288" i="10"/>
  <c r="C288" i="10"/>
  <c r="K287" i="10"/>
  <c r="D287" i="10"/>
  <c r="C287" i="10"/>
  <c r="K286" i="10" s="1"/>
  <c r="D286" i="10"/>
  <c r="C286" i="10"/>
  <c r="D285" i="10"/>
  <c r="C285" i="10"/>
  <c r="K285" i="10" s="1"/>
  <c r="K284" i="10"/>
  <c r="D284" i="10"/>
  <c r="C284" i="10"/>
  <c r="D283" i="10"/>
  <c r="C283" i="10"/>
  <c r="K283" i="10" s="1"/>
  <c r="K282" i="10"/>
  <c r="D282" i="10"/>
  <c r="C282" i="10"/>
  <c r="D281" i="10"/>
  <c r="C281" i="10"/>
  <c r="K281" i="10" s="1"/>
  <c r="K280" i="10"/>
  <c r="D280" i="10"/>
  <c r="C280" i="10"/>
  <c r="D279" i="10"/>
  <c r="C279" i="10"/>
  <c r="D278" i="10"/>
  <c r="C278" i="10"/>
  <c r="D277" i="10"/>
  <c r="C277" i="10"/>
  <c r="D276" i="10"/>
  <c r="C276" i="10"/>
  <c r="K275" i="10"/>
  <c r="D275" i="10"/>
  <c r="C275" i="10"/>
  <c r="K274" i="10" s="1"/>
  <c r="D274" i="10"/>
  <c r="C274" i="10"/>
  <c r="D273" i="10"/>
  <c r="C273" i="10"/>
  <c r="K273" i="10" s="1"/>
  <c r="D272" i="10"/>
  <c r="C272" i="10"/>
  <c r="K271" i="10"/>
  <c r="D271" i="10"/>
  <c r="C271" i="10"/>
  <c r="K270" i="10" s="1"/>
  <c r="D270" i="10"/>
  <c r="C270" i="10"/>
  <c r="D269" i="10"/>
  <c r="C269" i="10"/>
  <c r="K269" i="10" s="1"/>
  <c r="K268" i="10"/>
  <c r="D268" i="10"/>
  <c r="C268" i="10"/>
  <c r="D267" i="10"/>
  <c r="C267" i="10"/>
  <c r="K267" i="10" s="1"/>
  <c r="K266" i="10"/>
  <c r="D266" i="10"/>
  <c r="C266" i="10"/>
  <c r="D265" i="10"/>
  <c r="C265" i="10"/>
  <c r="K265" i="10" s="1"/>
  <c r="K264" i="10"/>
  <c r="D264" i="10"/>
  <c r="C264" i="10"/>
  <c r="D263" i="10"/>
  <c r="C263" i="10"/>
  <c r="D262" i="10"/>
  <c r="C262" i="10"/>
  <c r="D261" i="10"/>
  <c r="C261" i="10"/>
  <c r="D260" i="10"/>
  <c r="C260" i="10"/>
  <c r="K259" i="10"/>
  <c r="D259" i="10"/>
  <c r="C259" i="10"/>
  <c r="K258" i="10" s="1"/>
  <c r="D258" i="10"/>
  <c r="C258" i="10"/>
  <c r="D257" i="10"/>
  <c r="C257" i="10"/>
  <c r="K257" i="10" s="1"/>
  <c r="D256" i="10"/>
  <c r="C256" i="10"/>
  <c r="K255" i="10"/>
  <c r="D255" i="10"/>
  <c r="C255" i="10"/>
  <c r="K254" i="10" s="1"/>
  <c r="D254" i="10"/>
  <c r="C254" i="10"/>
  <c r="D253" i="10"/>
  <c r="C253" i="10"/>
  <c r="K253" i="10" s="1"/>
  <c r="K252" i="10"/>
  <c r="D252" i="10"/>
  <c r="C252" i="10"/>
  <c r="D251" i="10"/>
  <c r="C251" i="10"/>
  <c r="K251" i="10" s="1"/>
  <c r="K250" i="10"/>
  <c r="D250" i="10"/>
  <c r="C250" i="10"/>
  <c r="D249" i="10"/>
  <c r="C249" i="10"/>
  <c r="K249" i="10" s="1"/>
  <c r="K248" i="10"/>
  <c r="D248" i="10"/>
  <c r="C248" i="10"/>
  <c r="D247" i="10"/>
  <c r="C247" i="10"/>
  <c r="D246" i="10"/>
  <c r="C246" i="10"/>
  <c r="D245" i="10"/>
  <c r="C245" i="10"/>
  <c r="D244" i="10"/>
  <c r="C244" i="10"/>
  <c r="K243" i="10"/>
  <c r="D243" i="10"/>
  <c r="C243" i="10"/>
  <c r="K242" i="10" s="1"/>
  <c r="D242" i="10"/>
  <c r="C242" i="10"/>
  <c r="D241" i="10"/>
  <c r="C241" i="10"/>
  <c r="K241" i="10" s="1"/>
  <c r="D240" i="10"/>
  <c r="C240" i="10"/>
  <c r="K239" i="10"/>
  <c r="D239" i="10"/>
  <c r="C239" i="10"/>
  <c r="K238" i="10" s="1"/>
  <c r="D238" i="10"/>
  <c r="C238" i="10"/>
  <c r="D237" i="10"/>
  <c r="C237" i="10"/>
  <c r="K237" i="10" s="1"/>
  <c r="K236" i="10"/>
  <c r="D236" i="10"/>
  <c r="C236" i="10"/>
  <c r="D235" i="10"/>
  <c r="C235" i="10"/>
  <c r="K235" i="10" s="1"/>
  <c r="K234" i="10"/>
  <c r="D234" i="10"/>
  <c r="C234" i="10"/>
  <c r="D233" i="10"/>
  <c r="C233" i="10"/>
  <c r="K233" i="10" s="1"/>
  <c r="K232" i="10"/>
  <c r="D232" i="10"/>
  <c r="C232" i="10"/>
  <c r="D231" i="10"/>
  <c r="C231" i="10"/>
  <c r="D230" i="10"/>
  <c r="C230" i="10"/>
  <c r="D229" i="10"/>
  <c r="C229" i="10"/>
  <c r="D228" i="10"/>
  <c r="C228" i="10"/>
  <c r="K227" i="10"/>
  <c r="D227" i="10"/>
  <c r="C227" i="10"/>
  <c r="K226" i="10"/>
  <c r="D226" i="10"/>
  <c r="C226" i="10"/>
  <c r="D225" i="10"/>
  <c r="C225" i="10"/>
  <c r="K225" i="10" s="1"/>
  <c r="D224" i="10"/>
  <c r="C224" i="10"/>
  <c r="K223" i="10"/>
  <c r="D223" i="10"/>
  <c r="C223" i="10"/>
  <c r="K222" i="10" s="1"/>
  <c r="D222" i="10"/>
  <c r="C222" i="10"/>
  <c r="D221" i="10"/>
  <c r="C221" i="10"/>
  <c r="K221" i="10" s="1"/>
  <c r="K220" i="10"/>
  <c r="D220" i="10"/>
  <c r="C220" i="10"/>
  <c r="D219" i="10"/>
  <c r="C219" i="10"/>
  <c r="K219" i="10" s="1"/>
  <c r="K218" i="10"/>
  <c r="D218" i="10"/>
  <c r="C218" i="10"/>
  <c r="D217" i="10"/>
  <c r="C217" i="10"/>
  <c r="K217" i="10" s="1"/>
  <c r="K216" i="10"/>
  <c r="D216" i="10"/>
  <c r="C216" i="10"/>
  <c r="D215" i="10"/>
  <c r="C215" i="10"/>
  <c r="D214" i="10"/>
  <c r="C214" i="10"/>
  <c r="D213" i="10"/>
  <c r="C213" i="10"/>
  <c r="D212" i="10"/>
  <c r="C212" i="10"/>
  <c r="K211" i="10"/>
  <c r="D211" i="10"/>
  <c r="C211" i="10"/>
  <c r="K210" i="10"/>
  <c r="D210" i="10"/>
  <c r="C210" i="10"/>
  <c r="D209" i="10"/>
  <c r="C209" i="10"/>
  <c r="K209" i="10" s="1"/>
  <c r="D208" i="10"/>
  <c r="C208" i="10"/>
  <c r="K207" i="10"/>
  <c r="D207" i="10"/>
  <c r="C207" i="10"/>
  <c r="K206" i="10" s="1"/>
  <c r="D206" i="10"/>
  <c r="C206" i="10"/>
  <c r="D205" i="10"/>
  <c r="C205" i="10"/>
  <c r="K205" i="10" s="1"/>
  <c r="K204" i="10"/>
  <c r="D204" i="10"/>
  <c r="C204" i="10"/>
  <c r="D203" i="10"/>
  <c r="C203" i="10"/>
  <c r="K203" i="10" s="1"/>
  <c r="K202" i="10"/>
  <c r="D202" i="10"/>
  <c r="C202" i="10"/>
  <c r="D201" i="10"/>
  <c r="C201" i="10"/>
  <c r="K201" i="10" s="1"/>
  <c r="K200" i="10"/>
  <c r="D200" i="10"/>
  <c r="C200" i="10"/>
  <c r="D199" i="10"/>
  <c r="C199" i="10"/>
  <c r="D198" i="10"/>
  <c r="C198" i="10"/>
  <c r="D197" i="10"/>
  <c r="C197" i="10"/>
  <c r="D196" i="10"/>
  <c r="C196" i="10"/>
  <c r="K195" i="10"/>
  <c r="D195" i="10"/>
  <c r="C195" i="10"/>
  <c r="K194" i="10"/>
  <c r="D194" i="10"/>
  <c r="C194" i="10"/>
  <c r="D193" i="10"/>
  <c r="C193" i="10"/>
  <c r="K193" i="10" s="1"/>
  <c r="D192" i="10"/>
  <c r="C192" i="10"/>
  <c r="K191" i="10"/>
  <c r="D191" i="10"/>
  <c r="C191" i="10"/>
  <c r="K190" i="10" s="1"/>
  <c r="D190" i="10"/>
  <c r="C190" i="10"/>
  <c r="D189" i="10"/>
  <c r="C189" i="10"/>
  <c r="K189" i="10" s="1"/>
  <c r="K188" i="10"/>
  <c r="D188" i="10"/>
  <c r="C188" i="10"/>
  <c r="D187" i="10"/>
  <c r="C187" i="10"/>
  <c r="K187" i="10" s="1"/>
  <c r="K186" i="10"/>
  <c r="D186" i="10"/>
  <c r="C186" i="10"/>
  <c r="D185" i="10"/>
  <c r="C185" i="10"/>
  <c r="K185" i="10" s="1"/>
  <c r="K184" i="10"/>
  <c r="D184" i="10"/>
  <c r="C184" i="10"/>
  <c r="D183" i="10"/>
  <c r="C183" i="10"/>
  <c r="D182" i="10"/>
  <c r="C182" i="10"/>
  <c r="D181" i="10"/>
  <c r="C181" i="10"/>
  <c r="D180" i="10"/>
  <c r="C180" i="10"/>
  <c r="K179" i="10"/>
  <c r="D179" i="10"/>
  <c r="C179" i="10"/>
  <c r="K178" i="10"/>
  <c r="D178" i="10"/>
  <c r="C178" i="10"/>
  <c r="D177" i="10"/>
  <c r="C177" i="10"/>
  <c r="K177" i="10" s="1"/>
  <c r="D176" i="10"/>
  <c r="C176" i="10"/>
  <c r="K175" i="10"/>
  <c r="D175" i="10"/>
  <c r="C175" i="10"/>
  <c r="K174" i="10" s="1"/>
  <c r="D174" i="10"/>
  <c r="C174" i="10"/>
  <c r="D173" i="10"/>
  <c r="C173" i="10"/>
  <c r="K173" i="10" s="1"/>
  <c r="K172" i="10"/>
  <c r="D172" i="10"/>
  <c r="C172" i="10"/>
  <c r="D171" i="10"/>
  <c r="C171" i="10"/>
  <c r="K171" i="10" s="1"/>
  <c r="K170" i="10"/>
  <c r="D170" i="10"/>
  <c r="C170" i="10"/>
  <c r="D169" i="10"/>
  <c r="C169" i="10"/>
  <c r="K169" i="10" s="1"/>
  <c r="K168" i="10"/>
  <c r="D168" i="10"/>
  <c r="C168" i="10"/>
  <c r="D167" i="10"/>
  <c r="C167" i="10"/>
  <c r="D166" i="10"/>
  <c r="C166" i="10"/>
  <c r="D165" i="10"/>
  <c r="C165" i="10"/>
  <c r="D164" i="10"/>
  <c r="C164" i="10"/>
  <c r="K163" i="10"/>
  <c r="D163" i="10"/>
  <c r="C163" i="10"/>
  <c r="K162" i="10"/>
  <c r="D162" i="10"/>
  <c r="C162" i="10"/>
  <c r="D161" i="10"/>
  <c r="C161" i="10"/>
  <c r="K161" i="10" s="1"/>
  <c r="D160" i="10"/>
  <c r="C160" i="10"/>
  <c r="K159" i="10"/>
  <c r="D159" i="10"/>
  <c r="C159" i="10"/>
  <c r="K158" i="10" s="1"/>
  <c r="D158" i="10"/>
  <c r="C158" i="10"/>
  <c r="D157" i="10"/>
  <c r="C157" i="10"/>
  <c r="K157" i="10" s="1"/>
  <c r="K156" i="10"/>
  <c r="D156" i="10"/>
  <c r="C156" i="10"/>
  <c r="D155" i="10"/>
  <c r="C155" i="10"/>
  <c r="K155" i="10" s="1"/>
  <c r="K154" i="10"/>
  <c r="D154" i="10"/>
  <c r="C154" i="10"/>
  <c r="D153" i="10"/>
  <c r="C153" i="10"/>
  <c r="K153" i="10" s="1"/>
  <c r="K152" i="10"/>
  <c r="D152" i="10"/>
  <c r="C152" i="10"/>
  <c r="D151" i="10"/>
  <c r="C151" i="10"/>
  <c r="K151" i="10" s="1"/>
  <c r="K150" i="10"/>
  <c r="D150" i="10"/>
  <c r="C150" i="10"/>
  <c r="D149" i="10"/>
  <c r="C149" i="10"/>
  <c r="K149" i="10" s="1"/>
  <c r="D148" i="10"/>
  <c r="C148" i="10"/>
  <c r="K147" i="10"/>
  <c r="D147" i="10"/>
  <c r="C147" i="10"/>
  <c r="K146" i="10" s="1"/>
  <c r="D146" i="10"/>
  <c r="C146" i="10"/>
  <c r="D145" i="10"/>
  <c r="C145" i="10"/>
  <c r="K145" i="10" s="1"/>
  <c r="K144" i="10"/>
  <c r="D144" i="10"/>
  <c r="C144" i="10"/>
  <c r="K143" i="10"/>
  <c r="D143" i="10"/>
  <c r="C143" i="10"/>
  <c r="K142" i="10"/>
  <c r="D142" i="10"/>
  <c r="C142" i="10"/>
  <c r="D141" i="10"/>
  <c r="C141" i="10"/>
  <c r="D140" i="10"/>
  <c r="C140" i="10"/>
  <c r="K139" i="10"/>
  <c r="D139" i="10"/>
  <c r="C139" i="10"/>
  <c r="K138" i="10" s="1"/>
  <c r="D138" i="10"/>
  <c r="C138" i="10"/>
  <c r="D137" i="10"/>
  <c r="C137" i="10"/>
  <c r="K137" i="10" s="1"/>
  <c r="K136" i="10"/>
  <c r="D136" i="10"/>
  <c r="C136" i="10"/>
  <c r="D135" i="10"/>
  <c r="C135" i="10"/>
  <c r="K135" i="10" s="1"/>
  <c r="K134" i="10"/>
  <c r="D134" i="10"/>
  <c r="C134" i="10"/>
  <c r="D133" i="10"/>
  <c r="C133" i="10"/>
  <c r="D132" i="10"/>
  <c r="C132" i="10"/>
  <c r="D131" i="10"/>
  <c r="C131" i="10"/>
  <c r="D130" i="10"/>
  <c r="C130" i="10"/>
  <c r="D129" i="10"/>
  <c r="C129" i="10"/>
  <c r="K129" i="10" s="1"/>
  <c r="D128" i="10"/>
  <c r="C128" i="10"/>
  <c r="K127" i="10"/>
  <c r="D127" i="10"/>
  <c r="C127" i="10"/>
  <c r="K126" i="10"/>
  <c r="D126" i="10"/>
  <c r="C126" i="10"/>
  <c r="D125" i="10"/>
  <c r="C125" i="10"/>
  <c r="D124" i="10"/>
  <c r="C124" i="10"/>
  <c r="D123" i="10"/>
  <c r="C123" i="10"/>
  <c r="D122" i="10"/>
  <c r="C122" i="10"/>
  <c r="D121" i="10"/>
  <c r="C121" i="10"/>
  <c r="K121" i="10" s="1"/>
  <c r="K120" i="10"/>
  <c r="D120" i="10"/>
  <c r="C120" i="10"/>
  <c r="D119" i="10"/>
  <c r="C119" i="10"/>
  <c r="K118" i="10" s="1"/>
  <c r="D118" i="10"/>
  <c r="C118" i="10"/>
  <c r="D117" i="10"/>
  <c r="C117" i="10"/>
  <c r="K117" i="10" s="1"/>
  <c r="K116" i="10"/>
  <c r="D116" i="10"/>
  <c r="C116" i="10"/>
  <c r="D115" i="10"/>
  <c r="C115" i="10"/>
  <c r="D114" i="10"/>
  <c r="C114" i="10"/>
  <c r="D113" i="10"/>
  <c r="C113" i="10"/>
  <c r="K113" i="10" s="1"/>
  <c r="K112" i="10"/>
  <c r="D112" i="10"/>
  <c r="C112" i="10"/>
  <c r="K111" i="10"/>
  <c r="D111" i="10"/>
  <c r="C111" i="10"/>
  <c r="D110" i="10"/>
  <c r="C110" i="10"/>
  <c r="K110" i="10" s="1"/>
  <c r="D109" i="10"/>
  <c r="C109" i="10"/>
  <c r="K109" i="10" s="1"/>
  <c r="D108" i="10"/>
  <c r="C108" i="10"/>
  <c r="K107" i="10"/>
  <c r="D107" i="10"/>
  <c r="C107" i="10"/>
  <c r="D106" i="10"/>
  <c r="C106" i="10"/>
  <c r="K106" i="10" s="1"/>
  <c r="D105" i="10"/>
  <c r="C105" i="10"/>
  <c r="K105" i="10" s="1"/>
  <c r="D104" i="10"/>
  <c r="C104" i="10"/>
  <c r="K104" i="10" s="1"/>
  <c r="K103" i="10"/>
  <c r="D103" i="10"/>
  <c r="C103" i="10"/>
  <c r="D102" i="10"/>
  <c r="C102" i="10"/>
  <c r="K102" i="10" s="1"/>
  <c r="D101" i="10"/>
  <c r="C101" i="10"/>
  <c r="K101" i="10" s="1"/>
  <c r="D100" i="10"/>
  <c r="C100" i="10"/>
  <c r="K100" i="10" s="1"/>
  <c r="K99" i="10"/>
  <c r="D99" i="10"/>
  <c r="C99" i="10"/>
  <c r="D98" i="10"/>
  <c r="C98" i="10"/>
  <c r="K98" i="10" s="1"/>
  <c r="D97" i="10"/>
  <c r="C97" i="10"/>
  <c r="K97" i="10" s="1"/>
  <c r="D96" i="10"/>
  <c r="C96" i="10"/>
  <c r="K95" i="10"/>
  <c r="D95" i="10"/>
  <c r="C95" i="10"/>
  <c r="D94" i="10"/>
  <c r="C94" i="10"/>
  <c r="K94" i="10" s="1"/>
  <c r="D93" i="10"/>
  <c r="C93" i="10"/>
  <c r="K93" i="10" s="1"/>
  <c r="D92" i="10"/>
  <c r="C92" i="10"/>
  <c r="K91" i="10"/>
  <c r="D91" i="10"/>
  <c r="C91" i="10"/>
  <c r="D90" i="10"/>
  <c r="C90" i="10"/>
  <c r="K90" i="10" s="1"/>
  <c r="D89" i="10"/>
  <c r="C89" i="10"/>
  <c r="K89" i="10" s="1"/>
  <c r="D88" i="10"/>
  <c r="C88" i="10"/>
  <c r="K88" i="10" s="1"/>
  <c r="K87" i="10"/>
  <c r="D87" i="10"/>
  <c r="C87" i="10"/>
  <c r="D86" i="10"/>
  <c r="C86" i="10"/>
  <c r="K86" i="10" s="1"/>
  <c r="D85" i="10"/>
  <c r="C85" i="10"/>
  <c r="K85" i="10" s="1"/>
  <c r="D84" i="10"/>
  <c r="C84" i="10"/>
  <c r="K84" i="10" s="1"/>
  <c r="K83" i="10"/>
  <c r="D83" i="10"/>
  <c r="C83" i="10"/>
  <c r="D82" i="10"/>
  <c r="C82" i="10"/>
  <c r="K82" i="10" s="1"/>
  <c r="D81" i="10"/>
  <c r="C81" i="10"/>
  <c r="K81" i="10" s="1"/>
  <c r="D80" i="10"/>
  <c r="C80" i="10"/>
  <c r="K79" i="10"/>
  <c r="D79" i="10"/>
  <c r="C79" i="10"/>
  <c r="D78" i="10"/>
  <c r="C78" i="10"/>
  <c r="K78" i="10" s="1"/>
  <c r="D77" i="10"/>
  <c r="C77" i="10"/>
  <c r="K77" i="10" s="1"/>
  <c r="D76" i="10"/>
  <c r="C76" i="10"/>
  <c r="K75" i="10"/>
  <c r="D75" i="10"/>
  <c r="C75" i="10"/>
  <c r="D74" i="10"/>
  <c r="C74" i="10"/>
  <c r="K74" i="10" s="1"/>
  <c r="D73" i="10"/>
  <c r="C73" i="10"/>
  <c r="K73" i="10" s="1"/>
  <c r="D72" i="10"/>
  <c r="C72" i="10"/>
  <c r="K72" i="10" s="1"/>
  <c r="K71" i="10"/>
  <c r="D71" i="10"/>
  <c r="C71" i="10"/>
  <c r="D70" i="10"/>
  <c r="C70" i="10"/>
  <c r="K70" i="10" s="1"/>
  <c r="D69" i="10"/>
  <c r="C69" i="10"/>
  <c r="K69" i="10" s="1"/>
  <c r="D68" i="10"/>
  <c r="C68" i="10"/>
  <c r="K68" i="10" s="1"/>
  <c r="K67" i="10"/>
  <c r="D67" i="10"/>
  <c r="C67" i="10"/>
  <c r="D66" i="10"/>
  <c r="C66" i="10"/>
  <c r="K66" i="10" s="1"/>
  <c r="D65" i="10"/>
  <c r="C65" i="10"/>
  <c r="K65" i="10" s="1"/>
  <c r="D64" i="10"/>
  <c r="C64" i="10"/>
  <c r="K63" i="10"/>
  <c r="D63" i="10"/>
  <c r="C63" i="10"/>
  <c r="D62" i="10"/>
  <c r="C62" i="10"/>
  <c r="K62" i="10" s="1"/>
  <c r="D61" i="10"/>
  <c r="C61" i="10"/>
  <c r="K61" i="10" s="1"/>
  <c r="D60" i="10"/>
  <c r="C60" i="10"/>
  <c r="K59" i="10"/>
  <c r="D59" i="10"/>
  <c r="C59" i="10"/>
  <c r="D58" i="10"/>
  <c r="C58" i="10"/>
  <c r="K58" i="10" s="1"/>
  <c r="D57" i="10"/>
  <c r="C57" i="10"/>
  <c r="K57" i="10" s="1"/>
  <c r="D56" i="10"/>
  <c r="C56" i="10"/>
  <c r="K56" i="10" s="1"/>
  <c r="K55" i="10"/>
  <c r="D55" i="10"/>
  <c r="C55" i="10"/>
  <c r="D54" i="10"/>
  <c r="C54" i="10"/>
  <c r="K54" i="10" s="1"/>
  <c r="D53" i="10"/>
  <c r="C53" i="10"/>
  <c r="K53" i="10" s="1"/>
  <c r="D52" i="10"/>
  <c r="C52" i="10"/>
  <c r="K52" i="10" s="1"/>
  <c r="K51" i="10"/>
  <c r="D51" i="10"/>
  <c r="C51" i="10"/>
  <c r="D50" i="10"/>
  <c r="C50" i="10"/>
  <c r="K50" i="10" s="1"/>
  <c r="D49" i="10"/>
  <c r="C49" i="10"/>
  <c r="K49" i="10" s="1"/>
  <c r="D48" i="10"/>
  <c r="C48" i="10"/>
  <c r="K47" i="10"/>
  <c r="D47" i="10"/>
  <c r="C47" i="10"/>
  <c r="D46" i="10"/>
  <c r="C46" i="10"/>
  <c r="K46" i="10" s="1"/>
  <c r="D45" i="10"/>
  <c r="C45" i="10"/>
  <c r="K45" i="10" s="1"/>
  <c r="D44" i="10"/>
  <c r="C44" i="10"/>
  <c r="K43" i="10"/>
  <c r="D43" i="10"/>
  <c r="C43" i="10"/>
  <c r="D42" i="10"/>
  <c r="C42" i="10"/>
  <c r="K42" i="10" s="1"/>
  <c r="D41" i="10"/>
  <c r="C41" i="10"/>
  <c r="K41" i="10" s="1"/>
  <c r="D40" i="10"/>
  <c r="C40" i="10"/>
  <c r="K40" i="10" s="1"/>
  <c r="K39" i="10"/>
  <c r="D39" i="10"/>
  <c r="C39" i="10"/>
  <c r="D38" i="10"/>
  <c r="C38" i="10"/>
  <c r="K38" i="10" s="1"/>
  <c r="D37" i="10"/>
  <c r="C37" i="10"/>
  <c r="K37" i="10" s="1"/>
  <c r="D36" i="10"/>
  <c r="C36" i="10"/>
  <c r="K36" i="10" s="1"/>
  <c r="K35" i="10"/>
  <c r="D35" i="10"/>
  <c r="C35" i="10"/>
  <c r="D34" i="10"/>
  <c r="C34" i="10"/>
  <c r="K34" i="10" s="1"/>
  <c r="D33" i="10"/>
  <c r="C33" i="10"/>
  <c r="K33" i="10" s="1"/>
  <c r="D32" i="10"/>
  <c r="C32" i="10"/>
  <c r="K31" i="10"/>
  <c r="D31" i="10"/>
  <c r="C31" i="10"/>
  <c r="D30" i="10"/>
  <c r="C30" i="10"/>
  <c r="K30" i="10" s="1"/>
  <c r="D29" i="10"/>
  <c r="C29" i="10"/>
  <c r="K29" i="10" s="1"/>
  <c r="D28" i="10"/>
  <c r="C28" i="10"/>
  <c r="K27" i="10"/>
  <c r="D27" i="10"/>
  <c r="C27" i="10"/>
  <c r="D26" i="10"/>
  <c r="C26" i="10"/>
  <c r="K26" i="10" s="1"/>
  <c r="D25" i="10"/>
  <c r="C25" i="10"/>
  <c r="D24" i="10"/>
  <c r="C24" i="10"/>
  <c r="K23" i="10"/>
  <c r="D23" i="10"/>
  <c r="C23" i="10"/>
  <c r="D22" i="10"/>
  <c r="C22" i="10"/>
  <c r="D21" i="10"/>
  <c r="C21" i="10"/>
  <c r="K21" i="10" s="1"/>
  <c r="D20" i="10"/>
  <c r="C20" i="10"/>
  <c r="K20" i="10" s="1"/>
  <c r="D19" i="10"/>
  <c r="C19" i="10"/>
  <c r="D18" i="10"/>
  <c r="C18" i="10"/>
  <c r="K18" i="10" s="1"/>
  <c r="K17" i="10"/>
  <c r="D17" i="10"/>
  <c r="C17" i="10"/>
  <c r="D16" i="10"/>
  <c r="C16" i="10"/>
  <c r="K16" i="10" s="1"/>
  <c r="D15" i="10"/>
  <c r="C15" i="10"/>
  <c r="K15" i="10" s="1"/>
  <c r="D14" i="10"/>
  <c r="C14" i="10"/>
  <c r="K14" i="10" s="1"/>
  <c r="D13" i="10"/>
  <c r="C13" i="10"/>
  <c r="D12" i="10"/>
  <c r="C12" i="10"/>
  <c r="K12" i="10" s="1"/>
  <c r="D11" i="10"/>
  <c r="C11" i="10"/>
  <c r="K11" i="10" s="1"/>
  <c r="D10" i="10"/>
  <c r="C10" i="10"/>
  <c r="K10" i="10" s="1"/>
  <c r="D9" i="10"/>
  <c r="C9" i="10"/>
  <c r="K9" i="10" s="1"/>
  <c r="D8" i="10"/>
  <c r="C8" i="10"/>
  <c r="D7" i="10"/>
  <c r="C7" i="10"/>
  <c r="K6" i="10"/>
  <c r="D6" i="10"/>
  <c r="C6" i="10"/>
  <c r="D5" i="10"/>
  <c r="C5" i="10"/>
  <c r="K5" i="10" s="1"/>
  <c r="D4" i="10"/>
  <c r="C4" i="10"/>
  <c r="K4" i="10" s="1"/>
  <c r="M3" i="10"/>
  <c r="D3" i="10"/>
  <c r="C3" i="10"/>
  <c r="M2" i="10"/>
  <c r="D2" i="10"/>
  <c r="C2" i="10"/>
  <c r="K2" i="10" s="1"/>
  <c r="M1" i="10"/>
  <c r="D301" i="9"/>
  <c r="C301" i="9"/>
  <c r="K301" i="9" s="1"/>
  <c r="D300" i="9"/>
  <c r="C300" i="9"/>
  <c r="K299" i="9"/>
  <c r="D299" i="9"/>
  <c r="C299" i="9"/>
  <c r="D298" i="9"/>
  <c r="C298" i="9"/>
  <c r="K298" i="9" s="1"/>
  <c r="D297" i="9"/>
  <c r="C297" i="9"/>
  <c r="K297" i="9" s="1"/>
  <c r="D296" i="9"/>
  <c r="C296" i="9"/>
  <c r="K295" i="9"/>
  <c r="D295" i="9"/>
  <c r="C295" i="9"/>
  <c r="D294" i="9"/>
  <c r="C294" i="9"/>
  <c r="K294" i="9" s="1"/>
  <c r="D293" i="9"/>
  <c r="C293" i="9"/>
  <c r="K293" i="9" s="1"/>
  <c r="D292" i="9"/>
  <c r="C292" i="9"/>
  <c r="K291" i="9"/>
  <c r="D291" i="9"/>
  <c r="C291" i="9"/>
  <c r="D290" i="9"/>
  <c r="C290" i="9"/>
  <c r="K290" i="9" s="1"/>
  <c r="D289" i="9"/>
  <c r="C289" i="9"/>
  <c r="K289" i="9" s="1"/>
  <c r="D288" i="9"/>
  <c r="C288" i="9"/>
  <c r="K287" i="9" s="1"/>
  <c r="D287" i="9"/>
  <c r="C287" i="9"/>
  <c r="D286" i="9"/>
  <c r="C286" i="9"/>
  <c r="K286" i="9" s="1"/>
  <c r="D285" i="9"/>
  <c r="C285" i="9"/>
  <c r="K285" i="9" s="1"/>
  <c r="D284" i="9"/>
  <c r="C284" i="9"/>
  <c r="D283" i="9"/>
  <c r="C283" i="9"/>
  <c r="D282" i="9"/>
  <c r="C282" i="9"/>
  <c r="K282" i="9" s="1"/>
  <c r="D281" i="9"/>
  <c r="C281" i="9"/>
  <c r="D280" i="9"/>
  <c r="C280" i="9"/>
  <c r="K280" i="9" s="1"/>
  <c r="K279" i="9"/>
  <c r="D279" i="9"/>
  <c r="C279" i="9"/>
  <c r="D278" i="9"/>
  <c r="C278" i="9"/>
  <c r="K278" i="9" s="1"/>
  <c r="D277" i="9"/>
  <c r="C277" i="9"/>
  <c r="K277" i="9" s="1"/>
  <c r="D276" i="9"/>
  <c r="C276" i="9"/>
  <c r="D275" i="9"/>
  <c r="C275" i="9"/>
  <c r="D274" i="9"/>
  <c r="C274" i="9"/>
  <c r="K274" i="9" s="1"/>
  <c r="D273" i="9"/>
  <c r="C273" i="9"/>
  <c r="D272" i="9"/>
  <c r="C272" i="9"/>
  <c r="D271" i="9"/>
  <c r="C271" i="9"/>
  <c r="D270" i="9"/>
  <c r="C270" i="9"/>
  <c r="K270" i="9" s="1"/>
  <c r="D269" i="9"/>
  <c r="C269" i="9"/>
  <c r="K269" i="9" s="1"/>
  <c r="D268" i="9"/>
  <c r="C268" i="9"/>
  <c r="K267" i="9" s="1"/>
  <c r="D267" i="9"/>
  <c r="C267" i="9"/>
  <c r="D266" i="9"/>
  <c r="C266" i="9"/>
  <c r="K266" i="9" s="1"/>
  <c r="D265" i="9"/>
  <c r="C265" i="9"/>
  <c r="K265" i="9" s="1"/>
  <c r="D264" i="9"/>
  <c r="C264" i="9"/>
  <c r="K263" i="9" s="1"/>
  <c r="D263" i="9"/>
  <c r="C263" i="9"/>
  <c r="D262" i="9"/>
  <c r="C262" i="9"/>
  <c r="K262" i="9" s="1"/>
  <c r="D261" i="9"/>
  <c r="C261" i="9"/>
  <c r="K261" i="9" s="1"/>
  <c r="D260" i="9"/>
  <c r="C260" i="9"/>
  <c r="K259" i="9" s="1"/>
  <c r="D259" i="9"/>
  <c r="C259" i="9"/>
  <c r="D258" i="9"/>
  <c r="C258" i="9"/>
  <c r="K258" i="9" s="1"/>
  <c r="D257" i="9"/>
  <c r="C257" i="9"/>
  <c r="K257" i="9" s="1"/>
  <c r="D256" i="9"/>
  <c r="C256" i="9"/>
  <c r="K255" i="9" s="1"/>
  <c r="D255" i="9"/>
  <c r="C255" i="9"/>
  <c r="D254" i="9"/>
  <c r="C254" i="9"/>
  <c r="K254" i="9" s="1"/>
  <c r="D253" i="9"/>
  <c r="C253" i="9"/>
  <c r="K253" i="9" s="1"/>
  <c r="D252" i="9"/>
  <c r="C252" i="9"/>
  <c r="K251" i="9" s="1"/>
  <c r="D251" i="9"/>
  <c r="C251" i="9"/>
  <c r="D250" i="9"/>
  <c r="C250" i="9"/>
  <c r="K250" i="9" s="1"/>
  <c r="D249" i="9"/>
  <c r="C249" i="9"/>
  <c r="K249" i="9" s="1"/>
  <c r="D248" i="9"/>
  <c r="C248" i="9"/>
  <c r="K247" i="9" s="1"/>
  <c r="D247" i="9"/>
  <c r="C247" i="9"/>
  <c r="D246" i="9"/>
  <c r="C246" i="9"/>
  <c r="K246" i="9" s="1"/>
  <c r="D245" i="9"/>
  <c r="C245" i="9"/>
  <c r="K245" i="9" s="1"/>
  <c r="D244" i="9"/>
  <c r="C244" i="9"/>
  <c r="K243" i="9" s="1"/>
  <c r="D243" i="9"/>
  <c r="C243" i="9"/>
  <c r="D242" i="9"/>
  <c r="C242" i="9"/>
  <c r="K242" i="9" s="1"/>
  <c r="D241" i="9"/>
  <c r="C241" i="9"/>
  <c r="K241" i="9" s="1"/>
  <c r="D240" i="9"/>
  <c r="C240" i="9"/>
  <c r="K239" i="9" s="1"/>
  <c r="D239" i="9"/>
  <c r="C239" i="9"/>
  <c r="D238" i="9"/>
  <c r="C238" i="9"/>
  <c r="K238" i="9" s="1"/>
  <c r="D237" i="9"/>
  <c r="C237" i="9"/>
  <c r="K237" i="9" s="1"/>
  <c r="D236" i="9"/>
  <c r="C236" i="9"/>
  <c r="K235" i="9" s="1"/>
  <c r="D235" i="9"/>
  <c r="C235" i="9"/>
  <c r="D234" i="9"/>
  <c r="C234" i="9"/>
  <c r="K234" i="9" s="1"/>
  <c r="D233" i="9"/>
  <c r="C233" i="9"/>
  <c r="K233" i="9" s="1"/>
  <c r="D232" i="9"/>
  <c r="C232" i="9"/>
  <c r="K231" i="9" s="1"/>
  <c r="D231" i="9"/>
  <c r="C231" i="9"/>
  <c r="D230" i="9"/>
  <c r="C230" i="9"/>
  <c r="K230" i="9" s="1"/>
  <c r="D229" i="9"/>
  <c r="C229" i="9"/>
  <c r="K229" i="9" s="1"/>
  <c r="D228" i="9"/>
  <c r="C228" i="9"/>
  <c r="K227" i="9" s="1"/>
  <c r="D227" i="9"/>
  <c r="C227" i="9"/>
  <c r="D226" i="9"/>
  <c r="C226" i="9"/>
  <c r="K226" i="9" s="1"/>
  <c r="D225" i="9"/>
  <c r="C225" i="9"/>
  <c r="K225" i="9" s="1"/>
  <c r="D224" i="9"/>
  <c r="C224" i="9"/>
  <c r="K223" i="9" s="1"/>
  <c r="D223" i="9"/>
  <c r="C223" i="9"/>
  <c r="D222" i="9"/>
  <c r="C222" i="9"/>
  <c r="K222" i="9" s="1"/>
  <c r="D221" i="9"/>
  <c r="C221" i="9"/>
  <c r="K221" i="9" s="1"/>
  <c r="D220" i="9"/>
  <c r="C220" i="9"/>
  <c r="K219" i="9" s="1"/>
  <c r="D219" i="9"/>
  <c r="C219" i="9"/>
  <c r="D218" i="9"/>
  <c r="C218" i="9"/>
  <c r="K218" i="9" s="1"/>
  <c r="D217" i="9"/>
  <c r="C217" i="9"/>
  <c r="K217" i="9" s="1"/>
  <c r="D216" i="9"/>
  <c r="C216" i="9"/>
  <c r="K215" i="9" s="1"/>
  <c r="D215" i="9"/>
  <c r="C215" i="9"/>
  <c r="D214" i="9"/>
  <c r="C214" i="9"/>
  <c r="K214" i="9" s="1"/>
  <c r="D213" i="9"/>
  <c r="C213" i="9"/>
  <c r="K213" i="9" s="1"/>
  <c r="D212" i="9"/>
  <c r="C212" i="9"/>
  <c r="K211" i="9" s="1"/>
  <c r="D211" i="9"/>
  <c r="C211" i="9"/>
  <c r="D210" i="9"/>
  <c r="C210" i="9"/>
  <c r="K210" i="9" s="1"/>
  <c r="D209" i="9"/>
  <c r="C209" i="9"/>
  <c r="K209" i="9" s="1"/>
  <c r="D208" i="9"/>
  <c r="C208" i="9"/>
  <c r="K207" i="9" s="1"/>
  <c r="D207" i="9"/>
  <c r="C207" i="9"/>
  <c r="D206" i="9"/>
  <c r="C206" i="9"/>
  <c r="K206" i="9" s="1"/>
  <c r="D205" i="9"/>
  <c r="C205" i="9"/>
  <c r="K205" i="9" s="1"/>
  <c r="D204" i="9"/>
  <c r="C204" i="9"/>
  <c r="K203" i="9" s="1"/>
  <c r="D203" i="9"/>
  <c r="C203" i="9"/>
  <c r="D202" i="9"/>
  <c r="C202" i="9"/>
  <c r="K202" i="9" s="1"/>
  <c r="D201" i="9"/>
  <c r="C201" i="9"/>
  <c r="K201" i="9" s="1"/>
  <c r="D200" i="9"/>
  <c r="C200" i="9"/>
  <c r="K199" i="9" s="1"/>
  <c r="D199" i="9"/>
  <c r="C199" i="9"/>
  <c r="D198" i="9"/>
  <c r="C198" i="9"/>
  <c r="K198" i="9" s="1"/>
  <c r="D197" i="9"/>
  <c r="C197" i="9"/>
  <c r="K197" i="9" s="1"/>
  <c r="D196" i="9"/>
  <c r="C196" i="9"/>
  <c r="K195" i="9" s="1"/>
  <c r="D195" i="9"/>
  <c r="C195" i="9"/>
  <c r="D194" i="9"/>
  <c r="C194" i="9"/>
  <c r="K194" i="9" s="1"/>
  <c r="D193" i="9"/>
  <c r="C193" i="9"/>
  <c r="K193" i="9" s="1"/>
  <c r="D192" i="9"/>
  <c r="C192" i="9"/>
  <c r="K191" i="9" s="1"/>
  <c r="D191" i="9"/>
  <c r="C191" i="9"/>
  <c r="D190" i="9"/>
  <c r="C190" i="9"/>
  <c r="K190" i="9" s="1"/>
  <c r="D189" i="9"/>
  <c r="C189" i="9"/>
  <c r="K189" i="9" s="1"/>
  <c r="D188" i="9"/>
  <c r="C188" i="9"/>
  <c r="K187" i="9" s="1"/>
  <c r="D187" i="9"/>
  <c r="C187" i="9"/>
  <c r="D186" i="9"/>
  <c r="C186" i="9"/>
  <c r="K186" i="9" s="1"/>
  <c r="D185" i="9"/>
  <c r="C185" i="9"/>
  <c r="K185" i="9" s="1"/>
  <c r="D184" i="9"/>
  <c r="C184" i="9"/>
  <c r="K183" i="9" s="1"/>
  <c r="D183" i="9"/>
  <c r="C183" i="9"/>
  <c r="D182" i="9"/>
  <c r="C182" i="9"/>
  <c r="K182" i="9" s="1"/>
  <c r="D181" i="9"/>
  <c r="C181" i="9"/>
  <c r="K181" i="9" s="1"/>
  <c r="D180" i="9"/>
  <c r="C180" i="9"/>
  <c r="K179" i="9" s="1"/>
  <c r="D179" i="9"/>
  <c r="C179" i="9"/>
  <c r="D178" i="9"/>
  <c r="C178" i="9"/>
  <c r="K178" i="9" s="1"/>
  <c r="D177" i="9"/>
  <c r="C177" i="9"/>
  <c r="K177" i="9" s="1"/>
  <c r="D176" i="9"/>
  <c r="C176" i="9"/>
  <c r="K175" i="9" s="1"/>
  <c r="D175" i="9"/>
  <c r="C175" i="9"/>
  <c r="D174" i="9"/>
  <c r="C174" i="9"/>
  <c r="K174" i="9" s="1"/>
  <c r="D173" i="9"/>
  <c r="C173" i="9"/>
  <c r="K173" i="9" s="1"/>
  <c r="D172" i="9"/>
  <c r="C172" i="9"/>
  <c r="K171" i="9" s="1"/>
  <c r="D171" i="9"/>
  <c r="C171" i="9"/>
  <c r="D170" i="9"/>
  <c r="C170" i="9"/>
  <c r="K170" i="9" s="1"/>
  <c r="D169" i="9"/>
  <c r="C169" i="9"/>
  <c r="K169" i="9" s="1"/>
  <c r="D168" i="9"/>
  <c r="C168" i="9"/>
  <c r="K167" i="9" s="1"/>
  <c r="D167" i="9"/>
  <c r="C167" i="9"/>
  <c r="D166" i="9"/>
  <c r="C166" i="9"/>
  <c r="K166" i="9" s="1"/>
  <c r="D165" i="9"/>
  <c r="C165" i="9"/>
  <c r="K165" i="9" s="1"/>
  <c r="D164" i="9"/>
  <c r="C164" i="9"/>
  <c r="K163" i="9" s="1"/>
  <c r="D163" i="9"/>
  <c r="C163" i="9"/>
  <c r="D162" i="9"/>
  <c r="C162" i="9"/>
  <c r="K162" i="9" s="1"/>
  <c r="D161" i="9"/>
  <c r="C161" i="9"/>
  <c r="K161" i="9" s="1"/>
  <c r="D160" i="9"/>
  <c r="C160" i="9"/>
  <c r="K159" i="9" s="1"/>
  <c r="D159" i="9"/>
  <c r="C159" i="9"/>
  <c r="D158" i="9"/>
  <c r="C158" i="9"/>
  <c r="K158" i="9" s="1"/>
  <c r="D157" i="9"/>
  <c r="C157" i="9"/>
  <c r="K157" i="9" s="1"/>
  <c r="D156" i="9"/>
  <c r="C156" i="9"/>
  <c r="K155" i="9" s="1"/>
  <c r="D155" i="9"/>
  <c r="C155" i="9"/>
  <c r="D154" i="9"/>
  <c r="C154" i="9"/>
  <c r="K154" i="9" s="1"/>
  <c r="D153" i="9"/>
  <c r="C153" i="9"/>
  <c r="K153" i="9" s="1"/>
  <c r="D152" i="9"/>
  <c r="C152" i="9"/>
  <c r="K151" i="9" s="1"/>
  <c r="D151" i="9"/>
  <c r="C151" i="9"/>
  <c r="D150" i="9"/>
  <c r="C150" i="9"/>
  <c r="K150" i="9" s="1"/>
  <c r="D149" i="9"/>
  <c r="C149" i="9"/>
  <c r="K149" i="9" s="1"/>
  <c r="D148" i="9"/>
  <c r="C148" i="9"/>
  <c r="K147" i="9" s="1"/>
  <c r="D147" i="9"/>
  <c r="C147" i="9"/>
  <c r="D146" i="9"/>
  <c r="C146" i="9"/>
  <c r="K146" i="9" s="1"/>
  <c r="D145" i="9"/>
  <c r="C145" i="9"/>
  <c r="K145" i="9" s="1"/>
  <c r="D144" i="9"/>
  <c r="C144" i="9"/>
  <c r="K143" i="9" s="1"/>
  <c r="D143" i="9"/>
  <c r="C143" i="9"/>
  <c r="D142" i="9"/>
  <c r="C142" i="9"/>
  <c r="K142" i="9" s="1"/>
  <c r="D141" i="9"/>
  <c r="C141" i="9"/>
  <c r="K141" i="9" s="1"/>
  <c r="D140" i="9"/>
  <c r="C140" i="9"/>
  <c r="K139" i="9" s="1"/>
  <c r="D139" i="9"/>
  <c r="C139" i="9"/>
  <c r="D138" i="9"/>
  <c r="C138" i="9"/>
  <c r="K138" i="9" s="1"/>
  <c r="D137" i="9"/>
  <c r="C137" i="9"/>
  <c r="K137" i="9" s="1"/>
  <c r="D136" i="9"/>
  <c r="C136" i="9"/>
  <c r="K135" i="9" s="1"/>
  <c r="D135" i="9"/>
  <c r="C135" i="9"/>
  <c r="D134" i="9"/>
  <c r="C134" i="9"/>
  <c r="K134" i="9" s="1"/>
  <c r="D133" i="9"/>
  <c r="C133" i="9"/>
  <c r="K133" i="9" s="1"/>
  <c r="D132" i="9"/>
  <c r="C132" i="9"/>
  <c r="K131" i="9" s="1"/>
  <c r="D131" i="9"/>
  <c r="C131" i="9"/>
  <c r="D130" i="9"/>
  <c r="C130" i="9"/>
  <c r="K130" i="9" s="1"/>
  <c r="D129" i="9"/>
  <c r="C129" i="9"/>
  <c r="K129" i="9" s="1"/>
  <c r="D128" i="9"/>
  <c r="C128" i="9"/>
  <c r="K127" i="9" s="1"/>
  <c r="D127" i="9"/>
  <c r="C127" i="9"/>
  <c r="D126" i="9"/>
  <c r="C126" i="9"/>
  <c r="K126" i="9" s="1"/>
  <c r="D125" i="9"/>
  <c r="C125" i="9"/>
  <c r="K125" i="9" s="1"/>
  <c r="D124" i="9"/>
  <c r="C124" i="9"/>
  <c r="K123" i="9" s="1"/>
  <c r="D123" i="9"/>
  <c r="C123" i="9"/>
  <c r="D122" i="9"/>
  <c r="C122" i="9"/>
  <c r="K122" i="9" s="1"/>
  <c r="D121" i="9"/>
  <c r="C121" i="9"/>
  <c r="K121" i="9" s="1"/>
  <c r="D120" i="9"/>
  <c r="C120" i="9"/>
  <c r="D119" i="9"/>
  <c r="C119" i="9"/>
  <c r="D118" i="9"/>
  <c r="C118" i="9"/>
  <c r="K118" i="9" s="1"/>
  <c r="D117" i="9"/>
  <c r="C117" i="9"/>
  <c r="K116" i="9"/>
  <c r="D116" i="9"/>
  <c r="C116" i="9"/>
  <c r="K115" i="9" s="1"/>
  <c r="D115" i="9"/>
  <c r="C115" i="9"/>
  <c r="D114" i="9"/>
  <c r="C114" i="9"/>
  <c r="K114" i="9" s="1"/>
  <c r="D113" i="9"/>
  <c r="C113" i="9"/>
  <c r="D112" i="9"/>
  <c r="C112" i="9"/>
  <c r="D111" i="9"/>
  <c r="C111" i="9"/>
  <c r="D110" i="9"/>
  <c r="C110" i="9"/>
  <c r="K110" i="9" s="1"/>
  <c r="D109" i="9"/>
  <c r="C109" i="9"/>
  <c r="K108" i="9"/>
  <c r="D108" i="9"/>
  <c r="C108" i="9"/>
  <c r="K107" i="9" s="1"/>
  <c r="D107" i="9"/>
  <c r="C107" i="9"/>
  <c r="D106" i="9"/>
  <c r="C106" i="9"/>
  <c r="K106" i="9" s="1"/>
  <c r="D105" i="9"/>
  <c r="C105" i="9"/>
  <c r="D104" i="9"/>
  <c r="C104" i="9"/>
  <c r="K103" i="9" s="1"/>
  <c r="D103" i="9"/>
  <c r="C103" i="9"/>
  <c r="D102" i="9"/>
  <c r="C102" i="9"/>
  <c r="K102" i="9" s="1"/>
  <c r="D101" i="9"/>
  <c r="C101" i="9"/>
  <c r="K101" i="9" s="1"/>
  <c r="K100" i="9"/>
  <c r="D100" i="9"/>
  <c r="C100" i="9"/>
  <c r="K99" i="9" s="1"/>
  <c r="D99" i="9"/>
  <c r="C99" i="9"/>
  <c r="D98" i="9"/>
  <c r="C98" i="9"/>
  <c r="K98" i="9" s="1"/>
  <c r="D97" i="9"/>
  <c r="C97" i="9"/>
  <c r="K97" i="9" s="1"/>
  <c r="K96" i="9"/>
  <c r="D96" i="9"/>
  <c r="C96" i="9"/>
  <c r="K95" i="9" s="1"/>
  <c r="D95" i="9"/>
  <c r="C95" i="9"/>
  <c r="D94" i="9"/>
  <c r="C94" i="9"/>
  <c r="K94" i="9" s="1"/>
  <c r="D93" i="9"/>
  <c r="C93" i="9"/>
  <c r="K93" i="9" s="1"/>
  <c r="K92" i="9"/>
  <c r="D92" i="9"/>
  <c r="C92" i="9"/>
  <c r="K91" i="9" s="1"/>
  <c r="D91" i="9"/>
  <c r="C91" i="9"/>
  <c r="D90" i="9"/>
  <c r="C90" i="9"/>
  <c r="K90" i="9" s="1"/>
  <c r="D89" i="9"/>
  <c r="C89" i="9"/>
  <c r="K89" i="9" s="1"/>
  <c r="K88" i="9"/>
  <c r="D88" i="9"/>
  <c r="C88" i="9"/>
  <c r="K87" i="9" s="1"/>
  <c r="D87" i="9"/>
  <c r="C87" i="9"/>
  <c r="D86" i="9"/>
  <c r="C86" i="9"/>
  <c r="K86" i="9" s="1"/>
  <c r="D85" i="9"/>
  <c r="C85" i="9"/>
  <c r="D84" i="9"/>
  <c r="C84" i="9"/>
  <c r="K83" i="9" s="1"/>
  <c r="D83" i="9"/>
  <c r="C83" i="9"/>
  <c r="D82" i="9"/>
  <c r="C82" i="9"/>
  <c r="K82" i="9" s="1"/>
  <c r="D81" i="9"/>
  <c r="C81" i="9"/>
  <c r="K81" i="9" s="1"/>
  <c r="D80" i="9"/>
  <c r="C80" i="9"/>
  <c r="D79" i="9"/>
  <c r="C79" i="9"/>
  <c r="D78" i="9"/>
  <c r="C78" i="9"/>
  <c r="K78" i="9" s="1"/>
  <c r="D77" i="9"/>
  <c r="C77" i="9"/>
  <c r="D76" i="9"/>
  <c r="C76" i="9"/>
  <c r="K75" i="9" s="1"/>
  <c r="D75" i="9"/>
  <c r="C75" i="9"/>
  <c r="D74" i="9"/>
  <c r="C74" i="9"/>
  <c r="K74" i="9" s="1"/>
  <c r="D73" i="9"/>
  <c r="C73" i="9"/>
  <c r="K73" i="9" s="1"/>
  <c r="D72" i="9"/>
  <c r="C72" i="9"/>
  <c r="D71" i="9"/>
  <c r="C71" i="9"/>
  <c r="D70" i="9"/>
  <c r="C70" i="9"/>
  <c r="K70" i="9" s="1"/>
  <c r="D69" i="9"/>
  <c r="C69" i="9"/>
  <c r="K68" i="9"/>
  <c r="D68" i="9"/>
  <c r="C68" i="9"/>
  <c r="K67" i="9" s="1"/>
  <c r="D67" i="9"/>
  <c r="C67" i="9"/>
  <c r="D66" i="9"/>
  <c r="C66" i="9"/>
  <c r="K66" i="9" s="1"/>
  <c r="D65" i="9"/>
  <c r="C65" i="9"/>
  <c r="D64" i="9"/>
  <c r="C64" i="9"/>
  <c r="D63" i="9"/>
  <c r="C63" i="9"/>
  <c r="D62" i="9"/>
  <c r="C62" i="9"/>
  <c r="K62" i="9" s="1"/>
  <c r="D61" i="9"/>
  <c r="C61" i="9"/>
  <c r="K60" i="9"/>
  <c r="D60" i="9"/>
  <c r="C60" i="9"/>
  <c r="K59" i="9" s="1"/>
  <c r="D59" i="9"/>
  <c r="C59" i="9"/>
  <c r="D58" i="9"/>
  <c r="C58" i="9"/>
  <c r="K58" i="9" s="1"/>
  <c r="D57" i="9"/>
  <c r="C57" i="9"/>
  <c r="D56" i="9"/>
  <c r="C56" i="9"/>
  <c r="D55" i="9"/>
  <c r="C55" i="9"/>
  <c r="D54" i="9"/>
  <c r="C54" i="9"/>
  <c r="K54" i="9" s="1"/>
  <c r="D53" i="9"/>
  <c r="C53" i="9"/>
  <c r="K53" i="9" s="1"/>
  <c r="K52" i="9"/>
  <c r="D52" i="9"/>
  <c r="C52" i="9"/>
  <c r="K51" i="9" s="1"/>
  <c r="D51" i="9"/>
  <c r="C51" i="9"/>
  <c r="D50" i="9"/>
  <c r="C50" i="9"/>
  <c r="K50" i="9" s="1"/>
  <c r="D49" i="9"/>
  <c r="C49" i="9"/>
  <c r="K49" i="9" s="1"/>
  <c r="K48" i="9"/>
  <c r="D48" i="9"/>
  <c r="C48" i="9"/>
  <c r="K47" i="9" s="1"/>
  <c r="D47" i="9"/>
  <c r="C47" i="9"/>
  <c r="D46" i="9"/>
  <c r="C46" i="9"/>
  <c r="K46" i="9" s="1"/>
  <c r="D45" i="9"/>
  <c r="C45" i="9"/>
  <c r="K45" i="9" s="1"/>
  <c r="K44" i="9"/>
  <c r="D44" i="9"/>
  <c r="C44" i="9"/>
  <c r="K43" i="9" s="1"/>
  <c r="D43" i="9"/>
  <c r="C43" i="9"/>
  <c r="D42" i="9"/>
  <c r="C42" i="9"/>
  <c r="K42" i="9" s="1"/>
  <c r="D41" i="9"/>
  <c r="C41" i="9"/>
  <c r="K41" i="9" s="1"/>
  <c r="K40" i="9"/>
  <c r="D40" i="9"/>
  <c r="C40" i="9"/>
  <c r="K39" i="9" s="1"/>
  <c r="D39" i="9"/>
  <c r="C39" i="9"/>
  <c r="D38" i="9"/>
  <c r="C38" i="9"/>
  <c r="K38" i="9" s="1"/>
  <c r="D37" i="9"/>
  <c r="C37" i="9"/>
  <c r="D36" i="9"/>
  <c r="C36" i="9"/>
  <c r="K35" i="9" s="1"/>
  <c r="D35" i="9"/>
  <c r="C35" i="9"/>
  <c r="D34" i="9"/>
  <c r="C34" i="9"/>
  <c r="K34" i="9" s="1"/>
  <c r="D33" i="9"/>
  <c r="C33" i="9"/>
  <c r="K33" i="9" s="1"/>
  <c r="D32" i="9"/>
  <c r="C32" i="9"/>
  <c r="D31" i="9"/>
  <c r="C31" i="9"/>
  <c r="D30" i="9"/>
  <c r="C30" i="9"/>
  <c r="K30" i="9" s="1"/>
  <c r="D29" i="9"/>
  <c r="C29" i="9"/>
  <c r="D28" i="9"/>
  <c r="C28" i="9"/>
  <c r="K27" i="9" s="1"/>
  <c r="D27" i="9"/>
  <c r="C27" i="9"/>
  <c r="D26" i="9"/>
  <c r="C26" i="9"/>
  <c r="K26" i="9" s="1"/>
  <c r="D25" i="9"/>
  <c r="C25" i="9"/>
  <c r="K25" i="9" s="1"/>
  <c r="K24" i="9"/>
  <c r="D24" i="9"/>
  <c r="C24" i="9"/>
  <c r="D23" i="9"/>
  <c r="C23" i="9"/>
  <c r="K22" i="9"/>
  <c r="D22" i="9"/>
  <c r="C22" i="9"/>
  <c r="K21" i="9"/>
  <c r="D21" i="9"/>
  <c r="C21" i="9"/>
  <c r="D20" i="9"/>
  <c r="C20" i="9"/>
  <c r="K20" i="9" s="1"/>
  <c r="D19" i="9"/>
  <c r="C19" i="9"/>
  <c r="K19" i="9" s="1"/>
  <c r="D18" i="9"/>
  <c r="C18" i="9"/>
  <c r="K18" i="9" s="1"/>
  <c r="D17" i="9"/>
  <c r="C17" i="9"/>
  <c r="K17" i="9" s="1"/>
  <c r="K16" i="9"/>
  <c r="D16" i="9"/>
  <c r="C16" i="9"/>
  <c r="D15" i="9"/>
  <c r="C15" i="9"/>
  <c r="K15" i="9" s="1"/>
  <c r="D14" i="9"/>
  <c r="C14" i="9"/>
  <c r="D13" i="9"/>
  <c r="C13" i="9"/>
  <c r="D12" i="9"/>
  <c r="C12" i="9"/>
  <c r="K12" i="9" s="1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M3" i="9"/>
  <c r="D3" i="9"/>
  <c r="C3" i="9"/>
  <c r="M2" i="9"/>
  <c r="D2" i="9"/>
  <c r="C2" i="9"/>
  <c r="K2" i="9" s="1"/>
  <c r="M1" i="9"/>
  <c r="D301" i="8"/>
  <c r="C301" i="8"/>
  <c r="K301" i="8" s="1"/>
  <c r="K300" i="8"/>
  <c r="D300" i="8"/>
  <c r="C300" i="8"/>
  <c r="K299" i="8" s="1"/>
  <c r="D299" i="8"/>
  <c r="C299" i="8"/>
  <c r="D298" i="8"/>
  <c r="C298" i="8"/>
  <c r="K298" i="8" s="1"/>
  <c r="D297" i="8"/>
  <c r="C297" i="8"/>
  <c r="K297" i="8" s="1"/>
  <c r="D296" i="8"/>
  <c r="C296" i="8"/>
  <c r="K295" i="8" s="1"/>
  <c r="D295" i="8"/>
  <c r="C295" i="8"/>
  <c r="D294" i="8"/>
  <c r="C294" i="8"/>
  <c r="K294" i="8" s="1"/>
  <c r="D293" i="8"/>
  <c r="C293" i="8"/>
  <c r="K293" i="8" s="1"/>
  <c r="K292" i="8"/>
  <c r="D292" i="8"/>
  <c r="C292" i="8"/>
  <c r="K291" i="8" s="1"/>
  <c r="D291" i="8"/>
  <c r="C291" i="8"/>
  <c r="D290" i="8"/>
  <c r="C290" i="8"/>
  <c r="K290" i="8" s="1"/>
  <c r="D289" i="8"/>
  <c r="C289" i="8"/>
  <c r="K289" i="8" s="1"/>
  <c r="K288" i="8"/>
  <c r="D288" i="8"/>
  <c r="C288" i="8"/>
  <c r="K287" i="8" s="1"/>
  <c r="D287" i="8"/>
  <c r="C287" i="8"/>
  <c r="D286" i="8"/>
  <c r="C286" i="8"/>
  <c r="K286" i="8" s="1"/>
  <c r="D285" i="8"/>
  <c r="C285" i="8"/>
  <c r="K285" i="8" s="1"/>
  <c r="D284" i="8"/>
  <c r="C284" i="8"/>
  <c r="K283" i="8" s="1"/>
  <c r="D283" i="8"/>
  <c r="C283" i="8"/>
  <c r="D282" i="8"/>
  <c r="C282" i="8"/>
  <c r="K282" i="8" s="1"/>
  <c r="D281" i="8"/>
  <c r="C281" i="8"/>
  <c r="K281" i="8" s="1"/>
  <c r="K280" i="8"/>
  <c r="D280" i="8"/>
  <c r="C280" i="8"/>
  <c r="K279" i="8" s="1"/>
  <c r="D279" i="8"/>
  <c r="C279" i="8"/>
  <c r="D278" i="8"/>
  <c r="C278" i="8"/>
  <c r="K278" i="8" s="1"/>
  <c r="D277" i="8"/>
  <c r="C277" i="8"/>
  <c r="K277" i="8" s="1"/>
  <c r="K276" i="8"/>
  <c r="D276" i="8"/>
  <c r="C276" i="8"/>
  <c r="K275" i="8" s="1"/>
  <c r="D275" i="8"/>
  <c r="C275" i="8"/>
  <c r="D274" i="8"/>
  <c r="C274" i="8"/>
  <c r="K274" i="8" s="1"/>
  <c r="D273" i="8"/>
  <c r="C273" i="8"/>
  <c r="K273" i="8" s="1"/>
  <c r="D272" i="8"/>
  <c r="C272" i="8"/>
  <c r="K271" i="8" s="1"/>
  <c r="D271" i="8"/>
  <c r="C271" i="8"/>
  <c r="D270" i="8"/>
  <c r="C270" i="8"/>
  <c r="K270" i="8" s="1"/>
  <c r="D269" i="8"/>
  <c r="C269" i="8"/>
  <c r="K269" i="8" s="1"/>
  <c r="K268" i="8"/>
  <c r="D268" i="8"/>
  <c r="C268" i="8"/>
  <c r="K267" i="8" s="1"/>
  <c r="D267" i="8"/>
  <c r="C267" i="8"/>
  <c r="D266" i="8"/>
  <c r="C266" i="8"/>
  <c r="K266" i="8" s="1"/>
  <c r="D265" i="8"/>
  <c r="C265" i="8"/>
  <c r="K265" i="8" s="1"/>
  <c r="K264" i="8"/>
  <c r="D264" i="8"/>
  <c r="C264" i="8"/>
  <c r="K263" i="8" s="1"/>
  <c r="D263" i="8"/>
  <c r="C263" i="8"/>
  <c r="D262" i="8"/>
  <c r="C262" i="8"/>
  <c r="K262" i="8" s="1"/>
  <c r="D261" i="8"/>
  <c r="C261" i="8"/>
  <c r="K261" i="8" s="1"/>
  <c r="D260" i="8"/>
  <c r="C260" i="8"/>
  <c r="K259" i="8" s="1"/>
  <c r="D259" i="8"/>
  <c r="C259" i="8"/>
  <c r="D258" i="8"/>
  <c r="C258" i="8"/>
  <c r="K258" i="8" s="1"/>
  <c r="D257" i="8"/>
  <c r="C257" i="8"/>
  <c r="K257" i="8" s="1"/>
  <c r="K256" i="8"/>
  <c r="D256" i="8"/>
  <c r="C256" i="8"/>
  <c r="K255" i="8" s="1"/>
  <c r="D255" i="8"/>
  <c r="C255" i="8"/>
  <c r="D254" i="8"/>
  <c r="C254" i="8"/>
  <c r="K254" i="8" s="1"/>
  <c r="D253" i="8"/>
  <c r="C253" i="8"/>
  <c r="K253" i="8" s="1"/>
  <c r="K252" i="8"/>
  <c r="D252" i="8"/>
  <c r="C252" i="8"/>
  <c r="K251" i="8" s="1"/>
  <c r="D251" i="8"/>
  <c r="C251" i="8"/>
  <c r="D250" i="8"/>
  <c r="C250" i="8"/>
  <c r="K250" i="8" s="1"/>
  <c r="D249" i="8"/>
  <c r="C249" i="8"/>
  <c r="K249" i="8" s="1"/>
  <c r="D248" i="8"/>
  <c r="C248" i="8"/>
  <c r="K247" i="8" s="1"/>
  <c r="D247" i="8"/>
  <c r="C247" i="8"/>
  <c r="D246" i="8"/>
  <c r="C246" i="8"/>
  <c r="K246" i="8" s="1"/>
  <c r="D245" i="8"/>
  <c r="C245" i="8"/>
  <c r="K245" i="8" s="1"/>
  <c r="K244" i="8"/>
  <c r="D244" i="8"/>
  <c r="C244" i="8"/>
  <c r="K243" i="8" s="1"/>
  <c r="D243" i="8"/>
  <c r="C243" i="8"/>
  <c r="D242" i="8"/>
  <c r="C242" i="8"/>
  <c r="K242" i="8" s="1"/>
  <c r="D241" i="8"/>
  <c r="C241" i="8"/>
  <c r="K241" i="8" s="1"/>
  <c r="K240" i="8"/>
  <c r="D240" i="8"/>
  <c r="C240" i="8"/>
  <c r="K239" i="8" s="1"/>
  <c r="D239" i="8"/>
  <c r="C239" i="8"/>
  <c r="D238" i="8"/>
  <c r="C238" i="8"/>
  <c r="K238" i="8" s="1"/>
  <c r="D237" i="8"/>
  <c r="C237" i="8"/>
  <c r="K237" i="8" s="1"/>
  <c r="D236" i="8"/>
  <c r="C236" i="8"/>
  <c r="K235" i="8" s="1"/>
  <c r="D235" i="8"/>
  <c r="C235" i="8"/>
  <c r="D234" i="8"/>
  <c r="C234" i="8"/>
  <c r="K234" i="8" s="1"/>
  <c r="D233" i="8"/>
  <c r="C233" i="8"/>
  <c r="K233" i="8" s="1"/>
  <c r="K232" i="8"/>
  <c r="D232" i="8"/>
  <c r="C232" i="8"/>
  <c r="K231" i="8" s="1"/>
  <c r="D231" i="8"/>
  <c r="C231" i="8"/>
  <c r="D230" i="8"/>
  <c r="C230" i="8"/>
  <c r="K230" i="8" s="1"/>
  <c r="D229" i="8"/>
  <c r="C229" i="8"/>
  <c r="K229" i="8" s="1"/>
  <c r="K228" i="8"/>
  <c r="D228" i="8"/>
  <c r="C228" i="8"/>
  <c r="K227" i="8" s="1"/>
  <c r="D227" i="8"/>
  <c r="C227" i="8"/>
  <c r="D226" i="8"/>
  <c r="C226" i="8"/>
  <c r="K226" i="8" s="1"/>
  <c r="D225" i="8"/>
  <c r="C225" i="8"/>
  <c r="K225" i="8" s="1"/>
  <c r="D224" i="8"/>
  <c r="C224" i="8"/>
  <c r="K223" i="8" s="1"/>
  <c r="D223" i="8"/>
  <c r="C223" i="8"/>
  <c r="D222" i="8"/>
  <c r="C222" i="8"/>
  <c r="K222" i="8" s="1"/>
  <c r="D221" i="8"/>
  <c r="C221" i="8"/>
  <c r="K221" i="8" s="1"/>
  <c r="K220" i="8"/>
  <c r="D220" i="8"/>
  <c r="C220" i="8"/>
  <c r="K219" i="8" s="1"/>
  <c r="D219" i="8"/>
  <c r="C219" i="8"/>
  <c r="D218" i="8"/>
  <c r="C218" i="8"/>
  <c r="K218" i="8" s="1"/>
  <c r="D217" i="8"/>
  <c r="C217" i="8"/>
  <c r="K217" i="8" s="1"/>
  <c r="K216" i="8"/>
  <c r="D216" i="8"/>
  <c r="C216" i="8"/>
  <c r="K215" i="8" s="1"/>
  <c r="D215" i="8"/>
  <c r="C215" i="8"/>
  <c r="D214" i="8"/>
  <c r="C214" i="8"/>
  <c r="K214" i="8" s="1"/>
  <c r="D213" i="8"/>
  <c r="C213" i="8"/>
  <c r="K213" i="8" s="1"/>
  <c r="D212" i="8"/>
  <c r="C212" i="8"/>
  <c r="K211" i="8" s="1"/>
  <c r="D211" i="8"/>
  <c r="C211" i="8"/>
  <c r="D210" i="8"/>
  <c r="C210" i="8"/>
  <c r="K210" i="8" s="1"/>
  <c r="D209" i="8"/>
  <c r="C209" i="8"/>
  <c r="K209" i="8" s="1"/>
  <c r="K208" i="8"/>
  <c r="D208" i="8"/>
  <c r="C208" i="8"/>
  <c r="K207" i="8" s="1"/>
  <c r="D207" i="8"/>
  <c r="C207" i="8"/>
  <c r="D206" i="8"/>
  <c r="C206" i="8"/>
  <c r="K206" i="8" s="1"/>
  <c r="D205" i="8"/>
  <c r="C205" i="8"/>
  <c r="K205" i="8" s="1"/>
  <c r="K204" i="8"/>
  <c r="D204" i="8"/>
  <c r="C204" i="8"/>
  <c r="K203" i="8" s="1"/>
  <c r="D203" i="8"/>
  <c r="C203" i="8"/>
  <c r="D202" i="8"/>
  <c r="C202" i="8"/>
  <c r="K202" i="8" s="1"/>
  <c r="D201" i="8"/>
  <c r="C201" i="8"/>
  <c r="K201" i="8" s="1"/>
  <c r="D200" i="8"/>
  <c r="C200" i="8"/>
  <c r="K199" i="8" s="1"/>
  <c r="D199" i="8"/>
  <c r="C199" i="8"/>
  <c r="D198" i="8"/>
  <c r="C198" i="8"/>
  <c r="K198" i="8" s="1"/>
  <c r="D197" i="8"/>
  <c r="C197" i="8"/>
  <c r="K197" i="8" s="1"/>
  <c r="K196" i="8"/>
  <c r="D196" i="8"/>
  <c r="C196" i="8"/>
  <c r="K195" i="8" s="1"/>
  <c r="D195" i="8"/>
  <c r="C195" i="8"/>
  <c r="D194" i="8"/>
  <c r="C194" i="8"/>
  <c r="K194" i="8" s="1"/>
  <c r="D193" i="8"/>
  <c r="C193" i="8"/>
  <c r="K193" i="8" s="1"/>
  <c r="K192" i="8"/>
  <c r="D192" i="8"/>
  <c r="C192" i="8"/>
  <c r="K191" i="8" s="1"/>
  <c r="D191" i="8"/>
  <c r="C191" i="8"/>
  <c r="D190" i="8"/>
  <c r="C190" i="8"/>
  <c r="K190" i="8" s="1"/>
  <c r="D189" i="8"/>
  <c r="C189" i="8"/>
  <c r="K189" i="8" s="1"/>
  <c r="D188" i="8"/>
  <c r="C188" i="8"/>
  <c r="K187" i="8" s="1"/>
  <c r="D187" i="8"/>
  <c r="C187" i="8"/>
  <c r="D186" i="8"/>
  <c r="C186" i="8"/>
  <c r="K186" i="8" s="1"/>
  <c r="D185" i="8"/>
  <c r="C185" i="8"/>
  <c r="K185" i="8" s="1"/>
  <c r="K184" i="8"/>
  <c r="D184" i="8"/>
  <c r="C184" i="8"/>
  <c r="K183" i="8" s="1"/>
  <c r="D183" i="8"/>
  <c r="C183" i="8"/>
  <c r="D182" i="8"/>
  <c r="C182" i="8"/>
  <c r="K182" i="8" s="1"/>
  <c r="D181" i="8"/>
  <c r="C181" i="8"/>
  <c r="K181" i="8" s="1"/>
  <c r="K180" i="8"/>
  <c r="D180" i="8"/>
  <c r="C180" i="8"/>
  <c r="K179" i="8" s="1"/>
  <c r="D179" i="8"/>
  <c r="C179" i="8"/>
  <c r="D178" i="8"/>
  <c r="C178" i="8"/>
  <c r="K178" i="8" s="1"/>
  <c r="D177" i="8"/>
  <c r="C177" i="8"/>
  <c r="K177" i="8" s="1"/>
  <c r="D176" i="8"/>
  <c r="C176" i="8"/>
  <c r="K175" i="8" s="1"/>
  <c r="D175" i="8"/>
  <c r="C175" i="8"/>
  <c r="D174" i="8"/>
  <c r="C174" i="8"/>
  <c r="K174" i="8" s="1"/>
  <c r="D173" i="8"/>
  <c r="C173" i="8"/>
  <c r="K173" i="8" s="1"/>
  <c r="K172" i="8"/>
  <c r="D172" i="8"/>
  <c r="C172" i="8"/>
  <c r="K171" i="8" s="1"/>
  <c r="D171" i="8"/>
  <c r="C171" i="8"/>
  <c r="D170" i="8"/>
  <c r="C170" i="8"/>
  <c r="K170" i="8" s="1"/>
  <c r="D169" i="8"/>
  <c r="C169" i="8"/>
  <c r="K169" i="8" s="1"/>
  <c r="K168" i="8"/>
  <c r="D168" i="8"/>
  <c r="C168" i="8"/>
  <c r="K167" i="8" s="1"/>
  <c r="D167" i="8"/>
  <c r="C167" i="8"/>
  <c r="D166" i="8"/>
  <c r="C166" i="8"/>
  <c r="K166" i="8" s="1"/>
  <c r="D165" i="8"/>
  <c r="C165" i="8"/>
  <c r="K165" i="8" s="1"/>
  <c r="D164" i="8"/>
  <c r="C164" i="8"/>
  <c r="K163" i="8" s="1"/>
  <c r="D163" i="8"/>
  <c r="C163" i="8"/>
  <c r="D162" i="8"/>
  <c r="C162" i="8"/>
  <c r="K162" i="8" s="1"/>
  <c r="D161" i="8"/>
  <c r="C161" i="8"/>
  <c r="K161" i="8" s="1"/>
  <c r="K160" i="8"/>
  <c r="D160" i="8"/>
  <c r="C160" i="8"/>
  <c r="K159" i="8" s="1"/>
  <c r="D159" i="8"/>
  <c r="C159" i="8"/>
  <c r="D158" i="8"/>
  <c r="C158" i="8"/>
  <c r="K158" i="8" s="1"/>
  <c r="D157" i="8"/>
  <c r="C157" i="8"/>
  <c r="K157" i="8" s="1"/>
  <c r="K156" i="8"/>
  <c r="D156" i="8"/>
  <c r="C156" i="8"/>
  <c r="K155" i="8" s="1"/>
  <c r="D155" i="8"/>
  <c r="C155" i="8"/>
  <c r="D154" i="8"/>
  <c r="C154" i="8"/>
  <c r="K154" i="8" s="1"/>
  <c r="D153" i="8"/>
  <c r="C153" i="8"/>
  <c r="K153" i="8" s="1"/>
  <c r="D152" i="8"/>
  <c r="C152" i="8"/>
  <c r="K151" i="8" s="1"/>
  <c r="D151" i="8"/>
  <c r="C151" i="8"/>
  <c r="D150" i="8"/>
  <c r="C150" i="8"/>
  <c r="K150" i="8" s="1"/>
  <c r="D149" i="8"/>
  <c r="C149" i="8"/>
  <c r="K149" i="8" s="1"/>
  <c r="K148" i="8"/>
  <c r="D148" i="8"/>
  <c r="C148" i="8"/>
  <c r="K147" i="8" s="1"/>
  <c r="D147" i="8"/>
  <c r="C147" i="8"/>
  <c r="D146" i="8"/>
  <c r="C146" i="8"/>
  <c r="K146" i="8" s="1"/>
  <c r="D145" i="8"/>
  <c r="C145" i="8"/>
  <c r="K145" i="8" s="1"/>
  <c r="K144" i="8"/>
  <c r="D144" i="8"/>
  <c r="C144" i="8"/>
  <c r="K143" i="8" s="1"/>
  <c r="D143" i="8"/>
  <c r="C143" i="8"/>
  <c r="D142" i="8"/>
  <c r="C142" i="8"/>
  <c r="K142" i="8" s="1"/>
  <c r="D141" i="8"/>
  <c r="C141" i="8"/>
  <c r="K141" i="8" s="1"/>
  <c r="D140" i="8"/>
  <c r="C140" i="8"/>
  <c r="K139" i="8" s="1"/>
  <c r="D139" i="8"/>
  <c r="C139" i="8"/>
  <c r="D138" i="8"/>
  <c r="C138" i="8"/>
  <c r="K138" i="8" s="1"/>
  <c r="D137" i="8"/>
  <c r="C137" i="8"/>
  <c r="K137" i="8" s="1"/>
  <c r="K136" i="8"/>
  <c r="D136" i="8"/>
  <c r="C136" i="8"/>
  <c r="K135" i="8" s="1"/>
  <c r="D135" i="8"/>
  <c r="C135" i="8"/>
  <c r="D134" i="8"/>
  <c r="C134" i="8"/>
  <c r="K134" i="8" s="1"/>
  <c r="D133" i="8"/>
  <c r="C133" i="8"/>
  <c r="K133" i="8" s="1"/>
  <c r="K132" i="8"/>
  <c r="D132" i="8"/>
  <c r="C132" i="8"/>
  <c r="K131" i="8" s="1"/>
  <c r="D131" i="8"/>
  <c r="C131" i="8"/>
  <c r="D130" i="8"/>
  <c r="C130" i="8"/>
  <c r="K130" i="8" s="1"/>
  <c r="D129" i="8"/>
  <c r="C129" i="8"/>
  <c r="K129" i="8" s="1"/>
  <c r="D128" i="8"/>
  <c r="C128" i="8"/>
  <c r="K127" i="8" s="1"/>
  <c r="D127" i="8"/>
  <c r="C127" i="8"/>
  <c r="D126" i="8"/>
  <c r="C126" i="8"/>
  <c r="K126" i="8" s="1"/>
  <c r="D125" i="8"/>
  <c r="C125" i="8"/>
  <c r="K125" i="8" s="1"/>
  <c r="K124" i="8"/>
  <c r="D124" i="8"/>
  <c r="C124" i="8"/>
  <c r="K123" i="8" s="1"/>
  <c r="D123" i="8"/>
  <c r="C123" i="8"/>
  <c r="D122" i="8"/>
  <c r="C122" i="8"/>
  <c r="K122" i="8" s="1"/>
  <c r="D121" i="8"/>
  <c r="C121" i="8"/>
  <c r="K121" i="8" s="1"/>
  <c r="K120" i="8"/>
  <c r="D120" i="8"/>
  <c r="C120" i="8"/>
  <c r="K119" i="8" s="1"/>
  <c r="D119" i="8"/>
  <c r="C119" i="8"/>
  <c r="D118" i="8"/>
  <c r="C118" i="8"/>
  <c r="K118" i="8" s="1"/>
  <c r="D117" i="8"/>
  <c r="C117" i="8"/>
  <c r="K117" i="8" s="1"/>
  <c r="D116" i="8"/>
  <c r="C116" i="8"/>
  <c r="K115" i="8" s="1"/>
  <c r="D115" i="8"/>
  <c r="C115" i="8"/>
  <c r="D114" i="8"/>
  <c r="C114" i="8"/>
  <c r="K114" i="8" s="1"/>
  <c r="D113" i="8"/>
  <c r="C113" i="8"/>
  <c r="K113" i="8" s="1"/>
  <c r="K112" i="8"/>
  <c r="D112" i="8"/>
  <c r="C112" i="8"/>
  <c r="K111" i="8" s="1"/>
  <c r="D111" i="8"/>
  <c r="C111" i="8"/>
  <c r="D110" i="8"/>
  <c r="C110" i="8"/>
  <c r="K110" i="8" s="1"/>
  <c r="D109" i="8"/>
  <c r="C109" i="8"/>
  <c r="K109" i="8" s="1"/>
  <c r="K108" i="8"/>
  <c r="D108" i="8"/>
  <c r="C108" i="8"/>
  <c r="K107" i="8" s="1"/>
  <c r="D107" i="8"/>
  <c r="C107" i="8"/>
  <c r="D106" i="8"/>
  <c r="C106" i="8"/>
  <c r="K106" i="8" s="1"/>
  <c r="D105" i="8"/>
  <c r="C105" i="8"/>
  <c r="K105" i="8" s="1"/>
  <c r="K104" i="8"/>
  <c r="D104" i="8"/>
  <c r="C104" i="8"/>
  <c r="D103" i="8"/>
  <c r="C103" i="8"/>
  <c r="K103" i="8" s="1"/>
  <c r="D102" i="8"/>
  <c r="C102" i="8"/>
  <c r="K102" i="8" s="1"/>
  <c r="D101" i="8"/>
  <c r="C101" i="8"/>
  <c r="K101" i="8" s="1"/>
  <c r="K100" i="8"/>
  <c r="D100" i="8"/>
  <c r="C100" i="8"/>
  <c r="D99" i="8"/>
  <c r="C99" i="8"/>
  <c r="K99" i="8" s="1"/>
  <c r="D98" i="8"/>
  <c r="C98" i="8"/>
  <c r="K98" i="8" s="1"/>
  <c r="D97" i="8"/>
  <c r="C97" i="8"/>
  <c r="K97" i="8" s="1"/>
  <c r="K96" i="8"/>
  <c r="D96" i="8"/>
  <c r="C96" i="8"/>
  <c r="D95" i="8"/>
  <c r="C95" i="8"/>
  <c r="K95" i="8" s="1"/>
  <c r="D94" i="8"/>
  <c r="C94" i="8"/>
  <c r="K94" i="8" s="1"/>
  <c r="D93" i="8"/>
  <c r="C93" i="8"/>
  <c r="K93" i="8" s="1"/>
  <c r="K92" i="8"/>
  <c r="D92" i="8"/>
  <c r="C92" i="8"/>
  <c r="D91" i="8"/>
  <c r="C91" i="8"/>
  <c r="K91" i="8" s="1"/>
  <c r="D90" i="8"/>
  <c r="C90" i="8"/>
  <c r="K90" i="8" s="1"/>
  <c r="D89" i="8"/>
  <c r="C89" i="8"/>
  <c r="K89" i="8" s="1"/>
  <c r="K88" i="8"/>
  <c r="D88" i="8"/>
  <c r="C88" i="8"/>
  <c r="D87" i="8"/>
  <c r="C87" i="8"/>
  <c r="K87" i="8" s="1"/>
  <c r="D86" i="8"/>
  <c r="C86" i="8"/>
  <c r="K86" i="8" s="1"/>
  <c r="D85" i="8"/>
  <c r="C85" i="8"/>
  <c r="K85" i="8" s="1"/>
  <c r="K84" i="8"/>
  <c r="D84" i="8"/>
  <c r="C84" i="8"/>
  <c r="D83" i="8"/>
  <c r="C83" i="8"/>
  <c r="K83" i="8" s="1"/>
  <c r="D82" i="8"/>
  <c r="C82" i="8"/>
  <c r="K82" i="8" s="1"/>
  <c r="D81" i="8"/>
  <c r="C81" i="8"/>
  <c r="K81" i="8" s="1"/>
  <c r="K80" i="8"/>
  <c r="D80" i="8"/>
  <c r="C80" i="8"/>
  <c r="D79" i="8"/>
  <c r="C79" i="8"/>
  <c r="K79" i="8" s="1"/>
  <c r="D78" i="8"/>
  <c r="C78" i="8"/>
  <c r="K78" i="8" s="1"/>
  <c r="D77" i="8"/>
  <c r="C77" i="8"/>
  <c r="K77" i="8" s="1"/>
  <c r="K76" i="8"/>
  <c r="D76" i="8"/>
  <c r="C76" i="8"/>
  <c r="D75" i="8"/>
  <c r="C75" i="8"/>
  <c r="K75" i="8" s="1"/>
  <c r="D74" i="8"/>
  <c r="C74" i="8"/>
  <c r="K74" i="8" s="1"/>
  <c r="D73" i="8"/>
  <c r="C73" i="8"/>
  <c r="K73" i="8" s="1"/>
  <c r="K72" i="8"/>
  <c r="D72" i="8"/>
  <c r="C72" i="8"/>
  <c r="D71" i="8"/>
  <c r="C71" i="8"/>
  <c r="K71" i="8" s="1"/>
  <c r="D70" i="8"/>
  <c r="C70" i="8"/>
  <c r="K70" i="8" s="1"/>
  <c r="D69" i="8"/>
  <c r="C69" i="8"/>
  <c r="K69" i="8" s="1"/>
  <c r="K68" i="8"/>
  <c r="D68" i="8"/>
  <c r="C68" i="8"/>
  <c r="D67" i="8"/>
  <c r="C67" i="8"/>
  <c r="K67" i="8" s="1"/>
  <c r="D66" i="8"/>
  <c r="C66" i="8"/>
  <c r="K66" i="8" s="1"/>
  <c r="D65" i="8"/>
  <c r="C65" i="8"/>
  <c r="K65" i="8" s="1"/>
  <c r="K64" i="8"/>
  <c r="D64" i="8"/>
  <c r="C64" i="8"/>
  <c r="D63" i="8"/>
  <c r="C63" i="8"/>
  <c r="K63" i="8" s="1"/>
  <c r="D62" i="8"/>
  <c r="C62" i="8"/>
  <c r="K62" i="8" s="1"/>
  <c r="D61" i="8"/>
  <c r="C61" i="8"/>
  <c r="K61" i="8" s="1"/>
  <c r="K60" i="8"/>
  <c r="D60" i="8"/>
  <c r="C60" i="8"/>
  <c r="D59" i="8"/>
  <c r="C59" i="8"/>
  <c r="K59" i="8" s="1"/>
  <c r="D58" i="8"/>
  <c r="C58" i="8"/>
  <c r="K58" i="8" s="1"/>
  <c r="D57" i="8"/>
  <c r="C57" i="8"/>
  <c r="K57" i="8" s="1"/>
  <c r="K56" i="8"/>
  <c r="D56" i="8"/>
  <c r="C56" i="8"/>
  <c r="D55" i="8"/>
  <c r="C55" i="8"/>
  <c r="K55" i="8" s="1"/>
  <c r="D54" i="8"/>
  <c r="C54" i="8"/>
  <c r="K54" i="8" s="1"/>
  <c r="D53" i="8"/>
  <c r="C53" i="8"/>
  <c r="K53" i="8" s="1"/>
  <c r="K52" i="8"/>
  <c r="D52" i="8"/>
  <c r="C52" i="8"/>
  <c r="D51" i="8"/>
  <c r="C51" i="8"/>
  <c r="K51" i="8" s="1"/>
  <c r="D50" i="8"/>
  <c r="C50" i="8"/>
  <c r="K50" i="8" s="1"/>
  <c r="D49" i="8"/>
  <c r="C49" i="8"/>
  <c r="K49" i="8" s="1"/>
  <c r="K48" i="8"/>
  <c r="D48" i="8"/>
  <c r="C48" i="8"/>
  <c r="D47" i="8"/>
  <c r="C47" i="8"/>
  <c r="K47" i="8" s="1"/>
  <c r="D46" i="8"/>
  <c r="C46" i="8"/>
  <c r="K46" i="8" s="1"/>
  <c r="D45" i="8"/>
  <c r="C45" i="8"/>
  <c r="K45" i="8" s="1"/>
  <c r="K44" i="8"/>
  <c r="D44" i="8"/>
  <c r="C44" i="8"/>
  <c r="D43" i="8"/>
  <c r="C43" i="8"/>
  <c r="K43" i="8" s="1"/>
  <c r="D42" i="8"/>
  <c r="C42" i="8"/>
  <c r="K42" i="8" s="1"/>
  <c r="D41" i="8"/>
  <c r="C41" i="8"/>
  <c r="K41" i="8" s="1"/>
  <c r="K40" i="8"/>
  <c r="D40" i="8"/>
  <c r="C40" i="8"/>
  <c r="D39" i="8"/>
  <c r="C39" i="8"/>
  <c r="K39" i="8" s="1"/>
  <c r="D38" i="8"/>
  <c r="C38" i="8"/>
  <c r="K38" i="8" s="1"/>
  <c r="D37" i="8"/>
  <c r="C37" i="8"/>
  <c r="K37" i="8" s="1"/>
  <c r="K36" i="8"/>
  <c r="D36" i="8"/>
  <c r="C36" i="8"/>
  <c r="D35" i="8"/>
  <c r="C35" i="8"/>
  <c r="K35" i="8" s="1"/>
  <c r="D34" i="8"/>
  <c r="C34" i="8"/>
  <c r="K34" i="8" s="1"/>
  <c r="D33" i="8"/>
  <c r="C33" i="8"/>
  <c r="K33" i="8" s="1"/>
  <c r="K32" i="8"/>
  <c r="D32" i="8"/>
  <c r="C32" i="8"/>
  <c r="D31" i="8"/>
  <c r="C31" i="8"/>
  <c r="K31" i="8" s="1"/>
  <c r="D30" i="8"/>
  <c r="C30" i="8"/>
  <c r="K30" i="8" s="1"/>
  <c r="D29" i="8"/>
  <c r="C29" i="8"/>
  <c r="K29" i="8" s="1"/>
  <c r="D28" i="8"/>
  <c r="C28" i="8"/>
  <c r="K28" i="8" s="1"/>
  <c r="D27" i="8"/>
  <c r="C27" i="8"/>
  <c r="K27" i="8" s="1"/>
  <c r="D26" i="8"/>
  <c r="C26" i="8"/>
  <c r="D25" i="8"/>
  <c r="C25" i="8"/>
  <c r="K25" i="8" s="1"/>
  <c r="K24" i="8"/>
  <c r="D24" i="8"/>
  <c r="C24" i="8"/>
  <c r="K23" i="8"/>
  <c r="D23" i="8"/>
  <c r="C23" i="8"/>
  <c r="D22" i="8"/>
  <c r="C22" i="8"/>
  <c r="D21" i="8"/>
  <c r="C21" i="8"/>
  <c r="K20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K14" i="8" s="1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K5" i="8" s="1"/>
  <c r="D5" i="8"/>
  <c r="C5" i="8"/>
  <c r="D4" i="8"/>
  <c r="C4" i="8"/>
  <c r="M3" i="8"/>
  <c r="D3" i="8"/>
  <c r="C3" i="8"/>
  <c r="K2" i="8" s="1"/>
  <c r="M2" i="8"/>
  <c r="D2" i="8"/>
  <c r="C2" i="8"/>
  <c r="M1" i="8"/>
  <c r="D301" i="7"/>
  <c r="C301" i="7"/>
  <c r="K301" i="7" s="1"/>
  <c r="D300" i="7"/>
  <c r="C300" i="7"/>
  <c r="D299" i="7"/>
  <c r="C299" i="7"/>
  <c r="D298" i="7"/>
  <c r="C298" i="7"/>
  <c r="K298" i="7" s="1"/>
  <c r="D297" i="7"/>
  <c r="C297" i="7"/>
  <c r="D296" i="7"/>
  <c r="C296" i="7"/>
  <c r="K296" i="7" s="1"/>
  <c r="D295" i="7"/>
  <c r="C295" i="7"/>
  <c r="D294" i="7"/>
  <c r="C294" i="7"/>
  <c r="K294" i="7" s="1"/>
  <c r="D293" i="7"/>
  <c r="C293" i="7"/>
  <c r="D292" i="7"/>
  <c r="C292" i="7"/>
  <c r="K292" i="7" s="1"/>
  <c r="D291" i="7"/>
  <c r="C291" i="7"/>
  <c r="D290" i="7"/>
  <c r="C290" i="7"/>
  <c r="K290" i="7" s="1"/>
  <c r="D289" i="7"/>
  <c r="C289" i="7"/>
  <c r="K288" i="7"/>
  <c r="D288" i="7"/>
  <c r="C288" i="7"/>
  <c r="D287" i="7"/>
  <c r="C287" i="7"/>
  <c r="D286" i="7"/>
  <c r="C286" i="7"/>
  <c r="D285" i="7"/>
  <c r="C285" i="7"/>
  <c r="K285" i="7" s="1"/>
  <c r="D284" i="7"/>
  <c r="C284" i="7"/>
  <c r="D283" i="7"/>
  <c r="C283" i="7"/>
  <c r="D282" i="7"/>
  <c r="C282" i="7"/>
  <c r="D281" i="7"/>
  <c r="C281" i="7"/>
  <c r="K281" i="7" s="1"/>
  <c r="D280" i="7"/>
  <c r="C280" i="7"/>
  <c r="K280" i="7" s="1"/>
  <c r="D279" i="7"/>
  <c r="C279" i="7"/>
  <c r="D278" i="7"/>
  <c r="C278" i="7"/>
  <c r="D277" i="7"/>
  <c r="C277" i="7"/>
  <c r="K277" i="7" s="1"/>
  <c r="D276" i="7"/>
  <c r="C276" i="7"/>
  <c r="K276" i="7" s="1"/>
  <c r="D275" i="7"/>
  <c r="C275" i="7"/>
  <c r="D274" i="7"/>
  <c r="C274" i="7"/>
  <c r="K274" i="7" s="1"/>
  <c r="D273" i="7"/>
  <c r="C273" i="7"/>
  <c r="D272" i="7"/>
  <c r="C272" i="7"/>
  <c r="K272" i="7" s="1"/>
  <c r="D271" i="7"/>
  <c r="C271" i="7"/>
  <c r="D270" i="7"/>
  <c r="C270" i="7"/>
  <c r="K270" i="7" s="1"/>
  <c r="D269" i="7"/>
  <c r="C269" i="7"/>
  <c r="D268" i="7"/>
  <c r="C268" i="7"/>
  <c r="K268" i="7" s="1"/>
  <c r="D267" i="7"/>
  <c r="C267" i="7"/>
  <c r="D266" i="7"/>
  <c r="C266" i="7"/>
  <c r="K266" i="7" s="1"/>
  <c r="D265" i="7"/>
  <c r="C265" i="7"/>
  <c r="K264" i="7"/>
  <c r="D264" i="7"/>
  <c r="C264" i="7"/>
  <c r="D263" i="7"/>
  <c r="C263" i="7"/>
  <c r="D262" i="7"/>
  <c r="C262" i="7"/>
  <c r="D261" i="7"/>
  <c r="C261" i="7"/>
  <c r="K261" i="7" s="1"/>
  <c r="D260" i="7"/>
  <c r="C260" i="7"/>
  <c r="K260" i="7" s="1"/>
  <c r="D259" i="7"/>
  <c r="C259" i="7"/>
  <c r="D258" i="7"/>
  <c r="C258" i="7"/>
  <c r="D257" i="7"/>
  <c r="C257" i="7"/>
  <c r="K257" i="7" s="1"/>
  <c r="D256" i="7"/>
  <c r="C256" i="7"/>
  <c r="K256" i="7" s="1"/>
  <c r="D255" i="7"/>
  <c r="C255" i="7"/>
  <c r="D254" i="7"/>
  <c r="C254" i="7"/>
  <c r="D253" i="7"/>
  <c r="C253" i="7"/>
  <c r="K253" i="7" s="1"/>
  <c r="D252" i="7"/>
  <c r="C252" i="7"/>
  <c r="K252" i="7" s="1"/>
  <c r="D251" i="7"/>
  <c r="C251" i="7"/>
  <c r="D250" i="7"/>
  <c r="C250" i="7"/>
  <c r="K250" i="7" s="1"/>
  <c r="D249" i="7"/>
  <c r="C249" i="7"/>
  <c r="D248" i="7"/>
  <c r="C248" i="7"/>
  <c r="K248" i="7" s="1"/>
  <c r="D247" i="7"/>
  <c r="C247" i="7"/>
  <c r="D246" i="7"/>
  <c r="C246" i="7"/>
  <c r="K246" i="7" s="1"/>
  <c r="D245" i="7"/>
  <c r="C245" i="7"/>
  <c r="D244" i="7"/>
  <c r="C244" i="7"/>
  <c r="K244" i="7" s="1"/>
  <c r="D243" i="7"/>
  <c r="C243" i="7"/>
  <c r="D242" i="7"/>
  <c r="C242" i="7"/>
  <c r="K242" i="7" s="1"/>
  <c r="D241" i="7"/>
  <c r="C241" i="7"/>
  <c r="K240" i="7"/>
  <c r="D240" i="7"/>
  <c r="C240" i="7"/>
  <c r="D239" i="7"/>
  <c r="C239" i="7"/>
  <c r="D238" i="7"/>
  <c r="C238" i="7"/>
  <c r="D237" i="7"/>
  <c r="C237" i="7"/>
  <c r="K237" i="7" s="1"/>
  <c r="D236" i="7"/>
  <c r="C236" i="7"/>
  <c r="D235" i="7"/>
  <c r="C235" i="7"/>
  <c r="D234" i="7"/>
  <c r="C234" i="7"/>
  <c r="D233" i="7"/>
  <c r="C233" i="7"/>
  <c r="K233" i="7" s="1"/>
  <c r="D232" i="7"/>
  <c r="C232" i="7"/>
  <c r="D231" i="7"/>
  <c r="C231" i="7"/>
  <c r="D230" i="7"/>
  <c r="C230" i="7"/>
  <c r="D229" i="7"/>
  <c r="C229" i="7"/>
  <c r="K229" i="7" s="1"/>
  <c r="D228" i="7"/>
  <c r="C228" i="7"/>
  <c r="D227" i="7"/>
  <c r="C227" i="7"/>
  <c r="D226" i="7"/>
  <c r="C226" i="7"/>
  <c r="K226" i="7" s="1"/>
  <c r="D225" i="7"/>
  <c r="C225" i="7"/>
  <c r="D224" i="7"/>
  <c r="C224" i="7"/>
  <c r="K224" i="7" s="1"/>
  <c r="D223" i="7"/>
  <c r="C223" i="7"/>
  <c r="D222" i="7"/>
  <c r="C222" i="7"/>
  <c r="K222" i="7" s="1"/>
  <c r="D221" i="7"/>
  <c r="C221" i="7"/>
  <c r="D220" i="7"/>
  <c r="C220" i="7"/>
  <c r="K220" i="7" s="1"/>
  <c r="D219" i="7"/>
  <c r="C219" i="7"/>
  <c r="D218" i="7"/>
  <c r="C218" i="7"/>
  <c r="K218" i="7" s="1"/>
  <c r="D217" i="7"/>
  <c r="C217" i="7"/>
  <c r="K216" i="7"/>
  <c r="D216" i="7"/>
  <c r="C216" i="7"/>
  <c r="D215" i="7"/>
  <c r="C215" i="7"/>
  <c r="D214" i="7"/>
  <c r="C214" i="7"/>
  <c r="D213" i="7"/>
  <c r="C213" i="7"/>
  <c r="K213" i="7" s="1"/>
  <c r="D212" i="7"/>
  <c r="C212" i="7"/>
  <c r="D211" i="7"/>
  <c r="C211" i="7"/>
  <c r="K211" i="7" s="1"/>
  <c r="D210" i="7"/>
  <c r="C210" i="7"/>
  <c r="D209" i="7"/>
  <c r="C209" i="7"/>
  <c r="K209" i="7" s="1"/>
  <c r="D208" i="7"/>
  <c r="C208" i="7"/>
  <c r="K208" i="7" s="1"/>
  <c r="D207" i="7"/>
  <c r="C207" i="7"/>
  <c r="K206" i="7"/>
  <c r="D206" i="7"/>
  <c r="C206" i="7"/>
  <c r="D205" i="7"/>
  <c r="C205" i="7"/>
  <c r="K205" i="7" s="1"/>
  <c r="D204" i="7"/>
  <c r="C204" i="7"/>
  <c r="K204" i="7" s="1"/>
  <c r="D203" i="7"/>
  <c r="C203" i="7"/>
  <c r="D202" i="7"/>
  <c r="C202" i="7"/>
  <c r="K202" i="7" s="1"/>
  <c r="D201" i="7"/>
  <c r="C201" i="7"/>
  <c r="K201" i="7" s="1"/>
  <c r="D200" i="7"/>
  <c r="C200" i="7"/>
  <c r="K200" i="7" s="1"/>
  <c r="D199" i="7"/>
  <c r="C199" i="7"/>
  <c r="K199" i="7" s="1"/>
  <c r="D198" i="7"/>
  <c r="C198" i="7"/>
  <c r="D197" i="7"/>
  <c r="C197" i="7"/>
  <c r="K197" i="7" s="1"/>
  <c r="D196" i="7"/>
  <c r="C196" i="7"/>
  <c r="K196" i="7" s="1"/>
  <c r="D195" i="7"/>
  <c r="C195" i="7"/>
  <c r="K194" i="7"/>
  <c r="D194" i="7"/>
  <c r="C194" i="7"/>
  <c r="D193" i="7"/>
  <c r="C193" i="7"/>
  <c r="K193" i="7" s="1"/>
  <c r="D192" i="7"/>
  <c r="C192" i="7"/>
  <c r="K192" i="7" s="1"/>
  <c r="D191" i="7"/>
  <c r="C191" i="7"/>
  <c r="D190" i="7"/>
  <c r="C190" i="7"/>
  <c r="K190" i="7" s="1"/>
  <c r="D189" i="7"/>
  <c r="C189" i="7"/>
  <c r="K189" i="7" s="1"/>
  <c r="D188" i="7"/>
  <c r="C188" i="7"/>
  <c r="K188" i="7" s="1"/>
  <c r="D187" i="7"/>
  <c r="C187" i="7"/>
  <c r="K187" i="7" s="1"/>
  <c r="D186" i="7"/>
  <c r="C186" i="7"/>
  <c r="K186" i="7" s="1"/>
  <c r="D185" i="7"/>
  <c r="C185" i="7"/>
  <c r="K185" i="7" s="1"/>
  <c r="D184" i="7"/>
  <c r="C184" i="7"/>
  <c r="D183" i="7"/>
  <c r="C183" i="7"/>
  <c r="K182" i="7"/>
  <c r="D182" i="7"/>
  <c r="C182" i="7"/>
  <c r="D181" i="7"/>
  <c r="C181" i="7"/>
  <c r="K181" i="7" s="1"/>
  <c r="D180" i="7"/>
  <c r="C180" i="7"/>
  <c r="K180" i="7" s="1"/>
  <c r="D179" i="7"/>
  <c r="C179" i="7"/>
  <c r="D178" i="7"/>
  <c r="C178" i="7"/>
  <c r="K178" i="7" s="1"/>
  <c r="D177" i="7"/>
  <c r="C177" i="7"/>
  <c r="K177" i="7" s="1"/>
  <c r="D176" i="7"/>
  <c r="C176" i="7"/>
  <c r="D175" i="7"/>
  <c r="C175" i="7"/>
  <c r="K175" i="7" s="1"/>
  <c r="D174" i="7"/>
  <c r="C174" i="7"/>
  <c r="K174" i="7" s="1"/>
  <c r="D173" i="7"/>
  <c r="C173" i="7"/>
  <c r="K173" i="7" s="1"/>
  <c r="D172" i="7"/>
  <c r="C172" i="7"/>
  <c r="K172" i="7" s="1"/>
  <c r="D171" i="7"/>
  <c r="C171" i="7"/>
  <c r="K170" i="7"/>
  <c r="D170" i="7"/>
  <c r="C170" i="7"/>
  <c r="D169" i="7"/>
  <c r="C169" i="7"/>
  <c r="K169" i="7" s="1"/>
  <c r="D168" i="7"/>
  <c r="C168" i="7"/>
  <c r="K168" i="7" s="1"/>
  <c r="D167" i="7"/>
  <c r="C167" i="7"/>
  <c r="D166" i="7"/>
  <c r="C166" i="7"/>
  <c r="K166" i="7" s="1"/>
  <c r="D165" i="7"/>
  <c r="C165" i="7"/>
  <c r="K165" i="7" s="1"/>
  <c r="D164" i="7"/>
  <c r="C164" i="7"/>
  <c r="D163" i="7"/>
  <c r="C163" i="7"/>
  <c r="K163" i="7" s="1"/>
  <c r="D162" i="7"/>
  <c r="C162" i="7"/>
  <c r="D161" i="7"/>
  <c r="C161" i="7"/>
  <c r="K161" i="7" s="1"/>
  <c r="D160" i="7"/>
  <c r="C160" i="7"/>
  <c r="K160" i="7" s="1"/>
  <c r="D159" i="7"/>
  <c r="C159" i="7"/>
  <c r="K158" i="7"/>
  <c r="D158" i="7"/>
  <c r="C158" i="7"/>
  <c r="D157" i="7"/>
  <c r="C157" i="7"/>
  <c r="K157" i="7" s="1"/>
  <c r="D156" i="7"/>
  <c r="C156" i="7"/>
  <c r="K156" i="7" s="1"/>
  <c r="D155" i="7"/>
  <c r="C155" i="7"/>
  <c r="D154" i="7"/>
  <c r="C154" i="7"/>
  <c r="K154" i="7" s="1"/>
  <c r="D153" i="7"/>
  <c r="C153" i="7"/>
  <c r="K153" i="7" s="1"/>
  <c r="D152" i="7"/>
  <c r="C152" i="7"/>
  <c r="K152" i="7" s="1"/>
  <c r="D151" i="7"/>
  <c r="C151" i="7"/>
  <c r="K151" i="7" s="1"/>
  <c r="D150" i="7"/>
  <c r="C150" i="7"/>
  <c r="D149" i="7"/>
  <c r="C149" i="7"/>
  <c r="K149" i="7" s="1"/>
  <c r="D148" i="7"/>
  <c r="C148" i="7"/>
  <c r="K148" i="7" s="1"/>
  <c r="D147" i="7"/>
  <c r="C147" i="7"/>
  <c r="D146" i="7"/>
  <c r="C146" i="7"/>
  <c r="K146" i="7" s="1"/>
  <c r="D145" i="7"/>
  <c r="C145" i="7"/>
  <c r="K145" i="7" s="1"/>
  <c r="K144" i="7"/>
  <c r="D144" i="7"/>
  <c r="C144" i="7"/>
  <c r="D143" i="7"/>
  <c r="C143" i="7"/>
  <c r="K143" i="7" s="1"/>
  <c r="D142" i="7"/>
  <c r="C142" i="7"/>
  <c r="K142" i="7" s="1"/>
  <c r="D141" i="7"/>
  <c r="C141" i="7"/>
  <c r="K141" i="7" s="1"/>
  <c r="D140" i="7"/>
  <c r="C140" i="7"/>
  <c r="K140" i="7" s="1"/>
  <c r="D139" i="7"/>
  <c r="C139" i="7"/>
  <c r="D138" i="7"/>
  <c r="C138" i="7"/>
  <c r="K138" i="7" s="1"/>
  <c r="D137" i="7"/>
  <c r="C137" i="7"/>
  <c r="K137" i="7" s="1"/>
  <c r="D136" i="7"/>
  <c r="C136" i="7"/>
  <c r="K135" i="7" s="1"/>
  <c r="D135" i="7"/>
  <c r="C135" i="7"/>
  <c r="D134" i="7"/>
  <c r="C134" i="7"/>
  <c r="K134" i="7" s="1"/>
  <c r="K133" i="7"/>
  <c r="D133" i="7"/>
  <c r="C133" i="7"/>
  <c r="D132" i="7"/>
  <c r="C132" i="7"/>
  <c r="K131" i="7" s="1"/>
  <c r="D131" i="7"/>
  <c r="C131" i="7"/>
  <c r="D130" i="7"/>
  <c r="C130" i="7"/>
  <c r="K130" i="7" s="1"/>
  <c r="K129" i="7"/>
  <c r="D129" i="7"/>
  <c r="C129" i="7"/>
  <c r="D128" i="7"/>
  <c r="C128" i="7"/>
  <c r="K127" i="7" s="1"/>
  <c r="D127" i="7"/>
  <c r="C127" i="7"/>
  <c r="D126" i="7"/>
  <c r="C126" i="7"/>
  <c r="K126" i="7" s="1"/>
  <c r="K125" i="7"/>
  <c r="D125" i="7"/>
  <c r="C125" i="7"/>
  <c r="D124" i="7"/>
  <c r="C124" i="7"/>
  <c r="K123" i="7" s="1"/>
  <c r="D123" i="7"/>
  <c r="C123" i="7"/>
  <c r="D122" i="7"/>
  <c r="C122" i="7"/>
  <c r="K122" i="7" s="1"/>
  <c r="D121" i="7"/>
  <c r="C121" i="7"/>
  <c r="K121" i="7" s="1"/>
  <c r="D120" i="7"/>
  <c r="C120" i="7"/>
  <c r="K119" i="7" s="1"/>
  <c r="D119" i="7"/>
  <c r="C119" i="7"/>
  <c r="D118" i="7"/>
  <c r="C118" i="7"/>
  <c r="K118" i="7" s="1"/>
  <c r="K117" i="7"/>
  <c r="D117" i="7"/>
  <c r="C117" i="7"/>
  <c r="D116" i="7"/>
  <c r="C116" i="7"/>
  <c r="K115" i="7" s="1"/>
  <c r="D115" i="7"/>
  <c r="C115" i="7"/>
  <c r="D114" i="7"/>
  <c r="C114" i="7"/>
  <c r="K114" i="7" s="1"/>
  <c r="K113" i="7"/>
  <c r="D113" i="7"/>
  <c r="C113" i="7"/>
  <c r="D112" i="7"/>
  <c r="C112" i="7"/>
  <c r="K111" i="7" s="1"/>
  <c r="D111" i="7"/>
  <c r="C111" i="7"/>
  <c r="D110" i="7"/>
  <c r="C110" i="7"/>
  <c r="K110" i="7" s="1"/>
  <c r="K109" i="7"/>
  <c r="D109" i="7"/>
  <c r="C109" i="7"/>
  <c r="D108" i="7"/>
  <c r="C108" i="7"/>
  <c r="K107" i="7" s="1"/>
  <c r="D107" i="7"/>
  <c r="C107" i="7"/>
  <c r="D106" i="7"/>
  <c r="C106" i="7"/>
  <c r="K106" i="7" s="1"/>
  <c r="D105" i="7"/>
  <c r="C105" i="7"/>
  <c r="K105" i="7" s="1"/>
  <c r="D104" i="7"/>
  <c r="C104" i="7"/>
  <c r="K103" i="7" s="1"/>
  <c r="D103" i="7"/>
  <c r="C103" i="7"/>
  <c r="D102" i="7"/>
  <c r="C102" i="7"/>
  <c r="K102" i="7" s="1"/>
  <c r="K101" i="7"/>
  <c r="D101" i="7"/>
  <c r="C101" i="7"/>
  <c r="D100" i="7"/>
  <c r="C100" i="7"/>
  <c r="K99" i="7" s="1"/>
  <c r="D99" i="7"/>
  <c r="C99" i="7"/>
  <c r="D98" i="7"/>
  <c r="C98" i="7"/>
  <c r="K98" i="7" s="1"/>
  <c r="K97" i="7"/>
  <c r="D97" i="7"/>
  <c r="C97" i="7"/>
  <c r="D96" i="7"/>
  <c r="C96" i="7"/>
  <c r="K95" i="7" s="1"/>
  <c r="D95" i="7"/>
  <c r="C95" i="7"/>
  <c r="D94" i="7"/>
  <c r="C94" i="7"/>
  <c r="K94" i="7" s="1"/>
  <c r="K93" i="7"/>
  <c r="D93" i="7"/>
  <c r="C93" i="7"/>
  <c r="D92" i="7"/>
  <c r="C92" i="7"/>
  <c r="K91" i="7" s="1"/>
  <c r="D91" i="7"/>
  <c r="C91" i="7"/>
  <c r="D90" i="7"/>
  <c r="C90" i="7"/>
  <c r="K90" i="7" s="1"/>
  <c r="D89" i="7"/>
  <c r="C89" i="7"/>
  <c r="K89" i="7" s="1"/>
  <c r="D88" i="7"/>
  <c r="C88" i="7"/>
  <c r="K87" i="7" s="1"/>
  <c r="D87" i="7"/>
  <c r="C87" i="7"/>
  <c r="D86" i="7"/>
  <c r="C86" i="7"/>
  <c r="K86" i="7" s="1"/>
  <c r="K85" i="7"/>
  <c r="D85" i="7"/>
  <c r="C85" i="7"/>
  <c r="D84" i="7"/>
  <c r="C84" i="7"/>
  <c r="K83" i="7" s="1"/>
  <c r="D83" i="7"/>
  <c r="C83" i="7"/>
  <c r="D82" i="7"/>
  <c r="C82" i="7"/>
  <c r="K82" i="7" s="1"/>
  <c r="K81" i="7"/>
  <c r="D81" i="7"/>
  <c r="C81" i="7"/>
  <c r="D80" i="7"/>
  <c r="C80" i="7"/>
  <c r="K79" i="7" s="1"/>
  <c r="D79" i="7"/>
  <c r="C79" i="7"/>
  <c r="D78" i="7"/>
  <c r="C78" i="7"/>
  <c r="K78" i="7" s="1"/>
  <c r="K77" i="7"/>
  <c r="D77" i="7"/>
  <c r="C77" i="7"/>
  <c r="D76" i="7"/>
  <c r="C76" i="7"/>
  <c r="K75" i="7" s="1"/>
  <c r="D75" i="7"/>
  <c r="C75" i="7"/>
  <c r="D74" i="7"/>
  <c r="C74" i="7"/>
  <c r="K74" i="7" s="1"/>
  <c r="D73" i="7"/>
  <c r="C73" i="7"/>
  <c r="K73" i="7" s="1"/>
  <c r="D72" i="7"/>
  <c r="C72" i="7"/>
  <c r="K71" i="7" s="1"/>
  <c r="D71" i="7"/>
  <c r="C71" i="7"/>
  <c r="D70" i="7"/>
  <c r="C70" i="7"/>
  <c r="K70" i="7" s="1"/>
  <c r="K69" i="7"/>
  <c r="D69" i="7"/>
  <c r="C69" i="7"/>
  <c r="D68" i="7"/>
  <c r="C68" i="7"/>
  <c r="K67" i="7" s="1"/>
  <c r="D67" i="7"/>
  <c r="C67" i="7"/>
  <c r="D66" i="7"/>
  <c r="C66" i="7"/>
  <c r="K66" i="7" s="1"/>
  <c r="K65" i="7"/>
  <c r="D65" i="7"/>
  <c r="C65" i="7"/>
  <c r="D64" i="7"/>
  <c r="C64" i="7"/>
  <c r="K63" i="7" s="1"/>
  <c r="D63" i="7"/>
  <c r="C63" i="7"/>
  <c r="D62" i="7"/>
  <c r="C62" i="7"/>
  <c r="K62" i="7" s="1"/>
  <c r="K61" i="7"/>
  <c r="D61" i="7"/>
  <c r="C61" i="7"/>
  <c r="D60" i="7"/>
  <c r="C60" i="7"/>
  <c r="K59" i="7" s="1"/>
  <c r="D59" i="7"/>
  <c r="C59" i="7"/>
  <c r="D58" i="7"/>
  <c r="C58" i="7"/>
  <c r="K58" i="7" s="1"/>
  <c r="D57" i="7"/>
  <c r="C57" i="7"/>
  <c r="K57" i="7" s="1"/>
  <c r="D56" i="7"/>
  <c r="C56" i="7"/>
  <c r="K55" i="7" s="1"/>
  <c r="D55" i="7"/>
  <c r="C55" i="7"/>
  <c r="D54" i="7"/>
  <c r="C54" i="7"/>
  <c r="K54" i="7" s="1"/>
  <c r="K53" i="7"/>
  <c r="D53" i="7"/>
  <c r="C53" i="7"/>
  <c r="D52" i="7"/>
  <c r="C52" i="7"/>
  <c r="K51" i="7" s="1"/>
  <c r="D51" i="7"/>
  <c r="C51" i="7"/>
  <c r="D50" i="7"/>
  <c r="C50" i="7"/>
  <c r="K50" i="7" s="1"/>
  <c r="K49" i="7"/>
  <c r="D49" i="7"/>
  <c r="C49" i="7"/>
  <c r="D48" i="7"/>
  <c r="C48" i="7"/>
  <c r="K47" i="7" s="1"/>
  <c r="D47" i="7"/>
  <c r="C47" i="7"/>
  <c r="D46" i="7"/>
  <c r="C46" i="7"/>
  <c r="K46" i="7" s="1"/>
  <c r="K45" i="7"/>
  <c r="D45" i="7"/>
  <c r="C45" i="7"/>
  <c r="D44" i="7"/>
  <c r="C44" i="7"/>
  <c r="K43" i="7" s="1"/>
  <c r="D43" i="7"/>
  <c r="C43" i="7"/>
  <c r="D42" i="7"/>
  <c r="C42" i="7"/>
  <c r="K42" i="7" s="1"/>
  <c r="D41" i="7"/>
  <c r="C41" i="7"/>
  <c r="K41" i="7" s="1"/>
  <c r="D40" i="7"/>
  <c r="C40" i="7"/>
  <c r="K39" i="7" s="1"/>
  <c r="D39" i="7"/>
  <c r="C39" i="7"/>
  <c r="D38" i="7"/>
  <c r="C38" i="7"/>
  <c r="K38" i="7" s="1"/>
  <c r="K37" i="7"/>
  <c r="D37" i="7"/>
  <c r="C37" i="7"/>
  <c r="D36" i="7"/>
  <c r="C36" i="7"/>
  <c r="K35" i="7" s="1"/>
  <c r="D35" i="7"/>
  <c r="C35" i="7"/>
  <c r="D34" i="7"/>
  <c r="C34" i="7"/>
  <c r="K34" i="7" s="1"/>
  <c r="K33" i="7"/>
  <c r="D33" i="7"/>
  <c r="C33" i="7"/>
  <c r="D32" i="7"/>
  <c r="C32" i="7"/>
  <c r="K31" i="7" s="1"/>
  <c r="D31" i="7"/>
  <c r="C31" i="7"/>
  <c r="D30" i="7"/>
  <c r="C30" i="7"/>
  <c r="K30" i="7" s="1"/>
  <c r="K29" i="7"/>
  <c r="D29" i="7"/>
  <c r="C29" i="7"/>
  <c r="D28" i="7"/>
  <c r="C28" i="7"/>
  <c r="K27" i="7" s="1"/>
  <c r="D27" i="7"/>
  <c r="C27" i="7"/>
  <c r="D26" i="7"/>
  <c r="C26" i="7"/>
  <c r="K26" i="7" s="1"/>
  <c r="D25" i="7"/>
  <c r="C25" i="7"/>
  <c r="K25" i="7" s="1"/>
  <c r="D24" i="7"/>
  <c r="C24" i="7"/>
  <c r="D23" i="7"/>
  <c r="C23" i="7"/>
  <c r="K23" i="7" s="1"/>
  <c r="D22" i="7"/>
  <c r="C22" i="7"/>
  <c r="D21" i="7"/>
  <c r="C21" i="7"/>
  <c r="D20" i="7"/>
  <c r="C20" i="7"/>
  <c r="C19" i="7"/>
  <c r="C18" i="7"/>
  <c r="K17" i="7" s="1"/>
  <c r="C17" i="7"/>
  <c r="C16" i="7"/>
  <c r="K16" i="7" s="1"/>
  <c r="C15" i="7"/>
  <c r="C14" i="7"/>
  <c r="C13" i="7"/>
  <c r="K12" i="7" s="1"/>
  <c r="C12" i="7"/>
  <c r="C11" i="7"/>
  <c r="C10" i="7"/>
  <c r="C9" i="7"/>
  <c r="C8" i="7"/>
  <c r="C7" i="7"/>
  <c r="C6" i="7"/>
  <c r="K5" i="7"/>
  <c r="C5" i="7"/>
  <c r="C4" i="7"/>
  <c r="K4" i="7" s="1"/>
  <c r="M3" i="7"/>
  <c r="C3" i="7"/>
  <c r="M2" i="7"/>
  <c r="M4" i="7" s="1"/>
  <c r="E246" i="7" s="1"/>
  <c r="C2" i="7"/>
  <c r="M1" i="7"/>
  <c r="W65" i="6"/>
  <c r="V65" i="6"/>
  <c r="T65" i="6"/>
  <c r="S65" i="6"/>
  <c r="Q65" i="6"/>
  <c r="P65" i="6"/>
  <c r="N65" i="6"/>
  <c r="M65" i="6"/>
  <c r="W64" i="6"/>
  <c r="V64" i="6"/>
  <c r="T64" i="6"/>
  <c r="S64" i="6"/>
  <c r="Q64" i="6"/>
  <c r="P64" i="6"/>
  <c r="N64" i="6"/>
  <c r="M64" i="6"/>
  <c r="W63" i="6"/>
  <c r="V63" i="6"/>
  <c r="T63" i="6"/>
  <c r="S63" i="6"/>
  <c r="Q63" i="6"/>
  <c r="P63" i="6"/>
  <c r="N63" i="6"/>
  <c r="M63" i="6"/>
  <c r="W62" i="6"/>
  <c r="V62" i="6"/>
  <c r="T62" i="6"/>
  <c r="S62" i="6"/>
  <c r="Q62" i="6"/>
  <c r="P62" i="6"/>
  <c r="N62" i="6"/>
  <c r="M62" i="6"/>
  <c r="W61" i="6"/>
  <c r="V61" i="6"/>
  <c r="T61" i="6"/>
  <c r="S61" i="6"/>
  <c r="Q61" i="6"/>
  <c r="P61" i="6"/>
  <c r="N61" i="6"/>
  <c r="M61" i="6"/>
  <c r="W60" i="6"/>
  <c r="V60" i="6"/>
  <c r="T60" i="6"/>
  <c r="S60" i="6"/>
  <c r="Q60" i="6"/>
  <c r="P60" i="6"/>
  <c r="N60" i="6"/>
  <c r="M60" i="6"/>
  <c r="W59" i="6"/>
  <c r="V59" i="6"/>
  <c r="T59" i="6"/>
  <c r="S59" i="6"/>
  <c r="Q59" i="6"/>
  <c r="P59" i="6"/>
  <c r="N59" i="6"/>
  <c r="M59" i="6"/>
  <c r="W58" i="6"/>
  <c r="V58" i="6"/>
  <c r="T58" i="6"/>
  <c r="S58" i="6"/>
  <c r="Q58" i="6"/>
  <c r="P58" i="6"/>
  <c r="N58" i="6"/>
  <c r="M58" i="6"/>
  <c r="W57" i="6"/>
  <c r="V57" i="6"/>
  <c r="T57" i="6"/>
  <c r="S57" i="6"/>
  <c r="Q57" i="6"/>
  <c r="P57" i="6"/>
  <c r="N57" i="6"/>
  <c r="M57" i="6"/>
  <c r="W56" i="6"/>
  <c r="V56" i="6"/>
  <c r="T56" i="6"/>
  <c r="S56" i="6"/>
  <c r="Q56" i="6"/>
  <c r="P56" i="6"/>
  <c r="N56" i="6"/>
  <c r="M56" i="6"/>
  <c r="W55" i="6"/>
  <c r="V55" i="6"/>
  <c r="T55" i="6"/>
  <c r="S55" i="6"/>
  <c r="Q55" i="6"/>
  <c r="P55" i="6"/>
  <c r="N55" i="6"/>
  <c r="M55" i="6"/>
  <c r="W54" i="6"/>
  <c r="V54" i="6"/>
  <c r="T54" i="6"/>
  <c r="S54" i="6"/>
  <c r="Q54" i="6"/>
  <c r="P54" i="6"/>
  <c r="N54" i="6"/>
  <c r="M54" i="6"/>
  <c r="W53" i="6"/>
  <c r="V53" i="6"/>
  <c r="T53" i="6"/>
  <c r="S53" i="6"/>
  <c r="Q53" i="6"/>
  <c r="P53" i="6"/>
  <c r="N53" i="6"/>
  <c r="M53" i="6"/>
  <c r="W52" i="6"/>
  <c r="V52" i="6"/>
  <c r="T52" i="6"/>
  <c r="S52" i="6"/>
  <c r="Q52" i="6"/>
  <c r="P52" i="6"/>
  <c r="N52" i="6"/>
  <c r="M52" i="6"/>
  <c r="W51" i="6"/>
  <c r="V51" i="6"/>
  <c r="T51" i="6"/>
  <c r="S51" i="6"/>
  <c r="Q51" i="6"/>
  <c r="P51" i="6"/>
  <c r="N51" i="6"/>
  <c r="M51" i="6"/>
  <c r="W50" i="6"/>
  <c r="V50" i="6"/>
  <c r="T50" i="6"/>
  <c r="S50" i="6"/>
  <c r="Q50" i="6"/>
  <c r="P50" i="6"/>
  <c r="N50" i="6"/>
  <c r="M50" i="6"/>
  <c r="W49" i="6"/>
  <c r="V49" i="6"/>
  <c r="T49" i="6"/>
  <c r="S49" i="6"/>
  <c r="Q49" i="6"/>
  <c r="P49" i="6"/>
  <c r="N49" i="6"/>
  <c r="M49" i="6"/>
  <c r="W48" i="6"/>
  <c r="V48" i="6"/>
  <c r="T48" i="6"/>
  <c r="S48" i="6"/>
  <c r="Q48" i="6"/>
  <c r="P48" i="6"/>
  <c r="N48" i="6"/>
  <c r="M48" i="6"/>
  <c r="W47" i="6"/>
  <c r="V47" i="6"/>
  <c r="T47" i="6"/>
  <c r="S47" i="6"/>
  <c r="Q47" i="6"/>
  <c r="P47" i="6"/>
  <c r="N47" i="6"/>
  <c r="M47" i="6"/>
  <c r="W46" i="6"/>
  <c r="V46" i="6"/>
  <c r="T46" i="6"/>
  <c r="S46" i="6"/>
  <c r="Q46" i="6"/>
  <c r="P46" i="6"/>
  <c r="N46" i="6"/>
  <c r="M46" i="6"/>
  <c r="W45" i="6"/>
  <c r="V45" i="6"/>
  <c r="T45" i="6"/>
  <c r="S45" i="6"/>
  <c r="Q45" i="6"/>
  <c r="P45" i="6"/>
  <c r="N45" i="6"/>
  <c r="M45" i="6"/>
  <c r="W44" i="6"/>
  <c r="V44" i="6"/>
  <c r="T44" i="6"/>
  <c r="S44" i="6"/>
  <c r="Q44" i="6"/>
  <c r="P44" i="6"/>
  <c r="N44" i="6"/>
  <c r="M44" i="6"/>
  <c r="W43" i="6"/>
  <c r="V43" i="6"/>
  <c r="T43" i="6"/>
  <c r="S43" i="6"/>
  <c r="Q43" i="6"/>
  <c r="P43" i="6"/>
  <c r="N43" i="6"/>
  <c r="M43" i="6"/>
  <c r="W42" i="6"/>
  <c r="V42" i="6"/>
  <c r="T42" i="6"/>
  <c r="S42" i="6"/>
  <c r="Q42" i="6"/>
  <c r="P42" i="6"/>
  <c r="N42" i="6"/>
  <c r="M42" i="6"/>
  <c r="W41" i="6"/>
  <c r="V41" i="6"/>
  <c r="T41" i="6"/>
  <c r="S41" i="6"/>
  <c r="Q41" i="6"/>
  <c r="P41" i="6"/>
  <c r="N41" i="6"/>
  <c r="M41" i="6"/>
  <c r="W40" i="6"/>
  <c r="V40" i="6"/>
  <c r="T40" i="6"/>
  <c r="S40" i="6"/>
  <c r="Q40" i="6"/>
  <c r="P40" i="6"/>
  <c r="N40" i="6"/>
  <c r="M40" i="6"/>
  <c r="W39" i="6"/>
  <c r="V39" i="6"/>
  <c r="T39" i="6"/>
  <c r="S39" i="6"/>
  <c r="Q39" i="6"/>
  <c r="P39" i="6"/>
  <c r="N39" i="6"/>
  <c r="M39" i="6"/>
  <c r="W38" i="6"/>
  <c r="V38" i="6"/>
  <c r="T38" i="6"/>
  <c r="S38" i="6"/>
  <c r="Q38" i="6"/>
  <c r="P38" i="6"/>
  <c r="N38" i="6"/>
  <c r="M38" i="6"/>
  <c r="W37" i="6"/>
  <c r="V37" i="6"/>
  <c r="T37" i="6"/>
  <c r="S37" i="6"/>
  <c r="Q37" i="6"/>
  <c r="P37" i="6"/>
  <c r="N37" i="6"/>
  <c r="M37" i="6"/>
  <c r="W36" i="6"/>
  <c r="V36" i="6"/>
  <c r="T36" i="6"/>
  <c r="S36" i="6"/>
  <c r="Q36" i="6"/>
  <c r="P36" i="6"/>
  <c r="N36" i="6"/>
  <c r="M36" i="6"/>
  <c r="W35" i="6"/>
  <c r="V35" i="6"/>
  <c r="T35" i="6"/>
  <c r="S35" i="6"/>
  <c r="Q35" i="6"/>
  <c r="P35" i="6"/>
  <c r="N35" i="6"/>
  <c r="M35" i="6"/>
  <c r="W34" i="6"/>
  <c r="V34" i="6"/>
  <c r="T34" i="6"/>
  <c r="S34" i="6"/>
  <c r="Q34" i="6"/>
  <c r="P34" i="6"/>
  <c r="N34" i="6"/>
  <c r="M34" i="6"/>
  <c r="W33" i="6"/>
  <c r="V33" i="6"/>
  <c r="T33" i="6"/>
  <c r="S33" i="6"/>
  <c r="Q33" i="6"/>
  <c r="P33" i="6"/>
  <c r="N33" i="6"/>
  <c r="M33" i="6"/>
  <c r="W32" i="6"/>
  <c r="V32" i="6"/>
  <c r="T32" i="6"/>
  <c r="S32" i="6"/>
  <c r="Q32" i="6"/>
  <c r="P32" i="6"/>
  <c r="N32" i="6"/>
  <c r="M32" i="6"/>
  <c r="W31" i="6"/>
  <c r="V31" i="6"/>
  <c r="T31" i="6"/>
  <c r="S31" i="6"/>
  <c r="Q31" i="6"/>
  <c r="P31" i="6"/>
  <c r="N31" i="6"/>
  <c r="M31" i="6"/>
  <c r="W30" i="6"/>
  <c r="V30" i="6"/>
  <c r="T30" i="6"/>
  <c r="S30" i="6"/>
  <c r="Q30" i="6"/>
  <c r="P30" i="6"/>
  <c r="N30" i="6"/>
  <c r="M30" i="6"/>
  <c r="W29" i="6"/>
  <c r="V29" i="6"/>
  <c r="T29" i="6"/>
  <c r="S29" i="6"/>
  <c r="Q29" i="6"/>
  <c r="P29" i="6"/>
  <c r="N29" i="6"/>
  <c r="M29" i="6"/>
  <c r="W28" i="6"/>
  <c r="V28" i="6"/>
  <c r="T28" i="6"/>
  <c r="S28" i="6"/>
  <c r="Q28" i="6"/>
  <c r="P28" i="6"/>
  <c r="N28" i="6"/>
  <c r="M28" i="6"/>
  <c r="W27" i="6"/>
  <c r="V27" i="6"/>
  <c r="T27" i="6"/>
  <c r="S27" i="6"/>
  <c r="Q27" i="6"/>
  <c r="P27" i="6"/>
  <c r="N27" i="6"/>
  <c r="M27" i="6"/>
  <c r="W26" i="6"/>
  <c r="V26" i="6"/>
  <c r="T26" i="6"/>
  <c r="S26" i="6"/>
  <c r="Q26" i="6"/>
  <c r="P26" i="6"/>
  <c r="N26" i="6"/>
  <c r="M26" i="6"/>
  <c r="W25" i="6"/>
  <c r="V25" i="6"/>
  <c r="T25" i="6"/>
  <c r="S25" i="6"/>
  <c r="Q25" i="6"/>
  <c r="P25" i="6"/>
  <c r="N25" i="6"/>
  <c r="M25" i="6"/>
  <c r="W24" i="6"/>
  <c r="V24" i="6"/>
  <c r="T24" i="6"/>
  <c r="S24" i="6"/>
  <c r="Q24" i="6"/>
  <c r="P24" i="6"/>
  <c r="N24" i="6"/>
  <c r="M24" i="6"/>
  <c r="W23" i="6"/>
  <c r="V23" i="6"/>
  <c r="T23" i="6"/>
  <c r="S23" i="6"/>
  <c r="Q23" i="6"/>
  <c r="P23" i="6"/>
  <c r="N23" i="6"/>
  <c r="M23" i="6"/>
  <c r="W22" i="6"/>
  <c r="V22" i="6"/>
  <c r="T22" i="6"/>
  <c r="S22" i="6"/>
  <c r="Q22" i="6"/>
  <c r="P22" i="6"/>
  <c r="N22" i="6"/>
  <c r="M22" i="6"/>
  <c r="W21" i="6"/>
  <c r="V21" i="6"/>
  <c r="T21" i="6"/>
  <c r="S21" i="6"/>
  <c r="Q21" i="6"/>
  <c r="P21" i="6"/>
  <c r="N21" i="6"/>
  <c r="M21" i="6"/>
  <c r="W20" i="6"/>
  <c r="V20" i="6"/>
  <c r="T20" i="6"/>
  <c r="S20" i="6"/>
  <c r="Q20" i="6"/>
  <c r="P20" i="6"/>
  <c r="N20" i="6"/>
  <c r="M20" i="6"/>
  <c r="W19" i="6"/>
  <c r="V19" i="6"/>
  <c r="T19" i="6"/>
  <c r="S19" i="6"/>
  <c r="Q19" i="6"/>
  <c r="P19" i="6"/>
  <c r="N19" i="6"/>
  <c r="M19" i="6"/>
  <c r="W18" i="6"/>
  <c r="V18" i="6"/>
  <c r="T18" i="6"/>
  <c r="S18" i="6"/>
  <c r="Q18" i="6"/>
  <c r="P18" i="6"/>
  <c r="N18" i="6"/>
  <c r="M18" i="6"/>
  <c r="W17" i="6"/>
  <c r="V17" i="6"/>
  <c r="T17" i="6"/>
  <c r="S17" i="6"/>
  <c r="Q17" i="6"/>
  <c r="P17" i="6"/>
  <c r="N17" i="6"/>
  <c r="M17" i="6"/>
  <c r="W16" i="6"/>
  <c r="V16" i="6"/>
  <c r="T16" i="6"/>
  <c r="S16" i="6"/>
  <c r="Q16" i="6"/>
  <c r="P16" i="6"/>
  <c r="N16" i="6"/>
  <c r="M16" i="6"/>
  <c r="W15" i="6"/>
  <c r="V15" i="6"/>
  <c r="T15" i="6"/>
  <c r="S15" i="6"/>
  <c r="Q15" i="6"/>
  <c r="P15" i="6"/>
  <c r="N15" i="6"/>
  <c r="M15" i="6"/>
  <c r="W14" i="6"/>
  <c r="V14" i="6"/>
  <c r="T14" i="6"/>
  <c r="S14" i="6"/>
  <c r="Q14" i="6"/>
  <c r="P14" i="6"/>
  <c r="N14" i="6"/>
  <c r="M14" i="6"/>
  <c r="W13" i="6"/>
  <c r="V13" i="6"/>
  <c r="T13" i="6"/>
  <c r="S13" i="6"/>
  <c r="Q13" i="6"/>
  <c r="P13" i="6"/>
  <c r="N13" i="6"/>
  <c r="M13" i="6"/>
  <c r="W12" i="6"/>
  <c r="V12" i="6"/>
  <c r="T12" i="6"/>
  <c r="S12" i="6"/>
  <c r="Q12" i="6"/>
  <c r="P12" i="6"/>
  <c r="N12" i="6"/>
  <c r="M12" i="6"/>
  <c r="W11" i="6"/>
  <c r="V11" i="6"/>
  <c r="T11" i="6"/>
  <c r="S11" i="6"/>
  <c r="Q11" i="6"/>
  <c r="P11" i="6"/>
  <c r="N11" i="6"/>
  <c r="M11" i="6"/>
  <c r="W10" i="6"/>
  <c r="V10" i="6"/>
  <c r="T10" i="6"/>
  <c r="S10" i="6"/>
  <c r="Q10" i="6"/>
  <c r="P10" i="6"/>
  <c r="N10" i="6"/>
  <c r="M10" i="6"/>
  <c r="W9" i="6"/>
  <c r="V9" i="6"/>
  <c r="T9" i="6"/>
  <c r="S9" i="6"/>
  <c r="Q9" i="6"/>
  <c r="P9" i="6"/>
  <c r="N9" i="6"/>
  <c r="M9" i="6"/>
  <c r="W8" i="6"/>
  <c r="V8" i="6"/>
  <c r="T8" i="6"/>
  <c r="S8" i="6"/>
  <c r="Q8" i="6"/>
  <c r="P8" i="6"/>
  <c r="N8" i="6"/>
  <c r="M8" i="6"/>
  <c r="W7" i="6"/>
  <c r="V7" i="6"/>
  <c r="T7" i="6"/>
  <c r="S7" i="6"/>
  <c r="Q7" i="6"/>
  <c r="P7" i="6"/>
  <c r="N7" i="6"/>
  <c r="M7" i="6"/>
  <c r="W6" i="6"/>
  <c r="V6" i="6"/>
  <c r="T6" i="6"/>
  <c r="S6" i="6"/>
  <c r="Q6" i="6"/>
  <c r="P6" i="6"/>
  <c r="N6" i="6"/>
  <c r="M6" i="6"/>
  <c r="J103" i="5"/>
  <c r="K103" i="5" s="1"/>
  <c r="O103" i="5" s="1"/>
  <c r="P103" i="5" s="1"/>
  <c r="Q103" i="5" s="1"/>
  <c r="R103" i="5" s="1"/>
  <c r="S103" i="5" s="1"/>
  <c r="J102" i="5"/>
  <c r="K102" i="5" s="1"/>
  <c r="O102" i="5" s="1"/>
  <c r="P102" i="5" s="1"/>
  <c r="Q102" i="5" s="1"/>
  <c r="R102" i="5" s="1"/>
  <c r="S102" i="5" s="1"/>
  <c r="O101" i="5"/>
  <c r="P101" i="5" s="1"/>
  <c r="Q101" i="5" s="1"/>
  <c r="R101" i="5" s="1"/>
  <c r="S101" i="5" s="1"/>
  <c r="K101" i="5"/>
  <c r="J101" i="5"/>
  <c r="J100" i="5"/>
  <c r="K100" i="5" s="1"/>
  <c r="O100" i="5" s="1"/>
  <c r="P100" i="5" s="1"/>
  <c r="Q100" i="5" s="1"/>
  <c r="R100" i="5" s="1"/>
  <c r="S100" i="5" s="1"/>
  <c r="K99" i="5"/>
  <c r="O99" i="5" s="1"/>
  <c r="P99" i="5" s="1"/>
  <c r="Q99" i="5" s="1"/>
  <c r="R99" i="5" s="1"/>
  <c r="S99" i="5" s="1"/>
  <c r="J99" i="5"/>
  <c r="J98" i="5"/>
  <c r="K98" i="5" s="1"/>
  <c r="O98" i="5" s="1"/>
  <c r="P98" i="5" s="1"/>
  <c r="Q98" i="5" s="1"/>
  <c r="R98" i="5" s="1"/>
  <c r="S98" i="5" s="1"/>
  <c r="S97" i="5"/>
  <c r="O97" i="5"/>
  <c r="P97" i="5" s="1"/>
  <c r="Q97" i="5" s="1"/>
  <c r="R97" i="5" s="1"/>
  <c r="J97" i="5"/>
  <c r="K97" i="5" s="1"/>
  <c r="K96" i="5"/>
  <c r="O96" i="5" s="1"/>
  <c r="P96" i="5" s="1"/>
  <c r="Q96" i="5" s="1"/>
  <c r="R96" i="5" s="1"/>
  <c r="S96" i="5" s="1"/>
  <c r="J96" i="5"/>
  <c r="O95" i="5"/>
  <c r="P95" i="5" s="1"/>
  <c r="Q95" i="5" s="1"/>
  <c r="R95" i="5" s="1"/>
  <c r="S95" i="5" s="1"/>
  <c r="K95" i="5"/>
  <c r="J95" i="5"/>
  <c r="J94" i="5"/>
  <c r="K94" i="5" s="1"/>
  <c r="O94" i="5" s="1"/>
  <c r="P94" i="5" s="1"/>
  <c r="Q94" i="5" s="1"/>
  <c r="R94" i="5" s="1"/>
  <c r="S94" i="5" s="1"/>
  <c r="P93" i="5"/>
  <c r="Q93" i="5" s="1"/>
  <c r="R93" i="5" s="1"/>
  <c r="S93" i="5" s="1"/>
  <c r="K93" i="5"/>
  <c r="O93" i="5" s="1"/>
  <c r="J93" i="5"/>
  <c r="J92" i="5"/>
  <c r="K92" i="5" s="1"/>
  <c r="O92" i="5" s="1"/>
  <c r="P92" i="5" s="1"/>
  <c r="Q92" i="5" s="1"/>
  <c r="R92" i="5" s="1"/>
  <c r="S92" i="5" s="1"/>
  <c r="O91" i="5"/>
  <c r="P91" i="5" s="1"/>
  <c r="Q91" i="5" s="1"/>
  <c r="R91" i="5" s="1"/>
  <c r="S91" i="5" s="1"/>
  <c r="J91" i="5"/>
  <c r="K91" i="5" s="1"/>
  <c r="Q90" i="5"/>
  <c r="R90" i="5" s="1"/>
  <c r="S90" i="5" s="1"/>
  <c r="K90" i="5"/>
  <c r="O90" i="5" s="1"/>
  <c r="P90" i="5" s="1"/>
  <c r="J90" i="5"/>
  <c r="K89" i="5"/>
  <c r="O89" i="5" s="1"/>
  <c r="P89" i="5" s="1"/>
  <c r="Q89" i="5" s="1"/>
  <c r="R89" i="5" s="1"/>
  <c r="S89" i="5" s="1"/>
  <c r="J89" i="5"/>
  <c r="J88" i="5"/>
  <c r="K88" i="5" s="1"/>
  <c r="O88" i="5" s="1"/>
  <c r="P88" i="5" s="1"/>
  <c r="Q88" i="5" s="1"/>
  <c r="R88" i="5" s="1"/>
  <c r="S88" i="5" s="1"/>
  <c r="K87" i="5"/>
  <c r="O87" i="5" s="1"/>
  <c r="P87" i="5" s="1"/>
  <c r="Q87" i="5" s="1"/>
  <c r="R87" i="5" s="1"/>
  <c r="S87" i="5" s="1"/>
  <c r="J87" i="5"/>
  <c r="J86" i="5"/>
  <c r="K86" i="5" s="1"/>
  <c r="O86" i="5" s="1"/>
  <c r="P86" i="5" s="1"/>
  <c r="Q86" i="5" s="1"/>
  <c r="R86" i="5" s="1"/>
  <c r="S86" i="5" s="1"/>
  <c r="J85" i="5"/>
  <c r="K85" i="5" s="1"/>
  <c r="O85" i="5" s="1"/>
  <c r="P85" i="5" s="1"/>
  <c r="Q85" i="5" s="1"/>
  <c r="R85" i="5" s="1"/>
  <c r="S85" i="5" s="1"/>
  <c r="J84" i="5"/>
  <c r="K84" i="5" s="1"/>
  <c r="O84" i="5" s="1"/>
  <c r="P84" i="5" s="1"/>
  <c r="Q84" i="5" s="1"/>
  <c r="R84" i="5" s="1"/>
  <c r="S84" i="5" s="1"/>
  <c r="K83" i="5"/>
  <c r="O83" i="5" s="1"/>
  <c r="P83" i="5" s="1"/>
  <c r="Q83" i="5" s="1"/>
  <c r="R83" i="5" s="1"/>
  <c r="S83" i="5" s="1"/>
  <c r="J83" i="5"/>
  <c r="P82" i="5"/>
  <c r="Q82" i="5" s="1"/>
  <c r="R82" i="5" s="1"/>
  <c r="S82" i="5" s="1"/>
  <c r="J82" i="5"/>
  <c r="K82" i="5" s="1"/>
  <c r="O82" i="5" s="1"/>
  <c r="K81" i="5"/>
  <c r="O81" i="5" s="1"/>
  <c r="P81" i="5" s="1"/>
  <c r="Q81" i="5" s="1"/>
  <c r="R81" i="5" s="1"/>
  <c r="S81" i="5" s="1"/>
  <c r="J81" i="5"/>
  <c r="O80" i="5"/>
  <c r="P80" i="5" s="1"/>
  <c r="Q80" i="5" s="1"/>
  <c r="R80" i="5" s="1"/>
  <c r="S80" i="5" s="1"/>
  <c r="J80" i="5"/>
  <c r="K80" i="5" s="1"/>
  <c r="J79" i="5"/>
  <c r="K79" i="5" s="1"/>
  <c r="O79" i="5" s="1"/>
  <c r="P79" i="5" s="1"/>
  <c r="Q79" i="5" s="1"/>
  <c r="R79" i="5" s="1"/>
  <c r="S79" i="5" s="1"/>
  <c r="J78" i="5"/>
  <c r="K78" i="5" s="1"/>
  <c r="O78" i="5" s="1"/>
  <c r="P78" i="5" s="1"/>
  <c r="Q78" i="5" s="1"/>
  <c r="R78" i="5" s="1"/>
  <c r="S78" i="5" s="1"/>
  <c r="O77" i="5"/>
  <c r="P77" i="5" s="1"/>
  <c r="Q77" i="5" s="1"/>
  <c r="R77" i="5" s="1"/>
  <c r="S77" i="5" s="1"/>
  <c r="K77" i="5"/>
  <c r="J77" i="5"/>
  <c r="J76" i="5"/>
  <c r="K76" i="5" s="1"/>
  <c r="O76" i="5" s="1"/>
  <c r="P76" i="5" s="1"/>
  <c r="Q76" i="5" s="1"/>
  <c r="R76" i="5" s="1"/>
  <c r="S76" i="5" s="1"/>
  <c r="K75" i="5"/>
  <c r="O75" i="5" s="1"/>
  <c r="P75" i="5" s="1"/>
  <c r="Q75" i="5" s="1"/>
  <c r="R75" i="5" s="1"/>
  <c r="S75" i="5" s="1"/>
  <c r="J75" i="5"/>
  <c r="J74" i="5"/>
  <c r="K74" i="5" s="1"/>
  <c r="O74" i="5" s="1"/>
  <c r="P74" i="5" s="1"/>
  <c r="Q74" i="5" s="1"/>
  <c r="R74" i="5" s="1"/>
  <c r="S74" i="5" s="1"/>
  <c r="S73" i="5"/>
  <c r="O73" i="5"/>
  <c r="P73" i="5" s="1"/>
  <c r="Q73" i="5" s="1"/>
  <c r="R73" i="5" s="1"/>
  <c r="J73" i="5"/>
  <c r="K73" i="5" s="1"/>
  <c r="K72" i="5"/>
  <c r="O72" i="5" s="1"/>
  <c r="P72" i="5" s="1"/>
  <c r="Q72" i="5" s="1"/>
  <c r="R72" i="5" s="1"/>
  <c r="S72" i="5" s="1"/>
  <c r="J72" i="5"/>
  <c r="O71" i="5"/>
  <c r="P71" i="5" s="1"/>
  <c r="Q71" i="5" s="1"/>
  <c r="R71" i="5" s="1"/>
  <c r="S71" i="5" s="1"/>
  <c r="K71" i="5"/>
  <c r="J71" i="5"/>
  <c r="J70" i="5"/>
  <c r="K70" i="5" s="1"/>
  <c r="O70" i="5" s="1"/>
  <c r="P70" i="5" s="1"/>
  <c r="Q70" i="5" s="1"/>
  <c r="R70" i="5" s="1"/>
  <c r="S70" i="5" s="1"/>
  <c r="P69" i="5"/>
  <c r="Q69" i="5" s="1"/>
  <c r="R69" i="5" s="1"/>
  <c r="S69" i="5" s="1"/>
  <c r="K69" i="5"/>
  <c r="O69" i="5" s="1"/>
  <c r="J69" i="5"/>
  <c r="J68" i="5"/>
  <c r="K68" i="5" s="1"/>
  <c r="O68" i="5" s="1"/>
  <c r="P68" i="5" s="1"/>
  <c r="Q68" i="5" s="1"/>
  <c r="R68" i="5" s="1"/>
  <c r="S68" i="5" s="1"/>
  <c r="J67" i="5"/>
  <c r="K67" i="5" s="1"/>
  <c r="O67" i="5" s="1"/>
  <c r="P67" i="5" s="1"/>
  <c r="Q67" i="5" s="1"/>
  <c r="R67" i="5" s="1"/>
  <c r="S67" i="5" s="1"/>
  <c r="Q66" i="5"/>
  <c r="R66" i="5" s="1"/>
  <c r="S66" i="5" s="1"/>
  <c r="K66" i="5"/>
  <c r="O66" i="5" s="1"/>
  <c r="P66" i="5" s="1"/>
  <c r="J66" i="5"/>
  <c r="K65" i="5"/>
  <c r="O65" i="5" s="1"/>
  <c r="P65" i="5" s="1"/>
  <c r="Q65" i="5" s="1"/>
  <c r="R65" i="5" s="1"/>
  <c r="S65" i="5" s="1"/>
  <c r="J65" i="5"/>
  <c r="J64" i="5"/>
  <c r="K64" i="5" s="1"/>
  <c r="O64" i="5" s="1"/>
  <c r="P64" i="5" s="1"/>
  <c r="Q64" i="5" s="1"/>
  <c r="R64" i="5" s="1"/>
  <c r="S64" i="5" s="1"/>
  <c r="K63" i="5"/>
  <c r="O63" i="5" s="1"/>
  <c r="P63" i="5" s="1"/>
  <c r="Q63" i="5" s="1"/>
  <c r="R63" i="5" s="1"/>
  <c r="S63" i="5" s="1"/>
  <c r="J63" i="5"/>
  <c r="J62" i="5"/>
  <c r="K62" i="5" s="1"/>
  <c r="O62" i="5" s="1"/>
  <c r="P62" i="5" s="1"/>
  <c r="Q62" i="5" s="1"/>
  <c r="R62" i="5" s="1"/>
  <c r="S62" i="5" s="1"/>
  <c r="J61" i="5"/>
  <c r="K61" i="5" s="1"/>
  <c r="O61" i="5" s="1"/>
  <c r="P61" i="5" s="1"/>
  <c r="Q61" i="5" s="1"/>
  <c r="R61" i="5" s="1"/>
  <c r="S61" i="5" s="1"/>
  <c r="J60" i="5"/>
  <c r="K60" i="5" s="1"/>
  <c r="O60" i="5" s="1"/>
  <c r="P60" i="5" s="1"/>
  <c r="Q60" i="5" s="1"/>
  <c r="R60" i="5" s="1"/>
  <c r="S60" i="5" s="1"/>
  <c r="K59" i="5"/>
  <c r="O59" i="5" s="1"/>
  <c r="P59" i="5" s="1"/>
  <c r="Q59" i="5" s="1"/>
  <c r="R59" i="5" s="1"/>
  <c r="S59" i="5" s="1"/>
  <c r="J59" i="5"/>
  <c r="P58" i="5"/>
  <c r="Q58" i="5" s="1"/>
  <c r="R58" i="5" s="1"/>
  <c r="S58" i="5" s="1"/>
  <c r="J58" i="5"/>
  <c r="K58" i="5" s="1"/>
  <c r="O58" i="5" s="1"/>
  <c r="K57" i="5"/>
  <c r="O57" i="5" s="1"/>
  <c r="P57" i="5" s="1"/>
  <c r="Q57" i="5" s="1"/>
  <c r="R57" i="5" s="1"/>
  <c r="S57" i="5" s="1"/>
  <c r="J57" i="5"/>
  <c r="O56" i="5"/>
  <c r="P56" i="5" s="1"/>
  <c r="Q56" i="5" s="1"/>
  <c r="R56" i="5" s="1"/>
  <c r="S56" i="5" s="1"/>
  <c r="J56" i="5"/>
  <c r="K56" i="5" s="1"/>
  <c r="J55" i="5"/>
  <c r="K55" i="5" s="1"/>
  <c r="O55" i="5" s="1"/>
  <c r="P55" i="5" s="1"/>
  <c r="Q55" i="5" s="1"/>
  <c r="R55" i="5" s="1"/>
  <c r="S55" i="5" s="1"/>
  <c r="K54" i="5"/>
  <c r="O54" i="5" s="1"/>
  <c r="P54" i="5" s="1"/>
  <c r="Q54" i="5" s="1"/>
  <c r="R54" i="5" s="1"/>
  <c r="S54" i="5" s="1"/>
  <c r="J54" i="5"/>
  <c r="O53" i="5"/>
  <c r="P53" i="5" s="1"/>
  <c r="Q53" i="5" s="1"/>
  <c r="R53" i="5" s="1"/>
  <c r="S53" i="5" s="1"/>
  <c r="K53" i="5"/>
  <c r="J53" i="5"/>
  <c r="O52" i="5"/>
  <c r="P52" i="5" s="1"/>
  <c r="Q52" i="5" s="1"/>
  <c r="R52" i="5" s="1"/>
  <c r="S52" i="5" s="1"/>
  <c r="J52" i="5"/>
  <c r="K52" i="5" s="1"/>
  <c r="P51" i="5"/>
  <c r="Q51" i="5" s="1"/>
  <c r="R51" i="5" s="1"/>
  <c r="S51" i="5" s="1"/>
  <c r="K51" i="5"/>
  <c r="O51" i="5" s="1"/>
  <c r="J51" i="5"/>
  <c r="O50" i="5"/>
  <c r="P50" i="5" s="1"/>
  <c r="Q50" i="5" s="1"/>
  <c r="R50" i="5" s="1"/>
  <c r="S50" i="5" s="1"/>
  <c r="K50" i="5"/>
  <c r="J50" i="5"/>
  <c r="J49" i="5"/>
  <c r="K49" i="5" s="1"/>
  <c r="O49" i="5" s="1"/>
  <c r="P49" i="5" s="1"/>
  <c r="Q49" i="5" s="1"/>
  <c r="R49" i="5" s="1"/>
  <c r="S49" i="5" s="1"/>
  <c r="Q48" i="5"/>
  <c r="R48" i="5" s="1"/>
  <c r="S48" i="5" s="1"/>
  <c r="K48" i="5"/>
  <c r="O48" i="5" s="1"/>
  <c r="P48" i="5" s="1"/>
  <c r="J48" i="5"/>
  <c r="J47" i="5"/>
  <c r="K47" i="5" s="1"/>
  <c r="O47" i="5" s="1"/>
  <c r="P47" i="5" s="1"/>
  <c r="Q47" i="5" s="1"/>
  <c r="R47" i="5" s="1"/>
  <c r="S47" i="5" s="1"/>
  <c r="R46" i="5"/>
  <c r="S46" i="5" s="1"/>
  <c r="P46" i="5"/>
  <c r="Q46" i="5" s="1"/>
  <c r="O46" i="5"/>
  <c r="K46" i="5"/>
  <c r="J46" i="5"/>
  <c r="P45" i="5"/>
  <c r="Q45" i="5" s="1"/>
  <c r="R45" i="5" s="1"/>
  <c r="S45" i="5" s="1"/>
  <c r="K45" i="5"/>
  <c r="O45" i="5" s="1"/>
  <c r="J45" i="5"/>
  <c r="J44" i="5"/>
  <c r="K44" i="5" s="1"/>
  <c r="O44" i="5" s="1"/>
  <c r="P44" i="5" s="1"/>
  <c r="Q44" i="5" s="1"/>
  <c r="R44" i="5" s="1"/>
  <c r="S44" i="5" s="1"/>
  <c r="O43" i="5"/>
  <c r="P43" i="5" s="1"/>
  <c r="Q43" i="5" s="1"/>
  <c r="R43" i="5" s="1"/>
  <c r="S43" i="5" s="1"/>
  <c r="J43" i="5"/>
  <c r="K43" i="5" s="1"/>
  <c r="J42" i="5"/>
  <c r="K42" i="5" s="1"/>
  <c r="O42" i="5" s="1"/>
  <c r="P42" i="5" s="1"/>
  <c r="Q42" i="5" s="1"/>
  <c r="R42" i="5" s="1"/>
  <c r="S42" i="5" s="1"/>
  <c r="J41" i="5"/>
  <c r="K41" i="5" s="1"/>
  <c r="O41" i="5" s="1"/>
  <c r="P41" i="5" s="1"/>
  <c r="Q41" i="5" s="1"/>
  <c r="R41" i="5" s="1"/>
  <c r="S41" i="5" s="1"/>
  <c r="P40" i="5"/>
  <c r="Q40" i="5" s="1"/>
  <c r="R40" i="5" s="1"/>
  <c r="S40" i="5" s="1"/>
  <c r="O40" i="5"/>
  <c r="K40" i="5"/>
  <c r="J40" i="5"/>
  <c r="P39" i="5"/>
  <c r="Q39" i="5" s="1"/>
  <c r="R39" i="5" s="1"/>
  <c r="S39" i="5" s="1"/>
  <c r="K39" i="5"/>
  <c r="O39" i="5" s="1"/>
  <c r="J39" i="5"/>
  <c r="K38" i="5"/>
  <c r="O38" i="5" s="1"/>
  <c r="P38" i="5" s="1"/>
  <c r="Q38" i="5" s="1"/>
  <c r="R38" i="5" s="1"/>
  <c r="S38" i="5" s="1"/>
  <c r="J38" i="5"/>
  <c r="K37" i="5"/>
  <c r="O37" i="5" s="1"/>
  <c r="P37" i="5" s="1"/>
  <c r="Q37" i="5" s="1"/>
  <c r="R37" i="5" s="1"/>
  <c r="S37" i="5" s="1"/>
  <c r="J37" i="5"/>
  <c r="O36" i="5"/>
  <c r="P36" i="5" s="1"/>
  <c r="Q36" i="5" s="1"/>
  <c r="R36" i="5" s="1"/>
  <c r="S36" i="5" s="1"/>
  <c r="J36" i="5"/>
  <c r="K36" i="5" s="1"/>
  <c r="K35" i="5"/>
  <c r="O35" i="5" s="1"/>
  <c r="P35" i="5" s="1"/>
  <c r="Q35" i="5" s="1"/>
  <c r="R35" i="5" s="1"/>
  <c r="S35" i="5" s="1"/>
  <c r="J35" i="5"/>
  <c r="J34" i="5"/>
  <c r="K34" i="5" s="1"/>
  <c r="O34" i="5" s="1"/>
  <c r="P34" i="5" s="1"/>
  <c r="Q34" i="5" s="1"/>
  <c r="R34" i="5" s="1"/>
  <c r="S34" i="5" s="1"/>
  <c r="K33" i="5"/>
  <c r="O33" i="5" s="1"/>
  <c r="P33" i="5" s="1"/>
  <c r="Q33" i="5" s="1"/>
  <c r="R33" i="5" s="1"/>
  <c r="S33" i="5" s="1"/>
  <c r="J33" i="5"/>
  <c r="K32" i="5"/>
  <c r="O32" i="5" s="1"/>
  <c r="P32" i="5" s="1"/>
  <c r="Q32" i="5" s="1"/>
  <c r="R32" i="5" s="1"/>
  <c r="S32" i="5" s="1"/>
  <c r="J32" i="5"/>
  <c r="J31" i="5"/>
  <c r="K31" i="5" s="1"/>
  <c r="O31" i="5" s="1"/>
  <c r="P31" i="5" s="1"/>
  <c r="Q31" i="5" s="1"/>
  <c r="R31" i="5" s="1"/>
  <c r="S31" i="5" s="1"/>
  <c r="K30" i="5"/>
  <c r="O30" i="5" s="1"/>
  <c r="P30" i="5" s="1"/>
  <c r="Q30" i="5" s="1"/>
  <c r="R30" i="5" s="1"/>
  <c r="S30" i="5" s="1"/>
  <c r="J30" i="5"/>
  <c r="K29" i="5"/>
  <c r="O29" i="5" s="1"/>
  <c r="P29" i="5" s="1"/>
  <c r="Q29" i="5" s="1"/>
  <c r="R29" i="5" s="1"/>
  <c r="S29" i="5" s="1"/>
  <c r="J29" i="5"/>
  <c r="J28" i="5"/>
  <c r="K28" i="5" s="1"/>
  <c r="O28" i="5" s="1"/>
  <c r="P28" i="5" s="1"/>
  <c r="Q28" i="5" s="1"/>
  <c r="R28" i="5" s="1"/>
  <c r="S28" i="5" s="1"/>
  <c r="K27" i="5"/>
  <c r="O27" i="5" s="1"/>
  <c r="P27" i="5" s="1"/>
  <c r="Q27" i="5" s="1"/>
  <c r="R27" i="5" s="1"/>
  <c r="S27" i="5" s="1"/>
  <c r="J27" i="5"/>
  <c r="K26" i="5"/>
  <c r="O26" i="5" s="1"/>
  <c r="P26" i="5" s="1"/>
  <c r="Q26" i="5" s="1"/>
  <c r="R26" i="5" s="1"/>
  <c r="S26" i="5" s="1"/>
  <c r="J26" i="5"/>
  <c r="J25" i="5"/>
  <c r="K25" i="5" s="1"/>
  <c r="O25" i="5" s="1"/>
  <c r="P25" i="5" s="1"/>
  <c r="Q25" i="5" s="1"/>
  <c r="R25" i="5" s="1"/>
  <c r="S25" i="5" s="1"/>
  <c r="K24" i="5"/>
  <c r="O24" i="5" s="1"/>
  <c r="P24" i="5" s="1"/>
  <c r="Q24" i="5" s="1"/>
  <c r="R24" i="5" s="1"/>
  <c r="S24" i="5" s="1"/>
  <c r="J24" i="5"/>
  <c r="K23" i="5"/>
  <c r="O23" i="5" s="1"/>
  <c r="P23" i="5" s="1"/>
  <c r="Q23" i="5" s="1"/>
  <c r="R23" i="5" s="1"/>
  <c r="S23" i="5" s="1"/>
  <c r="J23" i="5"/>
  <c r="O22" i="5"/>
  <c r="P22" i="5" s="1"/>
  <c r="Q22" i="5" s="1"/>
  <c r="R22" i="5" s="1"/>
  <c r="S22" i="5" s="1"/>
  <c r="J22" i="5"/>
  <c r="K22" i="5" s="1"/>
  <c r="O21" i="5"/>
  <c r="P21" i="5" s="1"/>
  <c r="Q21" i="5" s="1"/>
  <c r="R21" i="5" s="1"/>
  <c r="S21" i="5" s="1"/>
  <c r="J21" i="5"/>
  <c r="K21" i="5" s="1"/>
  <c r="K20" i="5"/>
  <c r="O20" i="5" s="1"/>
  <c r="P20" i="5" s="1"/>
  <c r="Q20" i="5" s="1"/>
  <c r="R20" i="5" s="1"/>
  <c r="S20" i="5" s="1"/>
  <c r="J20" i="5"/>
  <c r="J19" i="5"/>
  <c r="K19" i="5" s="1"/>
  <c r="O19" i="5" s="1"/>
  <c r="P19" i="5" s="1"/>
  <c r="Q19" i="5" s="1"/>
  <c r="R19" i="5" s="1"/>
  <c r="S19" i="5" s="1"/>
  <c r="J18" i="5"/>
  <c r="K18" i="5" s="1"/>
  <c r="O18" i="5" s="1"/>
  <c r="P18" i="5" s="1"/>
  <c r="Q18" i="5" s="1"/>
  <c r="R18" i="5" s="1"/>
  <c r="S18" i="5" s="1"/>
  <c r="E18" i="5"/>
  <c r="J17" i="5"/>
  <c r="K17" i="5" s="1"/>
  <c r="O17" i="5" s="1"/>
  <c r="P17" i="5" s="1"/>
  <c r="Q17" i="5" s="1"/>
  <c r="R17" i="5" s="1"/>
  <c r="S17" i="5" s="1"/>
  <c r="R16" i="5"/>
  <c r="S16" i="5" s="1"/>
  <c r="K16" i="5"/>
  <c r="O16" i="5" s="1"/>
  <c r="P16" i="5" s="1"/>
  <c r="Q16" i="5" s="1"/>
  <c r="J16" i="5"/>
  <c r="J15" i="5"/>
  <c r="K15" i="5" s="1"/>
  <c r="O15" i="5" s="1"/>
  <c r="P15" i="5" s="1"/>
  <c r="Q15" i="5" s="1"/>
  <c r="R15" i="5" s="1"/>
  <c r="S15" i="5" s="1"/>
  <c r="R14" i="5"/>
  <c r="S14" i="5" s="1"/>
  <c r="K14" i="5"/>
  <c r="O14" i="5" s="1"/>
  <c r="P14" i="5" s="1"/>
  <c r="Q14" i="5" s="1"/>
  <c r="J14" i="5"/>
  <c r="D14" i="5"/>
  <c r="D15" i="5" s="1"/>
  <c r="C14" i="5"/>
  <c r="C15" i="5" s="1"/>
  <c r="B14" i="5"/>
  <c r="B15" i="5" s="1"/>
  <c r="O13" i="5"/>
  <c r="P13" i="5" s="1"/>
  <c r="Q13" i="5" s="1"/>
  <c r="R13" i="5" s="1"/>
  <c r="S13" i="5" s="1"/>
  <c r="J13" i="5"/>
  <c r="K13" i="5" s="1"/>
  <c r="D13" i="5"/>
  <c r="C13" i="5"/>
  <c r="B13" i="5"/>
  <c r="J12" i="5"/>
  <c r="K12" i="5" s="1"/>
  <c r="O12" i="5" s="1"/>
  <c r="P12" i="5" s="1"/>
  <c r="Q12" i="5" s="1"/>
  <c r="R12" i="5" s="1"/>
  <c r="S12" i="5" s="1"/>
  <c r="K11" i="5"/>
  <c r="O11" i="5" s="1"/>
  <c r="P11" i="5" s="1"/>
  <c r="Q11" i="5" s="1"/>
  <c r="R11" i="5" s="1"/>
  <c r="S11" i="5" s="1"/>
  <c r="J11" i="5"/>
  <c r="K10" i="5"/>
  <c r="O10" i="5" s="1"/>
  <c r="P10" i="5" s="1"/>
  <c r="Q10" i="5" s="1"/>
  <c r="R10" i="5" s="1"/>
  <c r="S10" i="5" s="1"/>
  <c r="J10" i="5"/>
  <c r="J9" i="5"/>
  <c r="K9" i="5" s="1"/>
  <c r="O9" i="5" s="1"/>
  <c r="P9" i="5" s="1"/>
  <c r="Q9" i="5" s="1"/>
  <c r="R9" i="5" s="1"/>
  <c r="S9" i="5" s="1"/>
  <c r="J8" i="5"/>
  <c r="K8" i="5" s="1"/>
  <c r="O8" i="5" s="1"/>
  <c r="P8" i="5" s="1"/>
  <c r="Q8" i="5" s="1"/>
  <c r="R8" i="5" s="1"/>
  <c r="S8" i="5" s="1"/>
  <c r="K7" i="5"/>
  <c r="O7" i="5" s="1"/>
  <c r="P7" i="5" s="1"/>
  <c r="Q7" i="5" s="1"/>
  <c r="R7" i="5" s="1"/>
  <c r="S7" i="5" s="1"/>
  <c r="J7" i="5"/>
  <c r="O6" i="5"/>
  <c r="P6" i="5" s="1"/>
  <c r="Q6" i="5" s="1"/>
  <c r="R6" i="5" s="1"/>
  <c r="S6" i="5" s="1"/>
  <c r="J6" i="5"/>
  <c r="K6" i="5" s="1"/>
  <c r="J5" i="5"/>
  <c r="K5" i="5" s="1"/>
  <c r="O5" i="5" s="1"/>
  <c r="P5" i="5" s="1"/>
  <c r="Q5" i="5" s="1"/>
  <c r="R5" i="5" s="1"/>
  <c r="S5" i="5" s="1"/>
  <c r="H24" i="4"/>
  <c r="G24" i="4"/>
  <c r="H23" i="4"/>
  <c r="G23" i="4"/>
  <c r="H22" i="4"/>
  <c r="G22" i="4"/>
  <c r="E19" i="4"/>
  <c r="B19" i="4"/>
  <c r="A19" i="4"/>
  <c r="E18" i="4"/>
  <c r="B18" i="4"/>
  <c r="A18" i="4"/>
  <c r="E17" i="4"/>
  <c r="B17" i="4"/>
  <c r="A17" i="4"/>
  <c r="B16" i="4"/>
  <c r="A16" i="4"/>
  <c r="E16" i="4" s="1"/>
  <c r="B15" i="4"/>
  <c r="A15" i="4"/>
  <c r="E15" i="4" s="1"/>
  <c r="E14" i="4"/>
  <c r="B14" i="4"/>
  <c r="A14" i="4"/>
  <c r="B13" i="4"/>
  <c r="A13" i="4"/>
  <c r="E13" i="4" s="1"/>
  <c r="E12" i="4"/>
  <c r="B12" i="4"/>
  <c r="A12" i="4"/>
  <c r="B11" i="4"/>
  <c r="A11" i="4"/>
  <c r="E11" i="4" s="1"/>
  <c r="E10" i="4"/>
  <c r="B10" i="4"/>
  <c r="A10" i="4"/>
  <c r="B9" i="4"/>
  <c r="A9" i="4"/>
  <c r="E9" i="4" s="1"/>
  <c r="B8" i="4"/>
  <c r="A8" i="4"/>
  <c r="E8" i="4" s="1"/>
  <c r="E7" i="4"/>
  <c r="B7" i="4"/>
  <c r="A7" i="4"/>
  <c r="E6" i="4"/>
  <c r="B6" i="4"/>
  <c r="A6" i="4"/>
  <c r="E5" i="4"/>
  <c r="B5" i="4"/>
  <c r="A5" i="4"/>
  <c r="J22" i="3"/>
  <c r="J21" i="3"/>
  <c r="B24" i="5" s="1"/>
  <c r="B25" i="5" s="1"/>
  <c r="C25" i="5" s="1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54" i="2"/>
  <c r="D55" i="2" s="1"/>
  <c r="D59" i="2" s="1"/>
  <c r="C54" i="2"/>
  <c r="C55" i="2" s="1"/>
  <c r="D53" i="2"/>
  <c r="C53" i="2"/>
  <c r="B53" i="2"/>
  <c r="B54" i="2" s="1"/>
  <c r="B55" i="2" s="1"/>
  <c r="B16" i="2"/>
  <c r="B9" i="2"/>
  <c r="B10" i="2" s="1"/>
  <c r="K9" i="21" l="1"/>
  <c r="E29" i="21"/>
  <c r="E59" i="21"/>
  <c r="K10" i="21"/>
  <c r="E25" i="21"/>
  <c r="M5" i="21"/>
  <c r="M6" i="21" s="1"/>
  <c r="M7" i="21" s="1"/>
  <c r="K3" i="21"/>
  <c r="E33" i="21"/>
  <c r="E46" i="20"/>
  <c r="E51" i="20"/>
  <c r="E66" i="20"/>
  <c r="K16" i="20"/>
  <c r="K21" i="20"/>
  <c r="E42" i="20"/>
  <c r="E33" i="20"/>
  <c r="K8" i="20"/>
  <c r="K4" i="20"/>
  <c r="K9" i="20"/>
  <c r="K14" i="20"/>
  <c r="E57" i="19"/>
  <c r="E122" i="19"/>
  <c r="E242" i="19"/>
  <c r="M5" i="19"/>
  <c r="M6" i="19" s="1"/>
  <c r="M7" i="19" s="1"/>
  <c r="E46" i="19"/>
  <c r="J46" i="19" s="1"/>
  <c r="E102" i="19"/>
  <c r="K7" i="19"/>
  <c r="E42" i="19"/>
  <c r="K12" i="19"/>
  <c r="E32" i="19"/>
  <c r="K13" i="19"/>
  <c r="E94" i="19"/>
  <c r="K21" i="18"/>
  <c r="K20" i="18"/>
  <c r="E44" i="18"/>
  <c r="E40" i="18"/>
  <c r="E36" i="18"/>
  <c r="E60" i="18"/>
  <c r="E28" i="18"/>
  <c r="E68" i="18"/>
  <c r="K16" i="18"/>
  <c r="E74" i="18"/>
  <c r="J74" i="18" s="1"/>
  <c r="K3" i="18"/>
  <c r="E249" i="18"/>
  <c r="E50" i="18"/>
  <c r="J50" i="18" s="1"/>
  <c r="E150" i="18"/>
  <c r="E46" i="18"/>
  <c r="K6" i="17"/>
  <c r="E77" i="17"/>
  <c r="K4" i="17"/>
  <c r="K8" i="16"/>
  <c r="K4" i="16"/>
  <c r="M4" i="16"/>
  <c r="E24" i="16" s="1"/>
  <c r="J24" i="16" s="1"/>
  <c r="K12" i="16"/>
  <c r="M5" i="15"/>
  <c r="M6" i="15" s="1"/>
  <c r="M7" i="15" s="1"/>
  <c r="K4" i="15"/>
  <c r="K6" i="15"/>
  <c r="K10" i="15"/>
  <c r="K13" i="15"/>
  <c r="E40" i="14"/>
  <c r="K8" i="14"/>
  <c r="K13" i="14"/>
  <c r="K9" i="14"/>
  <c r="K14" i="14"/>
  <c r="E31" i="14"/>
  <c r="M5" i="14"/>
  <c r="M6" i="14" s="1"/>
  <c r="M7" i="14" s="1"/>
  <c r="E22" i="14"/>
  <c r="J22" i="14" s="1"/>
  <c r="K3" i="14"/>
  <c r="E112" i="13"/>
  <c r="E117" i="13"/>
  <c r="E131" i="13"/>
  <c r="E136" i="13"/>
  <c r="E21" i="13"/>
  <c r="E60" i="13"/>
  <c r="E43" i="13"/>
  <c r="E107" i="13"/>
  <c r="E22" i="13"/>
  <c r="E33" i="13"/>
  <c r="E132" i="13"/>
  <c r="E217" i="13"/>
  <c r="E261" i="13"/>
  <c r="E103" i="13"/>
  <c r="E153" i="13"/>
  <c r="E224" i="13"/>
  <c r="E36" i="13"/>
  <c r="E9" i="13"/>
  <c r="E80" i="13"/>
  <c r="E121" i="13"/>
  <c r="E89" i="13"/>
  <c r="E206" i="13"/>
  <c r="E5" i="13"/>
  <c r="E19" i="13"/>
  <c r="J19" i="13" s="1"/>
  <c r="E94" i="13"/>
  <c r="E239" i="13"/>
  <c r="M5" i="13"/>
  <c r="M6" i="13" s="1"/>
  <c r="M7" i="13" s="1"/>
  <c r="E99" i="13"/>
  <c r="E10" i="13"/>
  <c r="E24" i="13"/>
  <c r="J24" i="13" s="1"/>
  <c r="E85" i="13"/>
  <c r="E122" i="13"/>
  <c r="E61" i="13"/>
  <c r="J61" i="13" s="1"/>
  <c r="E65" i="13"/>
  <c r="E70" i="13"/>
  <c r="E75" i="13"/>
  <c r="E127" i="13"/>
  <c r="E202" i="13"/>
  <c r="E3" i="13"/>
  <c r="J3" i="13" s="1"/>
  <c r="E30" i="13"/>
  <c r="E50" i="13"/>
  <c r="E145" i="13"/>
  <c r="E176" i="13"/>
  <c r="E182" i="13"/>
  <c r="M20" i="13"/>
  <c r="L11" i="3" s="1"/>
  <c r="E81" i="13"/>
  <c r="J81" i="13" s="1"/>
  <c r="E111" i="13"/>
  <c r="J111" i="13" s="1"/>
  <c r="E7" i="13"/>
  <c r="E12" i="13"/>
  <c r="J12" i="13" s="1"/>
  <c r="E40" i="13"/>
  <c r="E133" i="13"/>
  <c r="E137" i="13"/>
  <c r="E141" i="13"/>
  <c r="E167" i="13"/>
  <c r="J167" i="13" s="1"/>
  <c r="E193" i="13"/>
  <c r="J193" i="13" s="1"/>
  <c r="K8" i="13"/>
  <c r="K12" i="13"/>
  <c r="E17" i="13"/>
  <c r="E41" i="13"/>
  <c r="E116" i="13"/>
  <c r="E299" i="13"/>
  <c r="E27" i="13"/>
  <c r="E47" i="13"/>
  <c r="J47" i="13" s="1"/>
  <c r="E147" i="13"/>
  <c r="E290" i="13"/>
  <c r="K3" i="12"/>
  <c r="E38" i="12"/>
  <c r="K5" i="12"/>
  <c r="K10" i="12"/>
  <c r="K15" i="12"/>
  <c r="M5" i="11"/>
  <c r="K5" i="11"/>
  <c r="M4" i="10"/>
  <c r="E81" i="10" s="1"/>
  <c r="J81" i="10" s="1"/>
  <c r="K3" i="10"/>
  <c r="K8" i="10"/>
  <c r="K14" i="9"/>
  <c r="K13" i="9"/>
  <c r="K10" i="9"/>
  <c r="K9" i="9"/>
  <c r="K8" i="9"/>
  <c r="K6" i="9"/>
  <c r="K3" i="9"/>
  <c r="K4" i="9"/>
  <c r="M4" i="9"/>
  <c r="E177" i="9" s="1"/>
  <c r="J177" i="9" s="1"/>
  <c r="M5" i="9"/>
  <c r="M6" i="9" s="1"/>
  <c r="K17" i="8"/>
  <c r="K13" i="8"/>
  <c r="K11" i="8"/>
  <c r="K8" i="8"/>
  <c r="K7" i="8"/>
  <c r="K6" i="8"/>
  <c r="M5" i="8"/>
  <c r="M6" i="8" s="1"/>
  <c r="M7" i="8" s="1"/>
  <c r="D9" i="7"/>
  <c r="D15" i="7"/>
  <c r="D13" i="7"/>
  <c r="D19" i="7"/>
  <c r="D18" i="7"/>
  <c r="D10" i="7"/>
  <c r="D8" i="7"/>
  <c r="D14" i="7"/>
  <c r="D12" i="7"/>
  <c r="D11" i="7"/>
  <c r="D17" i="7"/>
  <c r="D16" i="7"/>
  <c r="K22" i="7"/>
  <c r="K21" i="7"/>
  <c r="K20" i="7"/>
  <c r="K19" i="7"/>
  <c r="K18" i="7"/>
  <c r="K15" i="7"/>
  <c r="K14" i="7"/>
  <c r="K11" i="7"/>
  <c r="K10" i="7"/>
  <c r="K9" i="7"/>
  <c r="D6" i="7"/>
  <c r="D2" i="7"/>
  <c r="K7" i="7"/>
  <c r="D7" i="7"/>
  <c r="D3" i="7"/>
  <c r="D4" i="7"/>
  <c r="D5" i="7"/>
  <c r="K6" i="7"/>
  <c r="K3" i="7"/>
  <c r="K2" i="7"/>
  <c r="E20" i="7"/>
  <c r="J20" i="7" s="1"/>
  <c r="E67" i="7"/>
  <c r="J67" i="7" s="1"/>
  <c r="E43" i="7"/>
  <c r="J43" i="7" s="1"/>
  <c r="E135" i="7"/>
  <c r="J135" i="7" s="1"/>
  <c r="E27" i="7"/>
  <c r="J27" i="7" s="1"/>
  <c r="E222" i="7"/>
  <c r="J222" i="7" s="1"/>
  <c r="E240" i="7"/>
  <c r="J240" i="7" s="1"/>
  <c r="E292" i="7"/>
  <c r="J292" i="7" s="1"/>
  <c r="E103" i="7"/>
  <c r="J103" i="7" s="1"/>
  <c r="E55" i="7"/>
  <c r="J55" i="7" s="1"/>
  <c r="E87" i="7"/>
  <c r="J87" i="7" s="1"/>
  <c r="E93" i="7"/>
  <c r="J93" i="7" s="1"/>
  <c r="E131" i="7"/>
  <c r="J131" i="7" s="1"/>
  <c r="E270" i="7"/>
  <c r="J270" i="7" s="1"/>
  <c r="E288" i="7"/>
  <c r="J288" i="7" s="1"/>
  <c r="E39" i="7"/>
  <c r="J39" i="7" s="1"/>
  <c r="E115" i="7"/>
  <c r="J115" i="7" s="1"/>
  <c r="E143" i="7"/>
  <c r="J143" i="7" s="1"/>
  <c r="E83" i="7"/>
  <c r="J83" i="7" s="1"/>
  <c r="E99" i="7"/>
  <c r="J99" i="7" s="1"/>
  <c r="E138" i="7"/>
  <c r="J138" i="7" s="1"/>
  <c r="E242" i="7"/>
  <c r="J242" i="7" s="1"/>
  <c r="E35" i="7"/>
  <c r="J35" i="7" s="1"/>
  <c r="E156" i="7"/>
  <c r="J156" i="7" s="1"/>
  <c r="E266" i="7"/>
  <c r="J266" i="7" s="1"/>
  <c r="E63" i="7"/>
  <c r="J63" i="7" s="1"/>
  <c r="E95" i="7"/>
  <c r="J95" i="7" s="1"/>
  <c r="E168" i="7"/>
  <c r="J168" i="7" s="1"/>
  <c r="E214" i="7"/>
  <c r="J214" i="7" s="1"/>
  <c r="E47" i="7"/>
  <c r="J47" i="7" s="1"/>
  <c r="E220" i="7"/>
  <c r="J220" i="7" s="1"/>
  <c r="E238" i="7"/>
  <c r="J238" i="7" s="1"/>
  <c r="E31" i="7"/>
  <c r="J31" i="7" s="1"/>
  <c r="E140" i="7"/>
  <c r="J140" i="7" s="1"/>
  <c r="E192" i="7"/>
  <c r="J192" i="7" s="1"/>
  <c r="E244" i="7"/>
  <c r="J244" i="7" s="1"/>
  <c r="E113" i="7"/>
  <c r="J113" i="7" s="1"/>
  <c r="E204" i="7"/>
  <c r="J204" i="7" s="1"/>
  <c r="E268" i="7"/>
  <c r="J268" i="7" s="1"/>
  <c r="E286" i="7"/>
  <c r="J286" i="7" s="1"/>
  <c r="E154" i="7"/>
  <c r="J154" i="7" s="1"/>
  <c r="E49" i="7"/>
  <c r="J49" i="7" s="1"/>
  <c r="E73" i="7"/>
  <c r="J73" i="7" s="1"/>
  <c r="E109" i="7"/>
  <c r="J109" i="7" s="1"/>
  <c r="E129" i="7"/>
  <c r="J129" i="7" s="1"/>
  <c r="E176" i="7"/>
  <c r="J176" i="7" s="1"/>
  <c r="E21" i="7"/>
  <c r="J21" i="7" s="1"/>
  <c r="E26" i="7"/>
  <c r="J26" i="7" s="1"/>
  <c r="E40" i="7"/>
  <c r="J40" i="7" s="1"/>
  <c r="E45" i="7"/>
  <c r="J45" i="7" s="1"/>
  <c r="E54" i="7"/>
  <c r="J54" i="7" s="1"/>
  <c r="E94" i="7"/>
  <c r="J94" i="7" s="1"/>
  <c r="E134" i="7"/>
  <c r="J134" i="7" s="1"/>
  <c r="E182" i="7"/>
  <c r="J182" i="7" s="1"/>
  <c r="E230" i="7"/>
  <c r="J230" i="7" s="1"/>
  <c r="E262" i="7"/>
  <c r="J262" i="7" s="1"/>
  <c r="E278" i="7"/>
  <c r="J278" i="7" s="1"/>
  <c r="E59" i="7"/>
  <c r="J59" i="7" s="1"/>
  <c r="E74" i="7"/>
  <c r="J74" i="7" s="1"/>
  <c r="E79" i="7"/>
  <c r="J79" i="7" s="1"/>
  <c r="E89" i="7"/>
  <c r="J89" i="7" s="1"/>
  <c r="E119" i="7"/>
  <c r="J119" i="7" s="1"/>
  <c r="E125" i="7"/>
  <c r="J125" i="7" s="1"/>
  <c r="E166" i="7"/>
  <c r="J166" i="7" s="1"/>
  <c r="E188" i="7"/>
  <c r="J188" i="7" s="1"/>
  <c r="E110" i="7"/>
  <c r="J110" i="7" s="1"/>
  <c r="E294" i="7"/>
  <c r="J294" i="7" s="1"/>
  <c r="E25" i="7"/>
  <c r="J25" i="7" s="1"/>
  <c r="E58" i="7"/>
  <c r="J58" i="7" s="1"/>
  <c r="E118" i="7"/>
  <c r="J118" i="7" s="1"/>
  <c r="E32" i="7"/>
  <c r="J32" i="7" s="1"/>
  <c r="E41" i="7"/>
  <c r="J41" i="7" s="1"/>
  <c r="E46" i="7"/>
  <c r="J46" i="7" s="1"/>
  <c r="E60" i="7"/>
  <c r="J60" i="7" s="1"/>
  <c r="E65" i="7"/>
  <c r="J65" i="7" s="1"/>
  <c r="E90" i="7"/>
  <c r="J90" i="7" s="1"/>
  <c r="E105" i="7"/>
  <c r="J105" i="7" s="1"/>
  <c r="E172" i="7"/>
  <c r="J172" i="7" s="1"/>
  <c r="E70" i="7"/>
  <c r="J70" i="7" s="1"/>
  <c r="E126" i="7"/>
  <c r="J126" i="7" s="1"/>
  <c r="E216" i="7"/>
  <c r="J216" i="7" s="1"/>
  <c r="E226" i="7"/>
  <c r="J226" i="7" s="1"/>
  <c r="E274" i="7"/>
  <c r="J274" i="7" s="1"/>
  <c r="E23" i="7"/>
  <c r="J23" i="7" s="1"/>
  <c r="E28" i="7"/>
  <c r="J28" i="7" s="1"/>
  <c r="E42" i="7"/>
  <c r="J42" i="7" s="1"/>
  <c r="E51" i="7"/>
  <c r="J51" i="7" s="1"/>
  <c r="E56" i="7"/>
  <c r="J56" i="7" s="1"/>
  <c r="E61" i="7"/>
  <c r="J61" i="7" s="1"/>
  <c r="E81" i="7"/>
  <c r="J81" i="7" s="1"/>
  <c r="E106" i="7"/>
  <c r="J106" i="7" s="1"/>
  <c r="E111" i="7"/>
  <c r="J111" i="7" s="1"/>
  <c r="E121" i="7"/>
  <c r="J121" i="7" s="1"/>
  <c r="E141" i="7"/>
  <c r="J141" i="7" s="1"/>
  <c r="E184" i="7"/>
  <c r="J184" i="7" s="1"/>
  <c r="E206" i="7"/>
  <c r="J206" i="7" s="1"/>
  <c r="E30" i="7"/>
  <c r="J30" i="7" s="1"/>
  <c r="E44" i="7"/>
  <c r="J44" i="7" s="1"/>
  <c r="E33" i="7"/>
  <c r="J33" i="7" s="1"/>
  <c r="E86" i="7"/>
  <c r="J86" i="7" s="1"/>
  <c r="E146" i="7"/>
  <c r="J146" i="7" s="1"/>
  <c r="E78" i="7"/>
  <c r="J78" i="7" s="1"/>
  <c r="E170" i="7"/>
  <c r="J170" i="7" s="1"/>
  <c r="E29" i="7"/>
  <c r="J29" i="7" s="1"/>
  <c r="E38" i="7"/>
  <c r="J38" i="7" s="1"/>
  <c r="E71" i="7"/>
  <c r="J71" i="7" s="1"/>
  <c r="E77" i="7"/>
  <c r="J77" i="7" s="1"/>
  <c r="E97" i="7"/>
  <c r="J97" i="7" s="1"/>
  <c r="E122" i="7"/>
  <c r="J122" i="7" s="1"/>
  <c r="E127" i="7"/>
  <c r="J127" i="7" s="1"/>
  <c r="E202" i="7"/>
  <c r="J202" i="7" s="1"/>
  <c r="E248" i="7"/>
  <c r="J248" i="7" s="1"/>
  <c r="E48" i="7"/>
  <c r="J48" i="7" s="1"/>
  <c r="E57" i="7"/>
  <c r="J57" i="7" s="1"/>
  <c r="E62" i="7"/>
  <c r="J62" i="7" s="1"/>
  <c r="E102" i="7"/>
  <c r="J102" i="7" s="1"/>
  <c r="E158" i="7"/>
  <c r="J158" i="7" s="1"/>
  <c r="E234" i="7"/>
  <c r="J234" i="7" s="1"/>
  <c r="E282" i="7"/>
  <c r="J282" i="7" s="1"/>
  <c r="B59" i="2"/>
  <c r="B61" i="2"/>
  <c r="B56" i="2"/>
  <c r="B57" i="2" s="1"/>
  <c r="B58" i="2" s="1"/>
  <c r="B62" i="2" s="1"/>
  <c r="B60" i="2"/>
  <c r="J246" i="7"/>
  <c r="C16" i="22"/>
  <c r="K16" i="22" s="1"/>
  <c r="C10" i="22"/>
  <c r="K10" i="22" s="1"/>
  <c r="C4" i="22"/>
  <c r="K4" i="22" s="1"/>
  <c r="C17" i="22"/>
  <c r="K17" i="22" s="1"/>
  <c r="C11" i="22"/>
  <c r="C5" i="22"/>
  <c r="C18" i="22"/>
  <c r="C12" i="22"/>
  <c r="C6" i="22"/>
  <c r="K6" i="22" s="1"/>
  <c r="C19" i="22"/>
  <c r="K19" i="22" s="1"/>
  <c r="C13" i="22"/>
  <c r="K13" i="22" s="1"/>
  <c r="C7" i="22"/>
  <c r="K7" i="22" s="1"/>
  <c r="C2" i="22"/>
  <c r="K2" i="22" s="1"/>
  <c r="C21" i="22"/>
  <c r="K21" i="22" s="1"/>
  <c r="C8" i="22"/>
  <c r="C15" i="22"/>
  <c r="C20" i="22"/>
  <c r="C14" i="22"/>
  <c r="C3" i="22"/>
  <c r="C9" i="22"/>
  <c r="C61" i="2"/>
  <c r="C59" i="2"/>
  <c r="C60" i="2"/>
  <c r="C56" i="2"/>
  <c r="C57" i="2" s="1"/>
  <c r="C58" i="2" s="1"/>
  <c r="C62" i="2" s="1"/>
  <c r="E15" i="5"/>
  <c r="K8" i="7"/>
  <c r="K13" i="7"/>
  <c r="K162" i="7"/>
  <c r="K184" i="7"/>
  <c r="K210" i="7"/>
  <c r="K263" i="7"/>
  <c r="K262" i="7"/>
  <c r="K279" i="7"/>
  <c r="K278" i="7"/>
  <c r="K283" i="7"/>
  <c r="K282" i="7"/>
  <c r="D61" i="2"/>
  <c r="E148" i="7"/>
  <c r="E152" i="7"/>
  <c r="E178" i="7"/>
  <c r="E196" i="7"/>
  <c r="E200" i="7"/>
  <c r="K215" i="7"/>
  <c r="K214" i="7"/>
  <c r="E218" i="7"/>
  <c r="E264" i="7"/>
  <c r="K287" i="7"/>
  <c r="K286" i="7"/>
  <c r="E290" i="7"/>
  <c r="D60" i="2"/>
  <c r="K164" i="7"/>
  <c r="K212" i="7"/>
  <c r="K231" i="7"/>
  <c r="K230" i="7"/>
  <c r="K284" i="7"/>
  <c r="K71" i="9"/>
  <c r="K72" i="9"/>
  <c r="D17" i="22"/>
  <c r="D11" i="22"/>
  <c r="D18" i="22"/>
  <c r="D19" i="22"/>
  <c r="D13" i="22"/>
  <c r="D7" i="22"/>
  <c r="D21" i="22"/>
  <c r="D8" i="22"/>
  <c r="D15" i="22"/>
  <c r="D6" i="22"/>
  <c r="D4" i="22"/>
  <c r="D20" i="22"/>
  <c r="D10" i="22"/>
  <c r="D12" i="22"/>
  <c r="D14" i="22"/>
  <c r="D3" i="22"/>
  <c r="D9" i="22"/>
  <c r="D5" i="22"/>
  <c r="D16" i="22"/>
  <c r="D2" i="22"/>
  <c r="E36" i="7"/>
  <c r="E52" i="7"/>
  <c r="E68" i="7"/>
  <c r="E160" i="7"/>
  <c r="E164" i="7"/>
  <c r="E190" i="7"/>
  <c r="E208" i="7"/>
  <c r="K235" i="7"/>
  <c r="K234" i="7"/>
  <c r="E272" i="7"/>
  <c r="K19" i="8"/>
  <c r="K18" i="8"/>
  <c r="K111" i="9"/>
  <c r="K112" i="9"/>
  <c r="D56" i="2"/>
  <c r="D57" i="2" s="1"/>
  <c r="D58" i="2" s="1"/>
  <c r="D62" i="2" s="1"/>
  <c r="K239" i="7"/>
  <c r="K238" i="7"/>
  <c r="K24" i="7"/>
  <c r="E75" i="7"/>
  <c r="E91" i="7"/>
  <c r="E107" i="7"/>
  <c r="E123" i="7"/>
  <c r="K150" i="7"/>
  <c r="K176" i="7"/>
  <c r="E194" i="7"/>
  <c r="K198" i="7"/>
  <c r="E250" i="7"/>
  <c r="E254" i="7"/>
  <c r="E258" i="7"/>
  <c r="K232" i="7"/>
  <c r="K300" i="7"/>
  <c r="K228" i="7"/>
  <c r="K236" i="7"/>
  <c r="K255" i="7"/>
  <c r="K254" i="7"/>
  <c r="E147" i="7"/>
  <c r="E144" i="7"/>
  <c r="E22" i="7"/>
  <c r="E284" i="7"/>
  <c r="E260" i="7"/>
  <c r="E236" i="7"/>
  <c r="E212" i="7"/>
  <c r="E210" i="7"/>
  <c r="E198" i="7"/>
  <c r="E186" i="7"/>
  <c r="E174" i="7"/>
  <c r="E162" i="7"/>
  <c r="E150" i="7"/>
  <c r="E142" i="7"/>
  <c r="E139" i="7"/>
  <c r="E136" i="7"/>
  <c r="E132" i="7"/>
  <c r="E128" i="7"/>
  <c r="E124" i="7"/>
  <c r="E120" i="7"/>
  <c r="E116" i="7"/>
  <c r="E112" i="7"/>
  <c r="E108" i="7"/>
  <c r="E104" i="7"/>
  <c r="E100" i="7"/>
  <c r="E96" i="7"/>
  <c r="E92" i="7"/>
  <c r="E88" i="7"/>
  <c r="E84" i="7"/>
  <c r="E80" i="7"/>
  <c r="E76" i="7"/>
  <c r="E72" i="7"/>
  <c r="E64" i="7"/>
  <c r="E280" i="7"/>
  <c r="E256" i="7"/>
  <c r="E232" i="7"/>
  <c r="E24" i="7"/>
  <c r="E300" i="7"/>
  <c r="E298" i="7"/>
  <c r="E276" i="7"/>
  <c r="E252" i="7"/>
  <c r="E228" i="7"/>
  <c r="E34" i="7"/>
  <c r="E37" i="7"/>
  <c r="E50" i="7"/>
  <c r="E53" i="7"/>
  <c r="E66" i="7"/>
  <c r="E69" i="7"/>
  <c r="E82" i="7"/>
  <c r="E85" i="7"/>
  <c r="E98" i="7"/>
  <c r="E101" i="7"/>
  <c r="E114" i="7"/>
  <c r="E117" i="7"/>
  <c r="E130" i="7"/>
  <c r="E133" i="7"/>
  <c r="E180" i="7"/>
  <c r="E224" i="7"/>
  <c r="K259" i="7"/>
  <c r="K258" i="7"/>
  <c r="E296" i="7"/>
  <c r="K12" i="8"/>
  <c r="E149" i="7"/>
  <c r="E161" i="7"/>
  <c r="E173" i="7"/>
  <c r="E185" i="7"/>
  <c r="E197" i="7"/>
  <c r="E209" i="7"/>
  <c r="E229" i="7"/>
  <c r="E231" i="7"/>
  <c r="E253" i="7"/>
  <c r="E255" i="7"/>
  <c r="E277" i="7"/>
  <c r="E279" i="7"/>
  <c r="E301" i="7"/>
  <c r="K15" i="8"/>
  <c r="K16" i="8"/>
  <c r="K120" i="9"/>
  <c r="K119" i="9"/>
  <c r="K28" i="7"/>
  <c r="K32" i="7"/>
  <c r="K36" i="7"/>
  <c r="K40" i="7"/>
  <c r="K44" i="7"/>
  <c r="K48" i="7"/>
  <c r="K52" i="7"/>
  <c r="K56" i="7"/>
  <c r="K60" i="7"/>
  <c r="K64" i="7"/>
  <c r="K68" i="7"/>
  <c r="K72" i="7"/>
  <c r="K76" i="7"/>
  <c r="K80" i="7"/>
  <c r="K84" i="7"/>
  <c r="K88" i="7"/>
  <c r="K92" i="7"/>
  <c r="K96" i="7"/>
  <c r="K100" i="7"/>
  <c r="K104" i="7"/>
  <c r="K108" i="7"/>
  <c r="K112" i="7"/>
  <c r="K116" i="7"/>
  <c r="K120" i="7"/>
  <c r="K124" i="7"/>
  <c r="K128" i="7"/>
  <c r="K132" i="7"/>
  <c r="K136" i="7"/>
  <c r="E151" i="7"/>
  <c r="E163" i="7"/>
  <c r="E175" i="7"/>
  <c r="E187" i="7"/>
  <c r="E199" i="7"/>
  <c r="E211" i="7"/>
  <c r="E233" i="7"/>
  <c r="E235" i="7"/>
  <c r="E257" i="7"/>
  <c r="E259" i="7"/>
  <c r="E281" i="7"/>
  <c r="E283" i="7"/>
  <c r="M4" i="8"/>
  <c r="E43" i="8" s="1"/>
  <c r="E137" i="7"/>
  <c r="E153" i="7"/>
  <c r="E165" i="7"/>
  <c r="E177" i="7"/>
  <c r="E189" i="7"/>
  <c r="E201" i="7"/>
  <c r="E213" i="7"/>
  <c r="E215" i="7"/>
  <c r="E237" i="7"/>
  <c r="E239" i="7"/>
  <c r="E261" i="7"/>
  <c r="E263" i="7"/>
  <c r="E285" i="7"/>
  <c r="E287" i="7"/>
  <c r="K9" i="8"/>
  <c r="K10" i="8"/>
  <c r="K63" i="9"/>
  <c r="K64" i="9"/>
  <c r="K155" i="7"/>
  <c r="K167" i="7"/>
  <c r="K179" i="7"/>
  <c r="K191" i="7"/>
  <c r="K203" i="7"/>
  <c r="K217" i="7"/>
  <c r="K219" i="7"/>
  <c r="K241" i="7"/>
  <c r="K243" i="7"/>
  <c r="K265" i="7"/>
  <c r="K267" i="7"/>
  <c r="K289" i="7"/>
  <c r="K291" i="7"/>
  <c r="K139" i="7"/>
  <c r="E145" i="7"/>
  <c r="E155" i="7"/>
  <c r="E167" i="7"/>
  <c r="E179" i="7"/>
  <c r="E191" i="7"/>
  <c r="E203" i="7"/>
  <c r="E217" i="7"/>
  <c r="E219" i="7"/>
  <c r="E241" i="7"/>
  <c r="E243" i="7"/>
  <c r="E265" i="7"/>
  <c r="E267" i="7"/>
  <c r="E289" i="7"/>
  <c r="E291" i="7"/>
  <c r="K221" i="7"/>
  <c r="K223" i="7"/>
  <c r="K245" i="7"/>
  <c r="K247" i="7"/>
  <c r="K269" i="7"/>
  <c r="K271" i="7"/>
  <c r="K293" i="7"/>
  <c r="K295" i="7"/>
  <c r="K21" i="8"/>
  <c r="K22" i="8"/>
  <c r="K26" i="8"/>
  <c r="K147" i="7"/>
  <c r="E157" i="7"/>
  <c r="E169" i="7"/>
  <c r="E181" i="7"/>
  <c r="E193" i="7"/>
  <c r="E205" i="7"/>
  <c r="E221" i="7"/>
  <c r="E223" i="7"/>
  <c r="E245" i="7"/>
  <c r="E247" i="7"/>
  <c r="E269" i="7"/>
  <c r="E271" i="7"/>
  <c r="E293" i="7"/>
  <c r="E295" i="7"/>
  <c r="K3" i="8"/>
  <c r="K4" i="8"/>
  <c r="K31" i="9"/>
  <c r="K32" i="9"/>
  <c r="K55" i="9"/>
  <c r="K56" i="9"/>
  <c r="K272" i="9"/>
  <c r="K271" i="9"/>
  <c r="K159" i="7"/>
  <c r="K171" i="7"/>
  <c r="K183" i="7"/>
  <c r="K195" i="7"/>
  <c r="K207" i="7"/>
  <c r="K225" i="7"/>
  <c r="K227" i="7"/>
  <c r="K249" i="7"/>
  <c r="K251" i="7"/>
  <c r="K273" i="7"/>
  <c r="K275" i="7"/>
  <c r="K297" i="7"/>
  <c r="K299" i="7"/>
  <c r="K116" i="8"/>
  <c r="K128" i="8"/>
  <c r="K140" i="8"/>
  <c r="K152" i="8"/>
  <c r="K164" i="8"/>
  <c r="K176" i="8"/>
  <c r="K188" i="8"/>
  <c r="K200" i="8"/>
  <c r="K212" i="8"/>
  <c r="K224" i="8"/>
  <c r="K236" i="8"/>
  <c r="K248" i="8"/>
  <c r="K260" i="8"/>
  <c r="K272" i="8"/>
  <c r="K284" i="8"/>
  <c r="K296" i="8"/>
  <c r="E159" i="7"/>
  <c r="E171" i="7"/>
  <c r="E183" i="7"/>
  <c r="E195" i="7"/>
  <c r="E207" i="7"/>
  <c r="E225" i="7"/>
  <c r="E227" i="7"/>
  <c r="E249" i="7"/>
  <c r="E251" i="7"/>
  <c r="E273" i="7"/>
  <c r="E275" i="7"/>
  <c r="E297" i="7"/>
  <c r="E299" i="7"/>
  <c r="K79" i="9"/>
  <c r="K80" i="9"/>
  <c r="K69" i="9"/>
  <c r="K117" i="9"/>
  <c r="K11" i="9"/>
  <c r="K61" i="9"/>
  <c r="K109" i="9"/>
  <c r="K141" i="10"/>
  <c r="K140" i="10"/>
  <c r="K215" i="10"/>
  <c r="K214" i="10"/>
  <c r="K123" i="10"/>
  <c r="K122" i="10"/>
  <c r="K36" i="9"/>
  <c r="K65" i="9"/>
  <c r="K84" i="9"/>
  <c r="E110" i="9"/>
  <c r="K113" i="9"/>
  <c r="K183" i="10"/>
  <c r="K182" i="10"/>
  <c r="K23" i="9"/>
  <c r="K37" i="9"/>
  <c r="K85" i="9"/>
  <c r="K104" i="9"/>
  <c r="K28" i="9"/>
  <c r="K57" i="9"/>
  <c r="K76" i="9"/>
  <c r="K105" i="9"/>
  <c r="K284" i="9"/>
  <c r="K283" i="9"/>
  <c r="K5" i="9"/>
  <c r="K7" i="9"/>
  <c r="K29" i="9"/>
  <c r="K77" i="9"/>
  <c r="K276" i="9"/>
  <c r="K275" i="9"/>
  <c r="K300" i="9"/>
  <c r="K32" i="10"/>
  <c r="K48" i="10"/>
  <c r="K64" i="10"/>
  <c r="K80" i="10"/>
  <c r="K96" i="10"/>
  <c r="K261" i="10"/>
  <c r="K260" i="10"/>
  <c r="K279" i="10"/>
  <c r="K278" i="10"/>
  <c r="E102" i="12"/>
  <c r="K292" i="9"/>
  <c r="K165" i="10"/>
  <c r="K164" i="10"/>
  <c r="K197" i="10"/>
  <c r="K196" i="10"/>
  <c r="K229" i="10"/>
  <c r="K228" i="10"/>
  <c r="K247" i="10"/>
  <c r="K246" i="10"/>
  <c r="K131" i="10"/>
  <c r="K130" i="10"/>
  <c r="E284" i="12"/>
  <c r="E296" i="12"/>
  <c r="E279" i="12"/>
  <c r="E268" i="12"/>
  <c r="E288" i="12"/>
  <c r="E292" i="12"/>
  <c r="E275" i="12"/>
  <c r="E263" i="12"/>
  <c r="E259" i="12"/>
  <c r="E293" i="12"/>
  <c r="E255" i="12"/>
  <c r="E239" i="12"/>
  <c r="E223" i="12"/>
  <c r="E207" i="12"/>
  <c r="E191" i="12"/>
  <c r="E175" i="12"/>
  <c r="E159" i="12"/>
  <c r="E283" i="12"/>
  <c r="E276" i="12"/>
  <c r="E246" i="12"/>
  <c r="E230" i="12"/>
  <c r="E214" i="12"/>
  <c r="E198" i="12"/>
  <c r="E182" i="12"/>
  <c r="E166" i="12"/>
  <c r="E150" i="12"/>
  <c r="E144" i="12"/>
  <c r="E140" i="12"/>
  <c r="E136" i="12"/>
  <c r="E132" i="12"/>
  <c r="E128" i="12"/>
  <c r="E124" i="12"/>
  <c r="E120" i="12"/>
  <c r="E116" i="12"/>
  <c r="E112" i="12"/>
  <c r="E108" i="12"/>
  <c r="E104" i="12"/>
  <c r="E100" i="12"/>
  <c r="E96" i="12"/>
  <c r="E92" i="12"/>
  <c r="E88" i="12"/>
  <c r="E84" i="12"/>
  <c r="E80" i="12"/>
  <c r="E76" i="12"/>
  <c r="E72" i="12"/>
  <c r="E68" i="12"/>
  <c r="E64" i="12"/>
  <c r="E60" i="12"/>
  <c r="E56" i="12"/>
  <c r="E52" i="12"/>
  <c r="E48" i="12"/>
  <c r="E269" i="12"/>
  <c r="E300" i="12"/>
  <c r="E251" i="12"/>
  <c r="E235" i="12"/>
  <c r="E219" i="12"/>
  <c r="E203" i="12"/>
  <c r="E187" i="12"/>
  <c r="E171" i="12"/>
  <c r="E155" i="12"/>
  <c r="E24" i="12"/>
  <c r="E280" i="12"/>
  <c r="E297" i="12"/>
  <c r="E273" i="12"/>
  <c r="E262" i="12"/>
  <c r="E258" i="12"/>
  <c r="E256" i="12"/>
  <c r="E240" i="12"/>
  <c r="E224" i="12"/>
  <c r="E208" i="12"/>
  <c r="E192" i="12"/>
  <c r="E176" i="12"/>
  <c r="E160" i="12"/>
  <c r="E247" i="12"/>
  <c r="E231" i="12"/>
  <c r="E215" i="12"/>
  <c r="E199" i="12"/>
  <c r="E183" i="12"/>
  <c r="E167" i="12"/>
  <c r="E151" i="12"/>
  <c r="E289" i="12"/>
  <c r="E243" i="12"/>
  <c r="E227" i="12"/>
  <c r="E211" i="12"/>
  <c r="E195" i="12"/>
  <c r="E179" i="12"/>
  <c r="E163" i="12"/>
  <c r="E250" i="12"/>
  <c r="E234" i="12"/>
  <c r="E218" i="12"/>
  <c r="E202" i="12"/>
  <c r="E186" i="12"/>
  <c r="E291" i="12"/>
  <c r="E272" i="12"/>
  <c r="E248" i="12"/>
  <c r="E232" i="12"/>
  <c r="E216" i="12"/>
  <c r="E200" i="12"/>
  <c r="E184" i="12"/>
  <c r="E168" i="12"/>
  <c r="E152" i="12"/>
  <c r="E22" i="12"/>
  <c r="E252" i="12"/>
  <c r="E190" i="12"/>
  <c r="E158" i="12"/>
  <c r="E142" i="12"/>
  <c r="E111" i="12"/>
  <c r="E94" i="12"/>
  <c r="E63" i="12"/>
  <c r="E46" i="12"/>
  <c r="E36" i="12"/>
  <c r="E31" i="12"/>
  <c r="E21" i="12"/>
  <c r="E236" i="12"/>
  <c r="E172" i="12"/>
  <c r="E139" i="12"/>
  <c r="E91" i="12"/>
  <c r="E119" i="12"/>
  <c r="E71" i="12"/>
  <c r="E28" i="12"/>
  <c r="E127" i="12"/>
  <c r="E110" i="12"/>
  <c r="E79" i="12"/>
  <c r="E62" i="12"/>
  <c r="E30" i="12"/>
  <c r="E254" i="12"/>
  <c r="E204" i="12"/>
  <c r="E107" i="12"/>
  <c r="E59" i="12"/>
  <c r="E40" i="12"/>
  <c r="E35" i="12"/>
  <c r="E135" i="12"/>
  <c r="E87" i="12"/>
  <c r="E188" i="12"/>
  <c r="E156" i="12"/>
  <c r="E115" i="12"/>
  <c r="E67" i="12"/>
  <c r="E32" i="12"/>
  <c r="E27" i="12"/>
  <c r="E170" i="12"/>
  <c r="E123" i="12"/>
  <c r="E75" i="12"/>
  <c r="E131" i="12"/>
  <c r="E83" i="12"/>
  <c r="E277" i="12"/>
  <c r="E220" i="12"/>
  <c r="E82" i="12"/>
  <c r="E55" i="12"/>
  <c r="E206" i="12"/>
  <c r="E147" i="12"/>
  <c r="E51" i="12"/>
  <c r="E44" i="12"/>
  <c r="E143" i="12"/>
  <c r="E78" i="12"/>
  <c r="E47" i="12"/>
  <c r="E43" i="12"/>
  <c r="E134" i="12"/>
  <c r="E222" i="12"/>
  <c r="E154" i="12"/>
  <c r="E130" i="12"/>
  <c r="E103" i="12"/>
  <c r="E39" i="12"/>
  <c r="E99" i="12"/>
  <c r="E86" i="12"/>
  <c r="K124" i="9"/>
  <c r="K128" i="9"/>
  <c r="K132" i="9"/>
  <c r="K136" i="9"/>
  <c r="K140" i="9"/>
  <c r="K144" i="9"/>
  <c r="K148" i="9"/>
  <c r="K152" i="9"/>
  <c r="K156" i="9"/>
  <c r="K160" i="9"/>
  <c r="K164" i="9"/>
  <c r="K168" i="9"/>
  <c r="K172" i="9"/>
  <c r="K176" i="9"/>
  <c r="K180" i="9"/>
  <c r="K184" i="9"/>
  <c r="K188" i="9"/>
  <c r="K192" i="9"/>
  <c r="K196" i="9"/>
  <c r="K200" i="9"/>
  <c r="K204" i="9"/>
  <c r="K208" i="9"/>
  <c r="K212" i="9"/>
  <c r="K216" i="9"/>
  <c r="K220" i="9"/>
  <c r="K224" i="9"/>
  <c r="K228" i="9"/>
  <c r="K232" i="9"/>
  <c r="K236" i="9"/>
  <c r="K240" i="9"/>
  <c r="K244" i="9"/>
  <c r="K248" i="9"/>
  <c r="K252" i="9"/>
  <c r="K256" i="9"/>
  <c r="K260" i="9"/>
  <c r="K264" i="9"/>
  <c r="K268" i="9"/>
  <c r="E270" i="9"/>
  <c r="K277" i="10"/>
  <c r="K276" i="10"/>
  <c r="K295" i="10"/>
  <c r="K294" i="10"/>
  <c r="E95" i="12"/>
  <c r="E120" i="9"/>
  <c r="E126" i="9"/>
  <c r="M6" i="11"/>
  <c r="M7" i="11" s="1"/>
  <c r="K296" i="9"/>
  <c r="E104" i="10"/>
  <c r="E184" i="10"/>
  <c r="K245" i="10"/>
  <c r="K244" i="10"/>
  <c r="K263" i="10"/>
  <c r="K262" i="10"/>
  <c r="E122" i="12"/>
  <c r="E126" i="12"/>
  <c r="K273" i="9"/>
  <c r="K288" i="9"/>
  <c r="E53" i="10"/>
  <c r="E85" i="10"/>
  <c r="E111" i="10"/>
  <c r="K125" i="10"/>
  <c r="K124" i="10"/>
  <c r="K181" i="10"/>
  <c r="K180" i="10"/>
  <c r="K213" i="10"/>
  <c r="K212" i="10"/>
  <c r="E118" i="12"/>
  <c r="K25" i="10"/>
  <c r="K24" i="10"/>
  <c r="K28" i="10"/>
  <c r="K44" i="10"/>
  <c r="K60" i="10"/>
  <c r="K76" i="10"/>
  <c r="K92" i="10"/>
  <c r="K108" i="10"/>
  <c r="K167" i="10"/>
  <c r="K166" i="10"/>
  <c r="K199" i="10"/>
  <c r="K198" i="10"/>
  <c r="K231" i="10"/>
  <c r="K230" i="10"/>
  <c r="K281" i="9"/>
  <c r="E294" i="9"/>
  <c r="K7" i="10"/>
  <c r="K13" i="10"/>
  <c r="K19" i="10"/>
  <c r="K22" i="10"/>
  <c r="E70" i="10"/>
  <c r="E108" i="10"/>
  <c r="K115" i="10"/>
  <c r="K114" i="10"/>
  <c r="K293" i="10"/>
  <c r="K292" i="10"/>
  <c r="E19" i="12"/>
  <c r="E42" i="12"/>
  <c r="E149" i="12"/>
  <c r="K133" i="10"/>
  <c r="K132" i="10"/>
  <c r="K12" i="11"/>
  <c r="J38" i="12"/>
  <c r="K18" i="11"/>
  <c r="K150" i="11"/>
  <c r="K149" i="11"/>
  <c r="E26" i="12"/>
  <c r="E34" i="12"/>
  <c r="E98" i="12"/>
  <c r="K153" i="11"/>
  <c r="K154" i="11"/>
  <c r="E106" i="12"/>
  <c r="E114" i="12"/>
  <c r="J75" i="13"/>
  <c r="M5" i="10"/>
  <c r="M6" i="10" s="1"/>
  <c r="K119" i="10"/>
  <c r="K11" i="11"/>
  <c r="E69" i="12"/>
  <c r="E181" i="12"/>
  <c r="J36" i="13"/>
  <c r="K158" i="11"/>
  <c r="K157" i="11"/>
  <c r="E61" i="12"/>
  <c r="E65" i="12"/>
  <c r="E138" i="12"/>
  <c r="E245" i="12"/>
  <c r="E50" i="12"/>
  <c r="E146" i="12"/>
  <c r="E228" i="12"/>
  <c r="J27" i="13"/>
  <c r="E155" i="10"/>
  <c r="E171" i="10"/>
  <c r="E203" i="10"/>
  <c r="E54" i="12"/>
  <c r="E70" i="12"/>
  <c r="E74" i="12"/>
  <c r="K24" i="11"/>
  <c r="K159" i="11"/>
  <c r="E58" i="12"/>
  <c r="E66" i="12"/>
  <c r="K128" i="10"/>
  <c r="K160" i="10"/>
  <c r="K176" i="10"/>
  <c r="K192" i="10"/>
  <c r="K208" i="10"/>
  <c r="K224" i="10"/>
  <c r="K240" i="10"/>
  <c r="K256" i="10"/>
  <c r="K272" i="10"/>
  <c r="K288" i="10"/>
  <c r="K31" i="11"/>
  <c r="K39" i="11"/>
  <c r="K47" i="11"/>
  <c r="K55" i="11"/>
  <c r="K63" i="11"/>
  <c r="K71" i="11"/>
  <c r="K79" i="11"/>
  <c r="K87" i="11"/>
  <c r="K95" i="11"/>
  <c r="K103" i="11"/>
  <c r="K111" i="11"/>
  <c r="K119" i="11"/>
  <c r="K127" i="11"/>
  <c r="K135" i="11"/>
  <c r="K143" i="11"/>
  <c r="K175" i="11"/>
  <c r="K148" i="10"/>
  <c r="E175" i="10"/>
  <c r="E207" i="10"/>
  <c r="E223" i="10"/>
  <c r="E239" i="10"/>
  <c r="K165" i="11"/>
  <c r="K166" i="11"/>
  <c r="E117" i="12"/>
  <c r="E174" i="12"/>
  <c r="E238" i="12"/>
  <c r="K17" i="11"/>
  <c r="E90" i="12"/>
  <c r="E109" i="12"/>
  <c r="E113" i="12"/>
  <c r="M4" i="11"/>
  <c r="E215" i="11" s="1"/>
  <c r="K162" i="11"/>
  <c r="E49" i="12"/>
  <c r="E97" i="12"/>
  <c r="E145" i="12"/>
  <c r="E148" i="12"/>
  <c r="E162" i="12"/>
  <c r="E180" i="12"/>
  <c r="E210" i="12"/>
  <c r="J10" i="13"/>
  <c r="J89" i="13"/>
  <c r="J137" i="13"/>
  <c r="J224" i="13"/>
  <c r="E29" i="12"/>
  <c r="E89" i="12"/>
  <c r="E137" i="12"/>
  <c r="E226" i="12"/>
  <c r="E266" i="12"/>
  <c r="E294" i="12"/>
  <c r="E299" i="12"/>
  <c r="J43" i="13"/>
  <c r="J85" i="13"/>
  <c r="E37" i="12"/>
  <c r="E81" i="12"/>
  <c r="E129" i="12"/>
  <c r="E196" i="12"/>
  <c r="E242" i="12"/>
  <c r="J99" i="13"/>
  <c r="K2" i="12"/>
  <c r="E53" i="12"/>
  <c r="E101" i="12"/>
  <c r="J153" i="13"/>
  <c r="J176" i="13"/>
  <c r="K26" i="14"/>
  <c r="K27" i="14"/>
  <c r="K167" i="11"/>
  <c r="K20" i="12"/>
  <c r="E45" i="12"/>
  <c r="E73" i="12"/>
  <c r="E121" i="12"/>
  <c r="E164" i="12"/>
  <c r="E178" i="12"/>
  <c r="E212" i="12"/>
  <c r="E20" i="12"/>
  <c r="E23" i="12"/>
  <c r="E25" i="12"/>
  <c r="E93" i="12"/>
  <c r="E141" i="12"/>
  <c r="E197" i="12"/>
  <c r="J202" i="13"/>
  <c r="K21" i="12"/>
  <c r="E33" i="12"/>
  <c r="E85" i="12"/>
  <c r="E133" i="12"/>
  <c r="E165" i="12"/>
  <c r="E213" i="12"/>
  <c r="J127" i="13"/>
  <c r="J299" i="13"/>
  <c r="K8" i="12"/>
  <c r="E57" i="12"/>
  <c r="E105" i="12"/>
  <c r="E194" i="12"/>
  <c r="E244" i="12"/>
  <c r="E260" i="12"/>
  <c r="E264" i="12"/>
  <c r="E287" i="12"/>
  <c r="J132" i="13"/>
  <c r="E41" i="12"/>
  <c r="E77" i="12"/>
  <c r="E125" i="12"/>
  <c r="E229" i="12"/>
  <c r="G301" i="13"/>
  <c r="J301" i="13"/>
  <c r="F301" i="13"/>
  <c r="E161" i="12"/>
  <c r="E177" i="12"/>
  <c r="E193" i="12"/>
  <c r="E209" i="12"/>
  <c r="E225" i="12"/>
  <c r="E241" i="12"/>
  <c r="E257" i="12"/>
  <c r="E261" i="12"/>
  <c r="E301" i="12"/>
  <c r="J5" i="13"/>
  <c r="K30" i="13"/>
  <c r="K50" i="13"/>
  <c r="K49" i="13"/>
  <c r="E55" i="13"/>
  <c r="E63" i="13"/>
  <c r="E68" i="13"/>
  <c r="K70" i="13"/>
  <c r="E73" i="13"/>
  <c r="K75" i="13"/>
  <c r="E83" i="13"/>
  <c r="E88" i="13"/>
  <c r="E93" i="13"/>
  <c r="K104" i="13"/>
  <c r="E119" i="13"/>
  <c r="K175" i="13"/>
  <c r="E192" i="13"/>
  <c r="K214" i="13"/>
  <c r="E276" i="13"/>
  <c r="E287" i="14"/>
  <c r="E283" i="14"/>
  <c r="E279" i="14"/>
  <c r="E275" i="14"/>
  <c r="E271" i="14"/>
  <c r="E267" i="14"/>
  <c r="E263" i="14"/>
  <c r="E259" i="14"/>
  <c r="E255" i="14"/>
  <c r="E251" i="14"/>
  <c r="E247" i="14"/>
  <c r="E243" i="14"/>
  <c r="E239" i="14"/>
  <c r="E235" i="14"/>
  <c r="E231" i="14"/>
  <c r="E227" i="14"/>
  <c r="E223" i="14"/>
  <c r="E219" i="14"/>
  <c r="E215" i="14"/>
  <c r="E211" i="14"/>
  <c r="E207" i="14"/>
  <c r="E300" i="14"/>
  <c r="E296" i="14"/>
  <c r="E292" i="14"/>
  <c r="E288" i="14"/>
  <c r="E290" i="14"/>
  <c r="E274" i="14"/>
  <c r="E258" i="14"/>
  <c r="E242" i="14"/>
  <c r="E226" i="14"/>
  <c r="E213" i="14"/>
  <c r="E208" i="14"/>
  <c r="E190" i="14"/>
  <c r="E161" i="14"/>
  <c r="E157" i="14"/>
  <c r="E153" i="14"/>
  <c r="E149" i="14"/>
  <c r="E145" i="14"/>
  <c r="E141" i="14"/>
  <c r="E137" i="14"/>
  <c r="E133" i="14"/>
  <c r="E129" i="14"/>
  <c r="E125" i="14"/>
  <c r="E121" i="14"/>
  <c r="E286" i="14"/>
  <c r="E270" i="14"/>
  <c r="E254" i="14"/>
  <c r="E238" i="14"/>
  <c r="E298" i="14"/>
  <c r="E221" i="14"/>
  <c r="E216" i="14"/>
  <c r="E198" i="14"/>
  <c r="E173" i="14"/>
  <c r="E168" i="14"/>
  <c r="E282" i="14"/>
  <c r="E266" i="14"/>
  <c r="E250" i="14"/>
  <c r="E234" i="14"/>
  <c r="E278" i="14"/>
  <c r="E262" i="14"/>
  <c r="E246" i="14"/>
  <c r="E230" i="14"/>
  <c r="E84" i="14"/>
  <c r="E52" i="14"/>
  <c r="E41" i="14"/>
  <c r="G40" i="14" s="1"/>
  <c r="E155" i="14"/>
  <c r="E143" i="14"/>
  <c r="E99" i="14"/>
  <c r="E75" i="14"/>
  <c r="E44" i="14"/>
  <c r="E20" i="14"/>
  <c r="E14" i="14"/>
  <c r="E2" i="14"/>
  <c r="E184" i="14"/>
  <c r="E177" i="14"/>
  <c r="E164" i="14"/>
  <c r="E152" i="14"/>
  <c r="E140" i="14"/>
  <c r="E132" i="14"/>
  <c r="E127" i="14"/>
  <c r="E120" i="14"/>
  <c r="E115" i="14"/>
  <c r="E108" i="14"/>
  <c r="E88" i="14"/>
  <c r="E222" i="14"/>
  <c r="E103" i="14"/>
  <c r="E79" i="14"/>
  <c r="E55" i="14"/>
  <c r="E36" i="14"/>
  <c r="E92" i="14"/>
  <c r="E68" i="14"/>
  <c r="E64" i="14"/>
  <c r="E163" i="14"/>
  <c r="E151" i="14"/>
  <c r="E139" i="14"/>
  <c r="E83" i="14"/>
  <c r="E166" i="14"/>
  <c r="E160" i="14"/>
  <c r="E148" i="14"/>
  <c r="E131" i="14"/>
  <c r="E124" i="14"/>
  <c r="E119" i="14"/>
  <c r="E112" i="14"/>
  <c r="E107" i="14"/>
  <c r="E96" i="14"/>
  <c r="E72" i="14"/>
  <c r="E60" i="14"/>
  <c r="E48" i="14"/>
  <c r="E214" i="14"/>
  <c r="E189" i="14"/>
  <c r="E136" i="14"/>
  <c r="E87" i="14"/>
  <c r="E100" i="14"/>
  <c r="E76" i="14"/>
  <c r="E56" i="14"/>
  <c r="E172" i="14"/>
  <c r="E159" i="14"/>
  <c r="E147" i="14"/>
  <c r="E91" i="14"/>
  <c r="E67" i="14"/>
  <c r="E294" i="14"/>
  <c r="E220" i="14"/>
  <c r="E202" i="14"/>
  <c r="E95" i="14"/>
  <c r="E29" i="14"/>
  <c r="E135" i="14"/>
  <c r="E144" i="14"/>
  <c r="E116" i="14"/>
  <c r="E111" i="14"/>
  <c r="E24" i="14"/>
  <c r="E21" i="14"/>
  <c r="E15" i="14"/>
  <c r="E9" i="14"/>
  <c r="E3" i="14"/>
  <c r="E28" i="14"/>
  <c r="E19" i="14"/>
  <c r="E13" i="14"/>
  <c r="E192" i="14"/>
  <c r="E32" i="14"/>
  <c r="G31" i="14" s="1"/>
  <c r="E25" i="14"/>
  <c r="E156" i="14"/>
  <c r="E71" i="14"/>
  <c r="E49" i="14"/>
  <c r="E54" i="14"/>
  <c r="F21" i="13"/>
  <c r="J33" i="13"/>
  <c r="J50" i="13"/>
  <c r="E205" i="13"/>
  <c r="K211" i="13"/>
  <c r="E272" i="13"/>
  <c r="E284" i="13"/>
  <c r="E270" i="12"/>
  <c r="K291" i="12"/>
  <c r="K5" i="13"/>
  <c r="J21" i="13"/>
  <c r="E26" i="13"/>
  <c r="E31" i="13"/>
  <c r="J40" i="13"/>
  <c r="K56" i="13"/>
  <c r="E71" i="13"/>
  <c r="G70" i="13" s="1"/>
  <c r="E142" i="13"/>
  <c r="J147" i="13"/>
  <c r="E155" i="13"/>
  <c r="E160" i="13"/>
  <c r="E165" i="13"/>
  <c r="E170" i="13"/>
  <c r="E180" i="13"/>
  <c r="E189" i="13"/>
  <c r="E215" i="13"/>
  <c r="E218" i="13"/>
  <c r="F217" i="13" s="1"/>
  <c r="E248" i="13"/>
  <c r="K299" i="13"/>
  <c r="K298" i="13"/>
  <c r="E5" i="14"/>
  <c r="E17" i="14"/>
  <c r="E35" i="14"/>
  <c r="K40" i="14"/>
  <c r="K39" i="14"/>
  <c r="E80" i="14"/>
  <c r="J17" i="13"/>
  <c r="J94" i="13"/>
  <c r="J107" i="13"/>
  <c r="J112" i="13"/>
  <c r="J117" i="13"/>
  <c r="J122" i="13"/>
  <c r="K156" i="13"/>
  <c r="K155" i="13"/>
  <c r="K203" i="13"/>
  <c r="K202" i="13"/>
  <c r="J206" i="13"/>
  <c r="J261" i="13"/>
  <c r="J31" i="14"/>
  <c r="J40" i="14"/>
  <c r="K264" i="12"/>
  <c r="K280" i="12"/>
  <c r="K279" i="12"/>
  <c r="K13" i="13"/>
  <c r="E39" i="13"/>
  <c r="K43" i="13"/>
  <c r="E51" i="13"/>
  <c r="K66" i="13"/>
  <c r="E84" i="13"/>
  <c r="K99" i="13"/>
  <c r="E105" i="13"/>
  <c r="E135" i="13"/>
  <c r="E171" i="13"/>
  <c r="E203" i="13"/>
  <c r="E219" i="13"/>
  <c r="E237" i="13"/>
  <c r="E128" i="14"/>
  <c r="M5" i="12"/>
  <c r="M6" i="12" s="1"/>
  <c r="M7" i="12" s="1"/>
  <c r="E153" i="12"/>
  <c r="K155" i="12"/>
  <c r="E169" i="12"/>
  <c r="K171" i="12"/>
  <c r="E185" i="12"/>
  <c r="K187" i="12"/>
  <c r="E201" i="12"/>
  <c r="K203" i="12"/>
  <c r="E217" i="12"/>
  <c r="K219" i="12"/>
  <c r="E233" i="12"/>
  <c r="K235" i="12"/>
  <c r="E249" i="12"/>
  <c r="K251" i="12"/>
  <c r="E271" i="12"/>
  <c r="E13" i="13"/>
  <c r="F12" i="13" s="1"/>
  <c r="K24" i="13"/>
  <c r="E29" i="13"/>
  <c r="J41" i="13"/>
  <c r="E59" i="13"/>
  <c r="E64" i="13"/>
  <c r="E69" i="13"/>
  <c r="E74" i="13"/>
  <c r="E79" i="13"/>
  <c r="E97" i="13"/>
  <c r="K108" i="13"/>
  <c r="K107" i="13"/>
  <c r="K128" i="13"/>
  <c r="E143" i="13"/>
  <c r="K151" i="13"/>
  <c r="K150" i="13"/>
  <c r="E156" i="13"/>
  <c r="E161" i="13"/>
  <c r="E166" i="13"/>
  <c r="E216" i="13"/>
  <c r="E282" i="13"/>
  <c r="E123" i="14"/>
  <c r="E285" i="12"/>
  <c r="K287" i="12"/>
  <c r="E290" i="12"/>
  <c r="E295" i="12"/>
  <c r="J22" i="13"/>
  <c r="E37" i="13"/>
  <c r="E57" i="13"/>
  <c r="E87" i="13"/>
  <c r="E138" i="13"/>
  <c r="K171" i="13"/>
  <c r="E181" i="13"/>
  <c r="K187" i="13"/>
  <c r="K219" i="13"/>
  <c r="E250" i="13"/>
  <c r="E278" i="13"/>
  <c r="E37" i="14"/>
  <c r="K283" i="12"/>
  <c r="K7" i="13"/>
  <c r="E11" i="13"/>
  <c r="G10" i="13" s="1"/>
  <c r="E18" i="13"/>
  <c r="G17" i="13" s="1"/>
  <c r="E44" i="13"/>
  <c r="F43" i="13" s="1"/>
  <c r="K60" i="13"/>
  <c r="K59" i="13"/>
  <c r="K80" i="13"/>
  <c r="E95" i="13"/>
  <c r="K103" i="13"/>
  <c r="K102" i="13"/>
  <c r="E108" i="13"/>
  <c r="G107" i="13" s="1"/>
  <c r="E113" i="13"/>
  <c r="G112" i="13" s="1"/>
  <c r="E118" i="13"/>
  <c r="E128" i="13"/>
  <c r="F127" i="13" s="1"/>
  <c r="E151" i="13"/>
  <c r="E159" i="13"/>
  <c r="E164" i="13"/>
  <c r="E169" i="13"/>
  <c r="E191" i="13"/>
  <c r="E194" i="13"/>
  <c r="E204" i="13"/>
  <c r="E213" i="13"/>
  <c r="E226" i="13"/>
  <c r="K258" i="13"/>
  <c r="E267" i="13"/>
  <c r="E11" i="14"/>
  <c r="E47" i="14"/>
  <c r="E104" i="14"/>
  <c r="E217" i="14"/>
  <c r="E157" i="12"/>
  <c r="K159" i="12"/>
  <c r="E173" i="12"/>
  <c r="K175" i="12"/>
  <c r="E189" i="12"/>
  <c r="K191" i="12"/>
  <c r="E205" i="12"/>
  <c r="K207" i="12"/>
  <c r="E221" i="12"/>
  <c r="K223" i="12"/>
  <c r="E237" i="12"/>
  <c r="K239" i="12"/>
  <c r="E253" i="12"/>
  <c r="K255" i="12"/>
  <c r="E292" i="13"/>
  <c r="E124" i="13"/>
  <c r="E76" i="13"/>
  <c r="G75" i="13" s="1"/>
  <c r="E48" i="13"/>
  <c r="G47" i="13" s="1"/>
  <c r="E8" i="13"/>
  <c r="E296" i="13"/>
  <c r="E273" i="13"/>
  <c r="E260" i="13"/>
  <c r="E249" i="13"/>
  <c r="E236" i="13"/>
  <c r="E225" i="13"/>
  <c r="E212" i="13"/>
  <c r="E201" i="13"/>
  <c r="E188" i="13"/>
  <c r="E177" i="13"/>
  <c r="E152" i="13"/>
  <c r="E104" i="13"/>
  <c r="E56" i="13"/>
  <c r="E300" i="13"/>
  <c r="E277" i="13"/>
  <c r="E281" i="13"/>
  <c r="E264" i="13"/>
  <c r="E253" i="13"/>
  <c r="E240" i="13"/>
  <c r="E229" i="13"/>
  <c r="E285" i="13"/>
  <c r="E140" i="13"/>
  <c r="E92" i="13"/>
  <c r="E32" i="13"/>
  <c r="E20" i="13"/>
  <c r="E2" i="13"/>
  <c r="E289" i="13"/>
  <c r="E268" i="13"/>
  <c r="E257" i="13"/>
  <c r="E244" i="13"/>
  <c r="E233" i="13"/>
  <c r="E220" i="13"/>
  <c r="E209" i="13"/>
  <c r="E196" i="13"/>
  <c r="E185" i="13"/>
  <c r="E172" i="13"/>
  <c r="E168" i="13"/>
  <c r="E163" i="13"/>
  <c r="E125" i="13"/>
  <c r="E120" i="13"/>
  <c r="E115" i="13"/>
  <c r="E77" i="13"/>
  <c r="E72" i="13"/>
  <c r="E67" i="13"/>
  <c r="E35" i="13"/>
  <c r="E293" i="13"/>
  <c r="E148" i="13"/>
  <c r="G147" i="13" s="1"/>
  <c r="E100" i="13"/>
  <c r="G99" i="13" s="1"/>
  <c r="E52" i="13"/>
  <c r="E280" i="13"/>
  <c r="E265" i="13"/>
  <c r="E252" i="13"/>
  <c r="E241" i="13"/>
  <c r="E228" i="13"/>
  <c r="E288" i="13"/>
  <c r="E269" i="13"/>
  <c r="E256" i="13"/>
  <c r="E245" i="13"/>
  <c r="E232" i="13"/>
  <c r="E221" i="13"/>
  <c r="E208" i="13"/>
  <c r="E197" i="13"/>
  <c r="E184" i="13"/>
  <c r="E173" i="13"/>
  <c r="E149" i="13"/>
  <c r="E144" i="13"/>
  <c r="E139" i="13"/>
  <c r="E101" i="13"/>
  <c r="E96" i="13"/>
  <c r="E91" i="13"/>
  <c r="E53" i="13"/>
  <c r="E45" i="13"/>
  <c r="E28" i="13"/>
  <c r="F27" i="13" s="1"/>
  <c r="E15" i="13"/>
  <c r="E4" i="13"/>
  <c r="G3" i="13" s="1"/>
  <c r="E25" i="13"/>
  <c r="E49" i="13"/>
  <c r="E90" i="13"/>
  <c r="E123" i="13"/>
  <c r="E126" i="13"/>
  <c r="E146" i="13"/>
  <c r="E157" i="13"/>
  <c r="E178" i="13"/>
  <c r="E200" i="13"/>
  <c r="K234" i="13"/>
  <c r="E243" i="13"/>
  <c r="E263" i="13"/>
  <c r="K267" i="13"/>
  <c r="E297" i="13"/>
  <c r="E63" i="14"/>
  <c r="E267" i="12"/>
  <c r="E274" i="12"/>
  <c r="K3" i="13"/>
  <c r="K2" i="13"/>
  <c r="G7" i="13"/>
  <c r="J7" i="13"/>
  <c r="J30" i="13"/>
  <c r="K55" i="13"/>
  <c r="K54" i="13"/>
  <c r="J60" i="13"/>
  <c r="G60" i="13"/>
  <c r="J65" i="13"/>
  <c r="J70" i="13"/>
  <c r="G80" i="13"/>
  <c r="F80" i="13"/>
  <c r="F103" i="13"/>
  <c r="J103" i="13"/>
  <c r="F111" i="13"/>
  <c r="J116" i="13"/>
  <c r="G121" i="13"/>
  <c r="J121" i="13"/>
  <c r="F131" i="13"/>
  <c r="J131" i="13"/>
  <c r="J136" i="13"/>
  <c r="J141" i="13"/>
  <c r="K179" i="13"/>
  <c r="K178" i="13"/>
  <c r="J182" i="13"/>
  <c r="J217" i="13"/>
  <c r="J239" i="13"/>
  <c r="F239" i="13"/>
  <c r="J290" i="13"/>
  <c r="K257" i="12"/>
  <c r="K259" i="12"/>
  <c r="K261" i="12"/>
  <c r="K263" i="12"/>
  <c r="E265" i="12"/>
  <c r="E281" i="12"/>
  <c r="E286" i="12"/>
  <c r="F7" i="13"/>
  <c r="E14" i="13"/>
  <c r="E16" i="13"/>
  <c r="K21" i="13"/>
  <c r="K20" i="13"/>
  <c r="F60" i="13"/>
  <c r="E78" i="13"/>
  <c r="J80" i="13"/>
  <c r="E98" i="13"/>
  <c r="G103" i="13"/>
  <c r="E109" i="13"/>
  <c r="G111" i="13"/>
  <c r="F116" i="13"/>
  <c r="F121" i="13"/>
  <c r="K124" i="13"/>
  <c r="E129" i="13"/>
  <c r="G131" i="13"/>
  <c r="F136" i="13"/>
  <c r="E179" i="13"/>
  <c r="E195" i="13"/>
  <c r="G239" i="13"/>
  <c r="E43" i="14"/>
  <c r="K300" i="12"/>
  <c r="K36" i="13"/>
  <c r="E42" i="13"/>
  <c r="G41" i="13" s="1"/>
  <c r="E58" i="13"/>
  <c r="E106" i="13"/>
  <c r="E154" i="13"/>
  <c r="G153" i="13" s="1"/>
  <c r="E186" i="13"/>
  <c r="E210" i="13"/>
  <c r="E234" i="13"/>
  <c r="E258" i="13"/>
  <c r="K275" i="13"/>
  <c r="E294" i="13"/>
  <c r="E4" i="14"/>
  <c r="E10" i="14"/>
  <c r="E16" i="14"/>
  <c r="K42" i="14"/>
  <c r="E46" i="14"/>
  <c r="E230" i="13"/>
  <c r="E254" i="13"/>
  <c r="E286" i="13"/>
  <c r="K6" i="14"/>
  <c r="K12" i="14"/>
  <c r="M19" i="14" s="1"/>
  <c r="K18" i="14"/>
  <c r="E23" i="14"/>
  <c r="F22" i="14" s="1"/>
  <c r="E27" i="14"/>
  <c r="E59" i="14"/>
  <c r="K233" i="14"/>
  <c r="K232" i="14"/>
  <c r="K296" i="12"/>
  <c r="E6" i="13"/>
  <c r="G5" i="13" s="1"/>
  <c r="K32" i="13"/>
  <c r="E38" i="13"/>
  <c r="E62" i="13"/>
  <c r="K92" i="13"/>
  <c r="E110" i="13"/>
  <c r="K140" i="13"/>
  <c r="E158" i="13"/>
  <c r="E187" i="13"/>
  <c r="E211" i="13"/>
  <c r="E235" i="13"/>
  <c r="E259" i="13"/>
  <c r="E274" i="13"/>
  <c r="E295" i="13"/>
  <c r="K21" i="14"/>
  <c r="K30" i="14"/>
  <c r="E51" i="14"/>
  <c r="E178" i="14"/>
  <c r="E197" i="14"/>
  <c r="K276" i="12"/>
  <c r="E282" i="12"/>
  <c r="K9" i="13"/>
  <c r="E23" i="13"/>
  <c r="G22" i="13" s="1"/>
  <c r="K64" i="13"/>
  <c r="E82" i="13"/>
  <c r="K83" i="13"/>
  <c r="K112" i="13"/>
  <c r="E130" i="13"/>
  <c r="K131" i="13"/>
  <c r="K160" i="13"/>
  <c r="E174" i="13"/>
  <c r="E198" i="13"/>
  <c r="E222" i="13"/>
  <c r="E246" i="13"/>
  <c r="E270" i="13"/>
  <c r="E291" i="13"/>
  <c r="G290" i="13" s="1"/>
  <c r="E30" i="14"/>
  <c r="K33" i="14"/>
  <c r="E69" i="14"/>
  <c r="K81" i="14"/>
  <c r="K82" i="14"/>
  <c r="K18" i="13"/>
  <c r="K40" i="13"/>
  <c r="E46" i="13"/>
  <c r="E54" i="13"/>
  <c r="K84" i="13"/>
  <c r="E102" i="13"/>
  <c r="K132" i="13"/>
  <c r="E150" i="13"/>
  <c r="E183" i="13"/>
  <c r="E207" i="13"/>
  <c r="K226" i="13"/>
  <c r="E231" i="13"/>
  <c r="K250" i="13"/>
  <c r="E255" i="13"/>
  <c r="K278" i="13"/>
  <c r="E287" i="13"/>
  <c r="E33" i="14"/>
  <c r="E82" i="14"/>
  <c r="E242" i="13"/>
  <c r="E266" i="13"/>
  <c r="E283" i="13"/>
  <c r="E93" i="14"/>
  <c r="E174" i="14"/>
  <c r="E227" i="13"/>
  <c r="E251" i="13"/>
  <c r="E279" i="13"/>
  <c r="E26" i="14"/>
  <c r="E298" i="12"/>
  <c r="E34" i="13"/>
  <c r="G33" i="13" s="1"/>
  <c r="E66" i="13"/>
  <c r="G65" i="13" s="1"/>
  <c r="E114" i="13"/>
  <c r="E162" i="13"/>
  <c r="E190" i="13"/>
  <c r="E214" i="13"/>
  <c r="E238" i="13"/>
  <c r="E262" i="13"/>
  <c r="F261" i="13" s="1"/>
  <c r="E275" i="13"/>
  <c r="E6" i="14"/>
  <c r="E12" i="14"/>
  <c r="E18" i="14"/>
  <c r="K22" i="14"/>
  <c r="E45" i="14"/>
  <c r="E61" i="14"/>
  <c r="E165" i="14"/>
  <c r="K272" i="12"/>
  <c r="E278" i="12"/>
  <c r="K68" i="13"/>
  <c r="E86" i="13"/>
  <c r="K116" i="13"/>
  <c r="E134" i="13"/>
  <c r="G133" i="13" s="1"/>
  <c r="K164" i="13"/>
  <c r="E175" i="13"/>
  <c r="E199" i="13"/>
  <c r="E223" i="13"/>
  <c r="E247" i="13"/>
  <c r="E271" i="13"/>
  <c r="E298" i="13"/>
  <c r="E34" i="14"/>
  <c r="E39" i="14"/>
  <c r="K66" i="14"/>
  <c r="K281" i="14"/>
  <c r="K280" i="14"/>
  <c r="E106" i="14"/>
  <c r="E118" i="14"/>
  <c r="E130" i="14"/>
  <c r="E182" i="14"/>
  <c r="E185" i="14"/>
  <c r="E188" i="14"/>
  <c r="E209" i="14"/>
  <c r="K217" i="14"/>
  <c r="K216" i="14"/>
  <c r="E252" i="14"/>
  <c r="K51" i="14"/>
  <c r="E65" i="14"/>
  <c r="K87" i="14"/>
  <c r="E109" i="14"/>
  <c r="K113" i="14"/>
  <c r="K125" i="14"/>
  <c r="E138" i="14"/>
  <c r="E150" i="14"/>
  <c r="E162" i="14"/>
  <c r="K169" i="14"/>
  <c r="K168" i="14"/>
  <c r="E206" i="14"/>
  <c r="E210" i="14"/>
  <c r="E78" i="14"/>
  <c r="E89" i="14"/>
  <c r="E102" i="14"/>
  <c r="E169" i="14"/>
  <c r="E179" i="14"/>
  <c r="E196" i="14"/>
  <c r="E114" i="14"/>
  <c r="E126" i="14"/>
  <c r="E186" i="14"/>
  <c r="E200" i="14"/>
  <c r="E218" i="14"/>
  <c r="K248" i="14"/>
  <c r="E268" i="14"/>
  <c r="E58" i="14"/>
  <c r="E74" i="14"/>
  <c r="E85" i="14"/>
  <c r="E98" i="14"/>
  <c r="E176" i="14"/>
  <c r="E193" i="14"/>
  <c r="K124" i="15"/>
  <c r="K123" i="15"/>
  <c r="E42" i="14"/>
  <c r="E53" i="14"/>
  <c r="K55" i="14"/>
  <c r="E105" i="14"/>
  <c r="E117" i="14"/>
  <c r="E142" i="14"/>
  <c r="E154" i="14"/>
  <c r="E170" i="14"/>
  <c r="E180" i="14"/>
  <c r="E62" i="14"/>
  <c r="K65" i="14"/>
  <c r="E70" i="14"/>
  <c r="E81" i="14"/>
  <c r="K89" i="14"/>
  <c r="E94" i="14"/>
  <c r="K115" i="14"/>
  <c r="K127" i="14"/>
  <c r="K142" i="14"/>
  <c r="K154" i="14"/>
  <c r="E194" i="14"/>
  <c r="K297" i="14"/>
  <c r="K296" i="14"/>
  <c r="E50" i="14"/>
  <c r="K75" i="14"/>
  <c r="K99" i="14"/>
  <c r="E110" i="14"/>
  <c r="E122" i="14"/>
  <c r="E134" i="14"/>
  <c r="E204" i="14"/>
  <c r="E236" i="14"/>
  <c r="K264" i="14"/>
  <c r="E284" i="14"/>
  <c r="K54" i="15"/>
  <c r="K53" i="15"/>
  <c r="K52" i="14"/>
  <c r="K59" i="14"/>
  <c r="E66" i="14"/>
  <c r="E77" i="14"/>
  <c r="E90" i="14"/>
  <c r="E101" i="14"/>
  <c r="K181" i="14"/>
  <c r="K180" i="14"/>
  <c r="E201" i="14"/>
  <c r="E212" i="14"/>
  <c r="E293" i="14"/>
  <c r="K172" i="15"/>
  <c r="K171" i="15"/>
  <c r="E57" i="14"/>
  <c r="K71" i="14"/>
  <c r="K95" i="14"/>
  <c r="E113" i="14"/>
  <c r="E146" i="14"/>
  <c r="E158" i="14"/>
  <c r="E171" i="14"/>
  <c r="E181" i="14"/>
  <c r="E205" i="14"/>
  <c r="E38" i="14"/>
  <c r="K63" i="14"/>
  <c r="E73" i="14"/>
  <c r="E86" i="14"/>
  <c r="E97" i="14"/>
  <c r="K111" i="14"/>
  <c r="K123" i="14"/>
  <c r="K146" i="14"/>
  <c r="K158" i="14"/>
  <c r="K198" i="14"/>
  <c r="K202" i="15"/>
  <c r="K203" i="15"/>
  <c r="E199" i="14"/>
  <c r="E224" i="14"/>
  <c r="E233" i="14"/>
  <c r="E249" i="14"/>
  <c r="E265" i="14"/>
  <c r="E281" i="14"/>
  <c r="E291" i="14"/>
  <c r="K7" i="16"/>
  <c r="K6" i="16"/>
  <c r="E191" i="14"/>
  <c r="E240" i="14"/>
  <c r="E256" i="14"/>
  <c r="E272" i="14"/>
  <c r="E297" i="14"/>
  <c r="K16" i="15"/>
  <c r="K17" i="15"/>
  <c r="K126" i="15"/>
  <c r="K125" i="15"/>
  <c r="K174" i="15"/>
  <c r="K173" i="15"/>
  <c r="K225" i="14"/>
  <c r="E237" i="14"/>
  <c r="E253" i="14"/>
  <c r="E269" i="14"/>
  <c r="E285" i="14"/>
  <c r="K165" i="14"/>
  <c r="E183" i="14"/>
  <c r="K193" i="14"/>
  <c r="E225" i="14"/>
  <c r="E295" i="14"/>
  <c r="K300" i="14"/>
  <c r="K100" i="15"/>
  <c r="K99" i="15"/>
  <c r="K148" i="15"/>
  <c r="K147" i="15"/>
  <c r="K196" i="15"/>
  <c r="K195" i="15"/>
  <c r="E203" i="14"/>
  <c r="K213" i="14"/>
  <c r="E228" i="14"/>
  <c r="K241" i="14"/>
  <c r="E244" i="14"/>
  <c r="K257" i="14"/>
  <c r="E260" i="14"/>
  <c r="K273" i="14"/>
  <c r="E276" i="14"/>
  <c r="K289" i="14"/>
  <c r="K29" i="15"/>
  <c r="K30" i="15"/>
  <c r="K77" i="16"/>
  <c r="K76" i="16"/>
  <c r="E175" i="14"/>
  <c r="E241" i="14"/>
  <c r="E257" i="14"/>
  <c r="E273" i="14"/>
  <c r="E289" i="14"/>
  <c r="E301" i="14"/>
  <c r="E195" i="14"/>
  <c r="K205" i="14"/>
  <c r="K37" i="15"/>
  <c r="K38" i="15"/>
  <c r="E167" i="14"/>
  <c r="K177" i="14"/>
  <c r="K229" i="14"/>
  <c r="E232" i="14"/>
  <c r="K245" i="14"/>
  <c r="E248" i="14"/>
  <c r="K261" i="14"/>
  <c r="E264" i="14"/>
  <c r="K277" i="14"/>
  <c r="E280" i="14"/>
  <c r="E299" i="14"/>
  <c r="K102" i="15"/>
  <c r="K101" i="15"/>
  <c r="K150" i="15"/>
  <c r="K149" i="15"/>
  <c r="E187" i="14"/>
  <c r="E229" i="14"/>
  <c r="E245" i="14"/>
  <c r="E261" i="14"/>
  <c r="E277" i="14"/>
  <c r="K293" i="14"/>
  <c r="K22" i="15"/>
  <c r="K200" i="15"/>
  <c r="K210" i="15"/>
  <c r="K234" i="15"/>
  <c r="M4" i="15"/>
  <c r="E12" i="15" s="1"/>
  <c r="K32" i="15"/>
  <c r="K43" i="15"/>
  <c r="K59" i="15"/>
  <c r="K296" i="15"/>
  <c r="K295" i="15"/>
  <c r="K248" i="15"/>
  <c r="K247" i="15"/>
  <c r="K44" i="16"/>
  <c r="K43" i="16"/>
  <c r="E74" i="16"/>
  <c r="E117" i="16"/>
  <c r="E156" i="16"/>
  <c r="K276" i="16"/>
  <c r="K275" i="16"/>
  <c r="K107" i="15"/>
  <c r="K109" i="15"/>
  <c r="K131" i="15"/>
  <c r="K133" i="15"/>
  <c r="K155" i="15"/>
  <c r="K157" i="15"/>
  <c r="K179" i="15"/>
  <c r="K181" i="15"/>
  <c r="K243" i="15"/>
  <c r="K244" i="15"/>
  <c r="E265" i="16"/>
  <c r="E261" i="16"/>
  <c r="E219" i="16"/>
  <c r="E215" i="16"/>
  <c r="E211" i="16"/>
  <c r="E207" i="16"/>
  <c r="E203" i="16"/>
  <c r="E199" i="16"/>
  <c r="E195" i="16"/>
  <c r="E191" i="16"/>
  <c r="E187" i="16"/>
  <c r="E183" i="16"/>
  <c r="E179" i="16"/>
  <c r="E175" i="16"/>
  <c r="E171" i="16"/>
  <c r="E167" i="16"/>
  <c r="E163" i="16"/>
  <c r="E159" i="16"/>
  <c r="E155" i="16"/>
  <c r="E151" i="16"/>
  <c r="E147" i="16"/>
  <c r="E257" i="16"/>
  <c r="E301" i="16"/>
  <c r="E253" i="16"/>
  <c r="E297" i="16"/>
  <c r="E293" i="16"/>
  <c r="E285" i="16"/>
  <c r="E237" i="16"/>
  <c r="E221" i="16"/>
  <c r="E217" i="16"/>
  <c r="E213" i="16"/>
  <c r="E209" i="16"/>
  <c r="E205" i="16"/>
  <c r="E281" i="16"/>
  <c r="E233" i="16"/>
  <c r="E289" i="16"/>
  <c r="E95" i="16"/>
  <c r="E91" i="16"/>
  <c r="E87" i="16"/>
  <c r="E83" i="16"/>
  <c r="E79" i="16"/>
  <c r="E75" i="16"/>
  <c r="E71" i="16"/>
  <c r="E67" i="16"/>
  <c r="E63" i="16"/>
  <c r="E59" i="16"/>
  <c r="E55" i="16"/>
  <c r="E51" i="16"/>
  <c r="E47" i="16"/>
  <c r="E43" i="16"/>
  <c r="E39" i="16"/>
  <c r="E35" i="16"/>
  <c r="E31" i="16"/>
  <c r="E27" i="16"/>
  <c r="E277" i="16"/>
  <c r="E273" i="16"/>
  <c r="E241" i="16"/>
  <c r="E88" i="16"/>
  <c r="E84" i="16"/>
  <c r="E80" i="16"/>
  <c r="E76" i="16"/>
  <c r="E249" i="16"/>
  <c r="E245" i="16"/>
  <c r="E57" i="16"/>
  <c r="E34" i="16"/>
  <c r="E28" i="16"/>
  <c r="E19" i="16"/>
  <c r="E269" i="16"/>
  <c r="E198" i="16"/>
  <c r="E53" i="16"/>
  <c r="E229" i="16"/>
  <c r="E126" i="16"/>
  <c r="E85" i="16"/>
  <c r="E69" i="16"/>
  <c r="E49" i="16"/>
  <c r="E26" i="16"/>
  <c r="E45" i="16"/>
  <c r="E174" i="16"/>
  <c r="E41" i="16"/>
  <c r="E200" i="16"/>
  <c r="E89" i="16"/>
  <c r="E73" i="16"/>
  <c r="E37" i="16"/>
  <c r="E33" i="16"/>
  <c r="E150" i="16"/>
  <c r="E100" i="16"/>
  <c r="E98" i="16"/>
  <c r="E82" i="16"/>
  <c r="E66" i="16"/>
  <c r="E54" i="16"/>
  <c r="E48" i="16"/>
  <c r="E29" i="16"/>
  <c r="E176" i="16"/>
  <c r="E93" i="16"/>
  <c r="E77" i="16"/>
  <c r="E25" i="16"/>
  <c r="E152" i="16"/>
  <c r="E97" i="16"/>
  <c r="E81" i="16"/>
  <c r="E65" i="16"/>
  <c r="E61" i="16"/>
  <c r="E21" i="16"/>
  <c r="E44" i="16"/>
  <c r="K27" i="15"/>
  <c r="K48" i="15"/>
  <c r="K64" i="15"/>
  <c r="K93" i="16"/>
  <c r="K92" i="16"/>
  <c r="E128" i="16"/>
  <c r="K35" i="15"/>
  <c r="K103" i="15"/>
  <c r="K105" i="15"/>
  <c r="K127" i="15"/>
  <c r="K129" i="15"/>
  <c r="K151" i="15"/>
  <c r="K153" i="15"/>
  <c r="K175" i="15"/>
  <c r="K177" i="15"/>
  <c r="K212" i="15"/>
  <c r="K236" i="15"/>
  <c r="E138" i="16"/>
  <c r="K52" i="15"/>
  <c r="K68" i="15"/>
  <c r="K277" i="15"/>
  <c r="K276" i="15"/>
  <c r="E36" i="16"/>
  <c r="E46" i="16"/>
  <c r="E94" i="16"/>
  <c r="E222" i="16"/>
  <c r="E160" i="16"/>
  <c r="E164" i="16"/>
  <c r="E172" i="16"/>
  <c r="E202" i="16"/>
  <c r="E206" i="16"/>
  <c r="E214" i="16"/>
  <c r="E218" i="16"/>
  <c r="E275" i="16"/>
  <c r="E301" i="17"/>
  <c r="E297" i="17"/>
  <c r="E293" i="17"/>
  <c r="E235" i="17"/>
  <c r="E231" i="17"/>
  <c r="E227" i="17"/>
  <c r="E267" i="17"/>
  <c r="E243" i="17"/>
  <c r="E295" i="17"/>
  <c r="E299" i="17"/>
  <c r="E259" i="17"/>
  <c r="E230" i="17"/>
  <c r="E206" i="17"/>
  <c r="E182" i="17"/>
  <c r="E158" i="17"/>
  <c r="E134" i="17"/>
  <c r="E110" i="17"/>
  <c r="E69" i="17"/>
  <c r="E62" i="17"/>
  <c r="E50" i="17"/>
  <c r="E38" i="17"/>
  <c r="E276" i="17"/>
  <c r="E272" i="17"/>
  <c r="E263" i="17"/>
  <c r="E234" i="17"/>
  <c r="E225" i="17"/>
  <c r="E201" i="17"/>
  <c r="E177" i="17"/>
  <c r="E153" i="17"/>
  <c r="E291" i="17"/>
  <c r="E252" i="17"/>
  <c r="E248" i="17"/>
  <c r="E198" i="17"/>
  <c r="E239" i="17"/>
  <c r="E105" i="17"/>
  <c r="E42" i="17"/>
  <c r="E226" i="17"/>
  <c r="E130" i="17"/>
  <c r="E218" i="17"/>
  <c r="E202" i="17"/>
  <c r="E98" i="17"/>
  <c r="E194" i="17"/>
  <c r="E178" i="17"/>
  <c r="E85" i="17"/>
  <c r="E41" i="17"/>
  <c r="E23" i="17"/>
  <c r="E283" i="17"/>
  <c r="E170" i="17"/>
  <c r="E154" i="17"/>
  <c r="E129" i="17"/>
  <c r="E181" i="17"/>
  <c r="E146" i="17"/>
  <c r="E73" i="17"/>
  <c r="E65" i="17"/>
  <c r="E30" i="17"/>
  <c r="E25" i="17"/>
  <c r="E157" i="17"/>
  <c r="E122" i="17"/>
  <c r="E287" i="17"/>
  <c r="E70" i="17"/>
  <c r="E106" i="17"/>
  <c r="E53" i="17"/>
  <c r="E81" i="17"/>
  <c r="E29" i="17"/>
  <c r="E105" i="16"/>
  <c r="E108" i="16"/>
  <c r="E124" i="16"/>
  <c r="K165" i="16"/>
  <c r="K164" i="16"/>
  <c r="E226" i="16"/>
  <c r="E24" i="17"/>
  <c r="K259" i="15"/>
  <c r="K288" i="15"/>
  <c r="K36" i="16"/>
  <c r="K55" i="16"/>
  <c r="K102" i="16"/>
  <c r="E111" i="16"/>
  <c r="E114" i="16"/>
  <c r="E142" i="16"/>
  <c r="E146" i="16"/>
  <c r="E161" i="16"/>
  <c r="E184" i="16"/>
  <c r="E188" i="16"/>
  <c r="K192" i="16"/>
  <c r="E196" i="16"/>
  <c r="E252" i="16"/>
  <c r="K263" i="15"/>
  <c r="K292" i="15"/>
  <c r="K40" i="16"/>
  <c r="K59" i="16"/>
  <c r="E68" i="16"/>
  <c r="E180" i="16"/>
  <c r="E192" i="16"/>
  <c r="K267" i="15"/>
  <c r="K21" i="16"/>
  <c r="K63" i="16"/>
  <c r="K79" i="16"/>
  <c r="K95" i="16"/>
  <c r="K115" i="16"/>
  <c r="K114" i="16"/>
  <c r="E118" i="16"/>
  <c r="E162" i="16"/>
  <c r="K189" i="16"/>
  <c r="K188" i="16"/>
  <c r="K15" i="17"/>
  <c r="K16" i="17"/>
  <c r="K24" i="16"/>
  <c r="E139" i="16"/>
  <c r="E154" i="16"/>
  <c r="E158" i="16"/>
  <c r="E166" i="16"/>
  <c r="E170" i="16"/>
  <c r="E185" i="16"/>
  <c r="E208" i="16"/>
  <c r="E212" i="16"/>
  <c r="E220" i="16"/>
  <c r="E21" i="17"/>
  <c r="E169" i="17"/>
  <c r="K18" i="16"/>
  <c r="M19" i="16" s="1"/>
  <c r="E22" i="16"/>
  <c r="E64" i="16"/>
  <c r="E96" i="16"/>
  <c r="E101" i="16"/>
  <c r="E122" i="16"/>
  <c r="E132" i="16"/>
  <c r="E204" i="16"/>
  <c r="E216" i="16"/>
  <c r="K104" i="16"/>
  <c r="E112" i="16"/>
  <c r="E136" i="16"/>
  <c r="E140" i="16"/>
  <c r="K171" i="16"/>
  <c r="E186" i="16"/>
  <c r="K213" i="16"/>
  <c r="K212" i="16"/>
  <c r="E243" i="16"/>
  <c r="K11" i="17"/>
  <c r="K12" i="17"/>
  <c r="K197" i="15"/>
  <c r="E104" i="16"/>
  <c r="K123" i="16"/>
  <c r="K144" i="16"/>
  <c r="E148" i="16"/>
  <c r="E178" i="16"/>
  <c r="E182" i="16"/>
  <c r="E190" i="16"/>
  <c r="E194" i="16"/>
  <c r="E92" i="16"/>
  <c r="E113" i="16"/>
  <c r="E116" i="16"/>
  <c r="K141" i="16"/>
  <c r="K140" i="16"/>
  <c r="E144" i="16"/>
  <c r="K272" i="15"/>
  <c r="E130" i="16"/>
  <c r="E137" i="16"/>
  <c r="E210" i="16"/>
  <c r="J77" i="17"/>
  <c r="E121" i="16"/>
  <c r="E123" i="16"/>
  <c r="E145" i="16"/>
  <c r="E169" i="16"/>
  <c r="E193" i="16"/>
  <c r="E248" i="16"/>
  <c r="K252" i="16"/>
  <c r="E20" i="17"/>
  <c r="K29" i="17"/>
  <c r="K28" i="17"/>
  <c r="E66" i="17"/>
  <c r="K81" i="17"/>
  <c r="K80" i="17"/>
  <c r="E204" i="17"/>
  <c r="M5" i="16"/>
  <c r="M6" i="16" s="1"/>
  <c r="M7" i="16" s="1"/>
  <c r="E103" i="16"/>
  <c r="E115" i="16"/>
  <c r="E119" i="16"/>
  <c r="E141" i="16"/>
  <c r="E143" i="16"/>
  <c r="E165" i="16"/>
  <c r="E189" i="16"/>
  <c r="K256" i="16"/>
  <c r="E266" i="16"/>
  <c r="K272" i="16"/>
  <c r="K271" i="16"/>
  <c r="E229" i="17"/>
  <c r="E256" i="16"/>
  <c r="E272" i="16"/>
  <c r="E279" i="16"/>
  <c r="E294" i="16"/>
  <c r="E298" i="16"/>
  <c r="K72" i="17"/>
  <c r="K71" i="17"/>
  <c r="E115" i="17"/>
  <c r="E205" i="17"/>
  <c r="J60" i="18"/>
  <c r="E227" i="16"/>
  <c r="E246" i="16"/>
  <c r="E276" i="16"/>
  <c r="E54" i="17"/>
  <c r="E102" i="17"/>
  <c r="E126" i="17"/>
  <c r="E196" i="17"/>
  <c r="K107" i="16"/>
  <c r="E133" i="16"/>
  <c r="E135" i="16"/>
  <c r="E157" i="16"/>
  <c r="E181" i="16"/>
  <c r="K259" i="16"/>
  <c r="K277" i="16"/>
  <c r="K280" i="16"/>
  <c r="E291" i="16"/>
  <c r="E78" i="17"/>
  <c r="E156" i="17"/>
  <c r="E236" i="17"/>
  <c r="E107" i="16"/>
  <c r="K131" i="16"/>
  <c r="K155" i="16"/>
  <c r="K179" i="16"/>
  <c r="K203" i="16"/>
  <c r="E250" i="16"/>
  <c r="K254" i="16"/>
  <c r="E22" i="17"/>
  <c r="E59" i="17"/>
  <c r="E93" i="17"/>
  <c r="E117" i="17"/>
  <c r="K192" i="17"/>
  <c r="K191" i="17"/>
  <c r="E99" i="16"/>
  <c r="E109" i="16"/>
  <c r="E129" i="16"/>
  <c r="E131" i="16"/>
  <c r="E153" i="16"/>
  <c r="E177" i="16"/>
  <c r="E201" i="16"/>
  <c r="E225" i="16"/>
  <c r="E231" i="16"/>
  <c r="E254" i="16"/>
  <c r="E270" i="16"/>
  <c r="K228" i="16"/>
  <c r="E247" i="16"/>
  <c r="E296" i="16"/>
  <c r="E300" i="16"/>
  <c r="E118" i="17"/>
  <c r="K101" i="16"/>
  <c r="K111" i="16"/>
  <c r="E125" i="16"/>
  <c r="E127" i="16"/>
  <c r="E149" i="16"/>
  <c r="E173" i="16"/>
  <c r="E197" i="16"/>
  <c r="E228" i="16"/>
  <c r="K251" i="16"/>
  <c r="K274" i="16"/>
  <c r="E37" i="17"/>
  <c r="E128" i="17"/>
  <c r="E251" i="16"/>
  <c r="E268" i="16"/>
  <c r="E271" i="16"/>
  <c r="E274" i="16"/>
  <c r="E75" i="17"/>
  <c r="E109" i="17"/>
  <c r="E133" i="17"/>
  <c r="E148" i="17"/>
  <c r="E34" i="17"/>
  <c r="E40" i="17"/>
  <c r="E45" i="17"/>
  <c r="E56" i="17"/>
  <c r="E124" i="17"/>
  <c r="E145" i="17"/>
  <c r="E172" i="17"/>
  <c r="E180" i="17"/>
  <c r="E292" i="17"/>
  <c r="K224" i="16"/>
  <c r="E235" i="16"/>
  <c r="K241" i="16"/>
  <c r="E258" i="16"/>
  <c r="E260" i="16"/>
  <c r="K262" i="16"/>
  <c r="K264" i="16"/>
  <c r="E283" i="16"/>
  <c r="K289" i="16"/>
  <c r="E32" i="17"/>
  <c r="K35" i="17"/>
  <c r="E51" i="17"/>
  <c r="E87" i="17"/>
  <c r="E90" i="17"/>
  <c r="E97" i="17"/>
  <c r="E119" i="17"/>
  <c r="E137" i="17"/>
  <c r="E149" i="17"/>
  <c r="E193" i="17"/>
  <c r="E220" i="17"/>
  <c r="E228" i="17"/>
  <c r="E224" i="16"/>
  <c r="E239" i="16"/>
  <c r="E262" i="16"/>
  <c r="E264" i="16"/>
  <c r="K266" i="16"/>
  <c r="K268" i="16"/>
  <c r="E287" i="16"/>
  <c r="K3" i="17"/>
  <c r="K22" i="17"/>
  <c r="E35" i="17"/>
  <c r="K40" i="17"/>
  <c r="K76" i="17"/>
  <c r="K84" i="17"/>
  <c r="E94" i="17"/>
  <c r="K103" i="17"/>
  <c r="E125" i="17"/>
  <c r="E141" i="17"/>
  <c r="E161" i="17"/>
  <c r="E173" i="17"/>
  <c r="E217" i="17"/>
  <c r="K18" i="17"/>
  <c r="E49" i="17"/>
  <c r="E82" i="17"/>
  <c r="E100" i="17"/>
  <c r="K116" i="17"/>
  <c r="K115" i="17"/>
  <c r="E150" i="17"/>
  <c r="E165" i="17"/>
  <c r="E185" i="17"/>
  <c r="E197" i="17"/>
  <c r="J249" i="18"/>
  <c r="E295" i="16"/>
  <c r="E46" i="17"/>
  <c r="E52" i="17"/>
  <c r="E57" i="17"/>
  <c r="E68" i="17"/>
  <c r="E91" i="17"/>
  <c r="E104" i="17"/>
  <c r="E132" i="17"/>
  <c r="E142" i="17"/>
  <c r="E174" i="17"/>
  <c r="E189" i="17"/>
  <c r="E209" i="17"/>
  <c r="E221" i="17"/>
  <c r="E299" i="16"/>
  <c r="E19" i="17"/>
  <c r="E95" i="17"/>
  <c r="E113" i="17"/>
  <c r="E135" i="17"/>
  <c r="E138" i="17"/>
  <c r="E166" i="17"/>
  <c r="E213" i="17"/>
  <c r="E233" i="17"/>
  <c r="J28" i="18"/>
  <c r="J46" i="18"/>
  <c r="J150" i="18"/>
  <c r="E230" i="16"/>
  <c r="E232" i="16"/>
  <c r="K234" i="16"/>
  <c r="K236" i="16"/>
  <c r="E255" i="16"/>
  <c r="E278" i="16"/>
  <c r="E280" i="16"/>
  <c r="K282" i="16"/>
  <c r="K284" i="16"/>
  <c r="E33" i="17"/>
  <c r="E44" i="17"/>
  <c r="K47" i="17"/>
  <c r="E63" i="17"/>
  <c r="E101" i="17"/>
  <c r="E143" i="17"/>
  <c r="E162" i="17"/>
  <c r="E190" i="17"/>
  <c r="E222" i="17"/>
  <c r="E279" i="17"/>
  <c r="E223" i="16"/>
  <c r="K225" i="16"/>
  <c r="E234" i="16"/>
  <c r="E236" i="16"/>
  <c r="E259" i="16"/>
  <c r="K265" i="16"/>
  <c r="E282" i="16"/>
  <c r="E284" i="16"/>
  <c r="M5" i="17"/>
  <c r="M6" i="17" s="1"/>
  <c r="M7" i="17" s="1"/>
  <c r="E47" i="17"/>
  <c r="K52" i="17"/>
  <c r="E74" i="17"/>
  <c r="K92" i="17"/>
  <c r="K91" i="17"/>
  <c r="K143" i="17"/>
  <c r="E159" i="17"/>
  <c r="E167" i="17"/>
  <c r="E186" i="17"/>
  <c r="E214" i="17"/>
  <c r="E238" i="16"/>
  <c r="E240" i="16"/>
  <c r="E263" i="16"/>
  <c r="K269" i="16"/>
  <c r="E286" i="16"/>
  <c r="E288" i="16"/>
  <c r="E26" i="17"/>
  <c r="E39" i="17"/>
  <c r="K58" i="17"/>
  <c r="E61" i="17"/>
  <c r="E83" i="17"/>
  <c r="E86" i="17"/>
  <c r="E108" i="17"/>
  <c r="E183" i="17"/>
  <c r="E191" i="17"/>
  <c r="E210" i="17"/>
  <c r="E240" i="17"/>
  <c r="K291" i="17"/>
  <c r="K290" i="17"/>
  <c r="E242" i="16"/>
  <c r="E244" i="16"/>
  <c r="K246" i="16"/>
  <c r="K248" i="16"/>
  <c r="E267" i="16"/>
  <c r="K273" i="16"/>
  <c r="E290" i="16"/>
  <c r="E292" i="16"/>
  <c r="K294" i="16"/>
  <c r="K296" i="16"/>
  <c r="E58" i="17"/>
  <c r="E64" i="17"/>
  <c r="K75" i="17"/>
  <c r="E89" i="17"/>
  <c r="E111" i="17"/>
  <c r="E114" i="17"/>
  <c r="E121" i="17"/>
  <c r="E207" i="17"/>
  <c r="E215" i="17"/>
  <c r="J68" i="18"/>
  <c r="E256" i="17"/>
  <c r="E260" i="17"/>
  <c r="J40" i="18"/>
  <c r="E58" i="18"/>
  <c r="E139" i="17"/>
  <c r="E152" i="17"/>
  <c r="E163" i="17"/>
  <c r="E176" i="17"/>
  <c r="E187" i="17"/>
  <c r="E200" i="17"/>
  <c r="E211" i="17"/>
  <c r="E224" i="17"/>
  <c r="E244" i="17"/>
  <c r="K287" i="17"/>
  <c r="K286" i="17"/>
  <c r="E296" i="17"/>
  <c r="J36" i="18"/>
  <c r="J46" i="20"/>
  <c r="J51" i="20"/>
  <c r="J66" i="20"/>
  <c r="E27" i="17"/>
  <c r="E79" i="17"/>
  <c r="E270" i="17"/>
  <c r="E274" i="17"/>
  <c r="E24" i="18"/>
  <c r="E32" i="18"/>
  <c r="E54" i="18"/>
  <c r="E114" i="18"/>
  <c r="E149" i="18"/>
  <c r="E154" i="18"/>
  <c r="K26" i="17"/>
  <c r="E72" i="17"/>
  <c r="K78" i="17"/>
  <c r="E96" i="17"/>
  <c r="E107" i="17"/>
  <c r="E120" i="17"/>
  <c r="E131" i="17"/>
  <c r="K139" i="17"/>
  <c r="E144" i="17"/>
  <c r="E155" i="17"/>
  <c r="K163" i="17"/>
  <c r="E168" i="17"/>
  <c r="E179" i="17"/>
  <c r="K187" i="17"/>
  <c r="E192" i="17"/>
  <c r="E203" i="17"/>
  <c r="K211" i="17"/>
  <c r="E216" i="17"/>
  <c r="E237" i="17"/>
  <c r="K267" i="17"/>
  <c r="K266" i="17"/>
  <c r="E271" i="17"/>
  <c r="E275" i="17"/>
  <c r="E288" i="17"/>
  <c r="E42" i="18"/>
  <c r="E64" i="18"/>
  <c r="E100" i="18"/>
  <c r="E264" i="18"/>
  <c r="K263" i="17"/>
  <c r="K262" i="17"/>
  <c r="E38" i="18"/>
  <c r="E36" i="17"/>
  <c r="K38" i="17"/>
  <c r="E48" i="17"/>
  <c r="K50" i="17"/>
  <c r="E60" i="17"/>
  <c r="K62" i="17"/>
  <c r="E76" i="17"/>
  <c r="E92" i="17"/>
  <c r="E103" i="17"/>
  <c r="E116" i="17"/>
  <c r="E127" i="17"/>
  <c r="E140" i="17"/>
  <c r="E151" i="17"/>
  <c r="E164" i="17"/>
  <c r="E175" i="17"/>
  <c r="E188" i="17"/>
  <c r="E199" i="17"/>
  <c r="E212" i="17"/>
  <c r="E223" i="17"/>
  <c r="E246" i="17"/>
  <c r="E250" i="17"/>
  <c r="E280" i="17"/>
  <c r="E284" i="17"/>
  <c r="K299" i="17"/>
  <c r="K298" i="17"/>
  <c r="E262" i="18"/>
  <c r="E258" i="18"/>
  <c r="E218" i="18"/>
  <c r="E254" i="18"/>
  <c r="E298" i="18"/>
  <c r="E273" i="18"/>
  <c r="E250" i="18"/>
  <c r="E240" i="18"/>
  <c r="E225" i="18"/>
  <c r="E188" i="18"/>
  <c r="E185" i="18"/>
  <c r="E294" i="18"/>
  <c r="E284" i="18"/>
  <c r="E269" i="18"/>
  <c r="E246" i="18"/>
  <c r="E236" i="18"/>
  <c r="E214" i="18"/>
  <c r="E290" i="18"/>
  <c r="E280" i="18"/>
  <c r="E265" i="18"/>
  <c r="E242" i="18"/>
  <c r="E232" i="18"/>
  <c r="E221" i="18"/>
  <c r="E202" i="18"/>
  <c r="E194" i="18"/>
  <c r="E286" i="18"/>
  <c r="E238" i="18"/>
  <c r="E282" i="18"/>
  <c r="E272" i="18"/>
  <c r="E257" i="18"/>
  <c r="E234" i="18"/>
  <c r="E224" i="18"/>
  <c r="E210" i="18"/>
  <c r="E205" i="18"/>
  <c r="E186" i="18"/>
  <c r="E278" i="18"/>
  <c r="E230" i="18"/>
  <c r="E289" i="18"/>
  <c r="E266" i="18"/>
  <c r="E256" i="18"/>
  <c r="E241" i="18"/>
  <c r="E274" i="18"/>
  <c r="E270" i="18"/>
  <c r="E119" i="18"/>
  <c r="E116" i="18"/>
  <c r="E101" i="18"/>
  <c r="E97" i="18"/>
  <c r="E93" i="18"/>
  <c r="E89" i="18"/>
  <c r="E85" i="18"/>
  <c r="E81" i="18"/>
  <c r="E77" i="18"/>
  <c r="E73" i="18"/>
  <c r="E69" i="18"/>
  <c r="E65" i="18"/>
  <c r="E61" i="18"/>
  <c r="E57" i="18"/>
  <c r="E53" i="18"/>
  <c r="E49" i="18"/>
  <c r="E45" i="18"/>
  <c r="E41" i="18"/>
  <c r="E37" i="18"/>
  <c r="E33" i="18"/>
  <c r="E29" i="18"/>
  <c r="E25" i="18"/>
  <c r="E293" i="18"/>
  <c r="E226" i="18"/>
  <c r="E222" i="18"/>
  <c r="E190" i="18"/>
  <c r="E176" i="18"/>
  <c r="E142" i="18"/>
  <c r="E111" i="18"/>
  <c r="E108" i="18"/>
  <c r="E245" i="18"/>
  <c r="E168" i="18"/>
  <c r="E260" i="18"/>
  <c r="E123" i="18"/>
  <c r="E120" i="18"/>
  <c r="E206" i="18"/>
  <c r="E143" i="18"/>
  <c r="E140" i="18"/>
  <c r="E126" i="18"/>
  <c r="E106" i="18"/>
  <c r="E99" i="18"/>
  <c r="E95" i="18"/>
  <c r="E91" i="18"/>
  <c r="E87" i="18"/>
  <c r="E83" i="18"/>
  <c r="E79" i="18"/>
  <c r="E75" i="18"/>
  <c r="E71" i="18"/>
  <c r="E67" i="18"/>
  <c r="E63" i="18"/>
  <c r="E220" i="18"/>
  <c r="E181" i="18"/>
  <c r="E160" i="18"/>
  <c r="E184" i="18"/>
  <c r="E172" i="18"/>
  <c r="E201" i="18"/>
  <c r="E198" i="18"/>
  <c r="E164" i="18"/>
  <c r="E127" i="18"/>
  <c r="E124" i="18"/>
  <c r="E110" i="18"/>
  <c r="E107" i="18"/>
  <c r="E55" i="18"/>
  <c r="E51" i="18"/>
  <c r="E47" i="18"/>
  <c r="E43" i="18"/>
  <c r="E39" i="18"/>
  <c r="E35" i="18"/>
  <c r="E31" i="18"/>
  <c r="E27" i="18"/>
  <c r="E72" i="18"/>
  <c r="E138" i="18"/>
  <c r="E76" i="18"/>
  <c r="E59" i="18"/>
  <c r="E80" i="18"/>
  <c r="E84" i="18"/>
  <c r="E88" i="18"/>
  <c r="E96" i="18"/>
  <c r="E34" i="18"/>
  <c r="E70" i="18"/>
  <c r="E131" i="18"/>
  <c r="E31" i="17"/>
  <c r="E43" i="17"/>
  <c r="E55" i="17"/>
  <c r="E67" i="17"/>
  <c r="E268" i="17"/>
  <c r="E289" i="17"/>
  <c r="E30" i="18"/>
  <c r="E56" i="18"/>
  <c r="E80" i="17"/>
  <c r="E88" i="17"/>
  <c r="E99" i="17"/>
  <c r="E112" i="17"/>
  <c r="E123" i="17"/>
  <c r="E136" i="17"/>
  <c r="E147" i="17"/>
  <c r="E160" i="17"/>
  <c r="E171" i="17"/>
  <c r="E184" i="17"/>
  <c r="E195" i="17"/>
  <c r="E208" i="17"/>
  <c r="E219" i="17"/>
  <c r="E232" i="17"/>
  <c r="E255" i="17"/>
  <c r="K295" i="17"/>
  <c r="K294" i="17"/>
  <c r="E26" i="18"/>
  <c r="E52" i="18"/>
  <c r="E132" i="18"/>
  <c r="K25" i="17"/>
  <c r="M19" i="17" s="1"/>
  <c r="E28" i="17"/>
  <c r="E71" i="17"/>
  <c r="E84" i="17"/>
  <c r="K239" i="17"/>
  <c r="K238" i="17"/>
  <c r="K243" i="17"/>
  <c r="K242" i="17"/>
  <c r="E247" i="17"/>
  <c r="E251" i="17"/>
  <c r="E264" i="17"/>
  <c r="E48" i="18"/>
  <c r="E92" i="18"/>
  <c r="E300" i="17"/>
  <c r="K19" i="18"/>
  <c r="K18" i="18"/>
  <c r="J44" i="18"/>
  <c r="E257" i="17"/>
  <c r="E281" i="17"/>
  <c r="E66" i="18"/>
  <c r="E78" i="18"/>
  <c r="E118" i="18"/>
  <c r="E122" i="18"/>
  <c r="E136" i="18"/>
  <c r="E144" i="18"/>
  <c r="E167" i="18"/>
  <c r="E261" i="17"/>
  <c r="E285" i="17"/>
  <c r="K2" i="18"/>
  <c r="E241" i="17"/>
  <c r="E265" i="17"/>
  <c r="K13" i="18"/>
  <c r="K115" i="18"/>
  <c r="K114" i="18"/>
  <c r="E254" i="17"/>
  <c r="K257" i="17"/>
  <c r="K260" i="17"/>
  <c r="E278" i="17"/>
  <c r="K281" i="17"/>
  <c r="K284" i="17"/>
  <c r="K60" i="18"/>
  <c r="K61" i="18"/>
  <c r="E115" i="18"/>
  <c r="E146" i="18"/>
  <c r="E245" i="17"/>
  <c r="E269" i="17"/>
  <c r="E102" i="18"/>
  <c r="E128" i="18"/>
  <c r="E212" i="18"/>
  <c r="K240" i="17"/>
  <c r="E258" i="17"/>
  <c r="K264" i="17"/>
  <c r="E282" i="17"/>
  <c r="K288" i="17"/>
  <c r="K292" i="17"/>
  <c r="K297" i="17"/>
  <c r="K301" i="17"/>
  <c r="E98" i="18"/>
  <c r="K235" i="17"/>
  <c r="E238" i="17"/>
  <c r="E249" i="17"/>
  <c r="E273" i="17"/>
  <c r="E94" i="18"/>
  <c r="E103" i="18"/>
  <c r="E134" i="18"/>
  <c r="E147" i="18"/>
  <c r="E156" i="18"/>
  <c r="K244" i="17"/>
  <c r="E262" i="17"/>
  <c r="K268" i="17"/>
  <c r="E286" i="17"/>
  <c r="E290" i="17"/>
  <c r="E294" i="17"/>
  <c r="E298" i="17"/>
  <c r="E90" i="18"/>
  <c r="E112" i="18"/>
  <c r="E152" i="18"/>
  <c r="E253" i="17"/>
  <c r="E277" i="17"/>
  <c r="K4" i="18"/>
  <c r="E62" i="18"/>
  <c r="E86" i="18"/>
  <c r="E104" i="18"/>
  <c r="E130" i="18"/>
  <c r="E135" i="18"/>
  <c r="E139" i="18"/>
  <c r="E209" i="18"/>
  <c r="E242" i="17"/>
  <c r="E266" i="17"/>
  <c r="K272" i="17"/>
  <c r="K57" i="18"/>
  <c r="E82" i="18"/>
  <c r="E148" i="18"/>
  <c r="E297" i="18"/>
  <c r="E121" i="18"/>
  <c r="K145" i="18"/>
  <c r="E162" i="18"/>
  <c r="K167" i="18"/>
  <c r="E177" i="18"/>
  <c r="E180" i="18"/>
  <c r="K17" i="19"/>
  <c r="K16" i="19"/>
  <c r="E129" i="18"/>
  <c r="E170" i="18"/>
  <c r="E178" i="18"/>
  <c r="E195" i="18"/>
  <c r="E216" i="18"/>
  <c r="E239" i="18"/>
  <c r="E243" i="18"/>
  <c r="E109" i="18"/>
  <c r="K123" i="18"/>
  <c r="K152" i="18"/>
  <c r="E158" i="18"/>
  <c r="E165" i="18"/>
  <c r="E175" i="18"/>
  <c r="E248" i="18"/>
  <c r="E252" i="18"/>
  <c r="K271" i="18"/>
  <c r="E287" i="18"/>
  <c r="E291" i="18"/>
  <c r="J242" i="19"/>
  <c r="K65" i="18"/>
  <c r="K69" i="18"/>
  <c r="K73" i="18"/>
  <c r="K77" i="18"/>
  <c r="K81" i="18"/>
  <c r="K85" i="18"/>
  <c r="K89" i="18"/>
  <c r="K93" i="18"/>
  <c r="K97" i="18"/>
  <c r="K101" i="18"/>
  <c r="K130" i="18"/>
  <c r="E137" i="18"/>
  <c r="E151" i="18"/>
  <c r="E192" i="18"/>
  <c r="E196" i="18"/>
  <c r="E213" i="18"/>
  <c r="E228" i="18"/>
  <c r="E244" i="18"/>
  <c r="K253" i="18"/>
  <c r="K252" i="18"/>
  <c r="K256" i="18"/>
  <c r="K268" i="18"/>
  <c r="K267" i="18"/>
  <c r="J102" i="19"/>
  <c r="E117" i="18"/>
  <c r="E153" i="18"/>
  <c r="E173" i="18"/>
  <c r="E217" i="18"/>
  <c r="E233" i="18"/>
  <c r="E253" i="18"/>
  <c r="E268" i="18"/>
  <c r="E276" i="18"/>
  <c r="E296" i="18"/>
  <c r="E300" i="18"/>
  <c r="K111" i="18"/>
  <c r="E145" i="18"/>
  <c r="E163" i="18"/>
  <c r="E182" i="18"/>
  <c r="E189" i="18"/>
  <c r="E193" i="18"/>
  <c r="E229" i="18"/>
  <c r="E281" i="18"/>
  <c r="E288" i="18"/>
  <c r="E292" i="18"/>
  <c r="K301" i="18"/>
  <c r="K300" i="18"/>
  <c r="K31" i="19"/>
  <c r="K32" i="19"/>
  <c r="E105" i="18"/>
  <c r="K118" i="18"/>
  <c r="E125" i="18"/>
  <c r="K139" i="18"/>
  <c r="K155" i="18"/>
  <c r="E161" i="18"/>
  <c r="E166" i="18"/>
  <c r="K171" i="18"/>
  <c r="E203" i="18"/>
  <c r="E237" i="18"/>
  <c r="E277" i="18"/>
  <c r="E301" i="18"/>
  <c r="E155" i="18"/>
  <c r="K159" i="18"/>
  <c r="E171" i="18"/>
  <c r="E200" i="18"/>
  <c r="E261" i="18"/>
  <c r="E285" i="18"/>
  <c r="M5" i="18"/>
  <c r="M6" i="18" s="1"/>
  <c r="M7" i="18" s="1"/>
  <c r="E133" i="18"/>
  <c r="K147" i="18"/>
  <c r="E157" i="18"/>
  <c r="E159" i="18"/>
  <c r="E174" i="18"/>
  <c r="E197" i="18"/>
  <c r="E204" i="18"/>
  <c r="K107" i="18"/>
  <c r="E113" i="18"/>
  <c r="K127" i="18"/>
  <c r="K164" i="18"/>
  <c r="E169" i="18"/>
  <c r="K183" i="18"/>
  <c r="K194" i="18"/>
  <c r="K208" i="18"/>
  <c r="K207" i="18"/>
  <c r="J57" i="19"/>
  <c r="K134" i="18"/>
  <c r="E141" i="18"/>
  <c r="K180" i="18"/>
  <c r="K204" i="18"/>
  <c r="E208" i="18"/>
  <c r="E187" i="18"/>
  <c r="E211" i="18"/>
  <c r="K216" i="18"/>
  <c r="E235" i="18"/>
  <c r="E283" i="18"/>
  <c r="E9" i="19"/>
  <c r="E41" i="19"/>
  <c r="E69" i="19"/>
  <c r="E148" i="19"/>
  <c r="J32" i="19"/>
  <c r="J94" i="19"/>
  <c r="K113" i="19"/>
  <c r="K112" i="19"/>
  <c r="J122" i="19"/>
  <c r="K197" i="18"/>
  <c r="E215" i="18"/>
  <c r="K220" i="18"/>
  <c r="E247" i="18"/>
  <c r="K264" i="18"/>
  <c r="E295" i="18"/>
  <c r="K6" i="19"/>
  <c r="E17" i="19"/>
  <c r="E24" i="19"/>
  <c r="J42" i="19"/>
  <c r="E65" i="19"/>
  <c r="E89" i="19"/>
  <c r="E251" i="18"/>
  <c r="E299" i="18"/>
  <c r="E8" i="19"/>
  <c r="E11" i="19"/>
  <c r="E20" i="19"/>
  <c r="E33" i="19"/>
  <c r="F32" i="19" s="1"/>
  <c r="E85" i="19"/>
  <c r="K129" i="19"/>
  <c r="K128" i="19"/>
  <c r="E183" i="18"/>
  <c r="K239" i="18"/>
  <c r="E255" i="18"/>
  <c r="K287" i="18"/>
  <c r="E27" i="19"/>
  <c r="E39" i="19"/>
  <c r="E61" i="19"/>
  <c r="E66" i="19"/>
  <c r="E90" i="19"/>
  <c r="E114" i="19"/>
  <c r="K185" i="18"/>
  <c r="E219" i="18"/>
  <c r="K228" i="18"/>
  <c r="K243" i="18"/>
  <c r="E259" i="18"/>
  <c r="K276" i="18"/>
  <c r="K11" i="19"/>
  <c r="E22" i="19"/>
  <c r="E25" i="19"/>
  <c r="K35" i="19"/>
  <c r="K36" i="19"/>
  <c r="E81" i="19"/>
  <c r="E134" i="19"/>
  <c r="E191" i="18"/>
  <c r="E207" i="18"/>
  <c r="K232" i="18"/>
  <c r="K247" i="18"/>
  <c r="E263" i="18"/>
  <c r="K280" i="18"/>
  <c r="K295" i="18"/>
  <c r="E3" i="19"/>
  <c r="E36" i="19"/>
  <c r="E62" i="19"/>
  <c r="E130" i="19"/>
  <c r="E179" i="18"/>
  <c r="K193" i="18"/>
  <c r="E267" i="18"/>
  <c r="K27" i="19"/>
  <c r="K28" i="19"/>
  <c r="E53" i="19"/>
  <c r="E58" i="19"/>
  <c r="G57" i="19" s="1"/>
  <c r="E178" i="19"/>
  <c r="E262" i="19"/>
  <c r="E199" i="18"/>
  <c r="K201" i="18"/>
  <c r="E223" i="18"/>
  <c r="E271" i="18"/>
  <c r="E278" i="19"/>
  <c r="E246" i="19"/>
  <c r="E230" i="19"/>
  <c r="E286" i="19"/>
  <c r="E171" i="19"/>
  <c r="E238" i="19"/>
  <c r="E210" i="19"/>
  <c r="E202" i="19"/>
  <c r="E166" i="19"/>
  <c r="E282" i="19"/>
  <c r="E214" i="19"/>
  <c r="E270" i="19"/>
  <c r="E226" i="19"/>
  <c r="E175" i="19"/>
  <c r="E167" i="19"/>
  <c r="E290" i="19"/>
  <c r="E35" i="19"/>
  <c r="E31" i="19"/>
  <c r="E118" i="19"/>
  <c r="E86" i="19"/>
  <c r="E74" i="19"/>
  <c r="E222" i="19"/>
  <c r="E106" i="19"/>
  <c r="E98" i="19"/>
  <c r="E82" i="19"/>
  <c r="E70" i="19"/>
  <c r="E38" i="19"/>
  <c r="E34" i="19"/>
  <c r="E30" i="19"/>
  <c r="E26" i="19"/>
  <c r="E10" i="19"/>
  <c r="E16" i="19"/>
  <c r="K23" i="19"/>
  <c r="E28" i="19"/>
  <c r="E37" i="19"/>
  <c r="E40" i="19"/>
  <c r="E49" i="19"/>
  <c r="E77" i="19"/>
  <c r="E110" i="19"/>
  <c r="E227" i="18"/>
  <c r="E275" i="18"/>
  <c r="E54" i="19"/>
  <c r="E73" i="19"/>
  <c r="E136" i="19"/>
  <c r="E231" i="18"/>
  <c r="E279" i="18"/>
  <c r="E5" i="19"/>
  <c r="E21" i="19"/>
  <c r="E29" i="19"/>
  <c r="E45" i="19"/>
  <c r="E50" i="19"/>
  <c r="E78" i="19"/>
  <c r="E126" i="19"/>
  <c r="E100" i="19"/>
  <c r="E104" i="19"/>
  <c r="E141" i="19"/>
  <c r="E155" i="19"/>
  <c r="E160" i="19"/>
  <c r="E67" i="19"/>
  <c r="E72" i="19"/>
  <c r="E79" i="19"/>
  <c r="E84" i="19"/>
  <c r="E91" i="19"/>
  <c r="E111" i="19"/>
  <c r="E113" i="19"/>
  <c r="E120" i="19"/>
  <c r="E127" i="19"/>
  <c r="E129" i="19"/>
  <c r="E139" i="19"/>
  <c r="E156" i="19"/>
  <c r="E174" i="19"/>
  <c r="E198" i="19"/>
  <c r="K233" i="19"/>
  <c r="K232" i="19"/>
  <c r="E43" i="19"/>
  <c r="K47" i="19"/>
  <c r="E51" i="19"/>
  <c r="K55" i="19"/>
  <c r="E59" i="19"/>
  <c r="K63" i="19"/>
  <c r="K68" i="19"/>
  <c r="K80" i="19"/>
  <c r="K92" i="19"/>
  <c r="K108" i="19"/>
  <c r="K124" i="19"/>
  <c r="E145" i="19"/>
  <c r="E152" i="19"/>
  <c r="E161" i="19"/>
  <c r="E170" i="19"/>
  <c r="K249" i="19"/>
  <c r="K248" i="19"/>
  <c r="E258" i="19"/>
  <c r="J42" i="20"/>
  <c r="E95" i="19"/>
  <c r="E142" i="19"/>
  <c r="E194" i="19"/>
  <c r="E218" i="19"/>
  <c r="E273" i="19"/>
  <c r="E48" i="19"/>
  <c r="E56" i="19"/>
  <c r="E64" i="19"/>
  <c r="E93" i="19"/>
  <c r="E99" i="19"/>
  <c r="E107" i="19"/>
  <c r="E109" i="19"/>
  <c r="E116" i="19"/>
  <c r="E123" i="19"/>
  <c r="F122" i="19" s="1"/>
  <c r="E125" i="19"/>
  <c r="E132" i="19"/>
  <c r="K136" i="19"/>
  <c r="K137" i="19"/>
  <c r="E149" i="19"/>
  <c r="E157" i="19"/>
  <c r="E189" i="19"/>
  <c r="E234" i="19"/>
  <c r="E254" i="19"/>
  <c r="E279" i="19"/>
  <c r="K42" i="19"/>
  <c r="K50" i="19"/>
  <c r="K58" i="19"/>
  <c r="K66" i="19"/>
  <c r="E71" i="19"/>
  <c r="E76" i="19"/>
  <c r="K78" i="19"/>
  <c r="E83" i="19"/>
  <c r="E88" i="19"/>
  <c r="K90" i="19"/>
  <c r="E97" i="19"/>
  <c r="E103" i="19"/>
  <c r="E105" i="19"/>
  <c r="E137" i="19"/>
  <c r="E146" i="19"/>
  <c r="E162" i="19"/>
  <c r="E250" i="19"/>
  <c r="E274" i="19"/>
  <c r="E101" i="19"/>
  <c r="E140" i="19"/>
  <c r="E143" i="19"/>
  <c r="E153" i="19"/>
  <c r="E190" i="19"/>
  <c r="J33" i="20"/>
  <c r="K73" i="19"/>
  <c r="K85" i="19"/>
  <c r="K110" i="19"/>
  <c r="E112" i="19"/>
  <c r="E119" i="19"/>
  <c r="E121" i="19"/>
  <c r="K126" i="19"/>
  <c r="E128" i="19"/>
  <c r="E135" i="19"/>
  <c r="E150" i="19"/>
  <c r="E158" i="19"/>
  <c r="E163" i="19"/>
  <c r="E172" i="19"/>
  <c r="E220" i="19"/>
  <c r="E47" i="19"/>
  <c r="E55" i="19"/>
  <c r="E63" i="19"/>
  <c r="K94" i="19"/>
  <c r="K138" i="19"/>
  <c r="E147" i="19"/>
  <c r="K38" i="19"/>
  <c r="E68" i="19"/>
  <c r="K70" i="19"/>
  <c r="E75" i="19"/>
  <c r="E80" i="19"/>
  <c r="K82" i="19"/>
  <c r="E87" i="19"/>
  <c r="E92" i="19"/>
  <c r="K98" i="19"/>
  <c r="K106" i="19"/>
  <c r="E138" i="19"/>
  <c r="E154" i="19"/>
  <c r="E159" i="19"/>
  <c r="E164" i="19"/>
  <c r="E186" i="19"/>
  <c r="E266" i="19"/>
  <c r="E276" i="19"/>
  <c r="K41" i="19"/>
  <c r="E44" i="19"/>
  <c r="K49" i="19"/>
  <c r="E52" i="19"/>
  <c r="K57" i="19"/>
  <c r="E60" i="19"/>
  <c r="K65" i="19"/>
  <c r="K76" i="19"/>
  <c r="K88" i="19"/>
  <c r="E96" i="19"/>
  <c r="K102" i="19"/>
  <c r="E108" i="19"/>
  <c r="E115" i="19"/>
  <c r="E117" i="19"/>
  <c r="K122" i="19"/>
  <c r="E124" i="19"/>
  <c r="E131" i="19"/>
  <c r="E133" i="19"/>
  <c r="E144" i="19"/>
  <c r="E151" i="19"/>
  <c r="E182" i="19"/>
  <c r="E206" i="19"/>
  <c r="E180" i="19"/>
  <c r="K182" i="19"/>
  <c r="K189" i="19"/>
  <c r="E196" i="19"/>
  <c r="K198" i="19"/>
  <c r="K218" i="19"/>
  <c r="E224" i="19"/>
  <c r="E256" i="19"/>
  <c r="E259" i="19"/>
  <c r="E300" i="19"/>
  <c r="E37" i="20"/>
  <c r="E76" i="20"/>
  <c r="K141" i="19"/>
  <c r="K145" i="19"/>
  <c r="K149" i="19"/>
  <c r="K153" i="19"/>
  <c r="K157" i="19"/>
  <c r="K161" i="19"/>
  <c r="E191" i="19"/>
  <c r="K202" i="19"/>
  <c r="K210" i="19"/>
  <c r="E216" i="19"/>
  <c r="E231" i="19"/>
  <c r="E233" i="19"/>
  <c r="K238" i="19"/>
  <c r="E240" i="19"/>
  <c r="E247" i="19"/>
  <c r="E249" i="19"/>
  <c r="K254" i="19"/>
  <c r="E293" i="19"/>
  <c r="E29" i="20"/>
  <c r="E38" i="20"/>
  <c r="E169" i="19"/>
  <c r="E177" i="19"/>
  <c r="E184" i="19"/>
  <c r="E200" i="19"/>
  <c r="K206" i="19"/>
  <c r="E212" i="19"/>
  <c r="K228" i="19"/>
  <c r="K244" i="19"/>
  <c r="E265" i="19"/>
  <c r="E268" i="19"/>
  <c r="E271" i="19"/>
  <c r="E25" i="20"/>
  <c r="E34" i="20"/>
  <c r="E43" i="20"/>
  <c r="E47" i="20"/>
  <c r="E72" i="20"/>
  <c r="E88" i="20"/>
  <c r="E94" i="20"/>
  <c r="E193" i="19"/>
  <c r="E204" i="19"/>
  <c r="E208" i="19"/>
  <c r="E227" i="19"/>
  <c r="E285" i="19"/>
  <c r="E288" i="19"/>
  <c r="E291" i="19"/>
  <c r="E297" i="19"/>
  <c r="E301" i="19"/>
  <c r="K13" i="20"/>
  <c r="E30" i="20"/>
  <c r="E39" i="20"/>
  <c r="E57" i="20"/>
  <c r="E179" i="19"/>
  <c r="K180" i="19"/>
  <c r="E195" i="19"/>
  <c r="K196" i="19"/>
  <c r="E223" i="19"/>
  <c r="K224" i="19"/>
  <c r="E229" i="19"/>
  <c r="E236" i="19"/>
  <c r="E243" i="19"/>
  <c r="E245" i="19"/>
  <c r="E252" i="19"/>
  <c r="E257" i="19"/>
  <c r="E260" i="19"/>
  <c r="E263" i="19"/>
  <c r="E294" i="19"/>
  <c r="E26" i="20"/>
  <c r="E35" i="20"/>
  <c r="E48" i="20"/>
  <c r="E68" i="20"/>
  <c r="E78" i="20"/>
  <c r="E100" i="20"/>
  <c r="E188" i="19"/>
  <c r="K190" i="19"/>
  <c r="E219" i="19"/>
  <c r="E277" i="19"/>
  <c r="E280" i="19"/>
  <c r="E283" i="19"/>
  <c r="E31" i="20"/>
  <c r="E44" i="20"/>
  <c r="E53" i="20"/>
  <c r="E165" i="19"/>
  <c r="E168" i="19"/>
  <c r="E176" i="19"/>
  <c r="E181" i="19"/>
  <c r="E197" i="19"/>
  <c r="E215" i="19"/>
  <c r="E225" i="19"/>
  <c r="E255" i="19"/>
  <c r="E298" i="19"/>
  <c r="E27" i="20"/>
  <c r="E40" i="20"/>
  <c r="E84" i="20"/>
  <c r="E90" i="20"/>
  <c r="E183" i="19"/>
  <c r="E199" i="19"/>
  <c r="E211" i="19"/>
  <c r="K217" i="19"/>
  <c r="E221" i="19"/>
  <c r="K230" i="19"/>
  <c r="E232" i="19"/>
  <c r="E239" i="19"/>
  <c r="E241" i="19"/>
  <c r="K246" i="19"/>
  <c r="E248" i="19"/>
  <c r="E269" i="19"/>
  <c r="E272" i="19"/>
  <c r="E275" i="19"/>
  <c r="E295" i="19"/>
  <c r="E300" i="20"/>
  <c r="E296" i="20"/>
  <c r="E292" i="20"/>
  <c r="E288" i="20"/>
  <c r="E284" i="20"/>
  <c r="E252" i="20"/>
  <c r="E244" i="20"/>
  <c r="E267" i="20"/>
  <c r="E255" i="20"/>
  <c r="E247" i="20"/>
  <c r="E241" i="20"/>
  <c r="E237" i="20"/>
  <c r="E233" i="20"/>
  <c r="E229" i="20"/>
  <c r="E225" i="20"/>
  <c r="E221" i="20"/>
  <c r="E217" i="20"/>
  <c r="E189" i="20"/>
  <c r="E272" i="20"/>
  <c r="E260" i="20"/>
  <c r="E242" i="20"/>
  <c r="E238" i="20"/>
  <c r="E234" i="20"/>
  <c r="E230" i="20"/>
  <c r="E226" i="20"/>
  <c r="E222" i="20"/>
  <c r="E218" i="20"/>
  <c r="E214" i="20"/>
  <c r="E210" i="20"/>
  <c r="E206" i="20"/>
  <c r="E202" i="20"/>
  <c r="E198" i="20"/>
  <c r="E194" i="20"/>
  <c r="E190" i="20"/>
  <c r="E186" i="20"/>
  <c r="E182" i="20"/>
  <c r="E178" i="20"/>
  <c r="E174" i="20"/>
  <c r="E268" i="20"/>
  <c r="E256" i="20"/>
  <c r="E248" i="20"/>
  <c r="E251" i="20"/>
  <c r="E239" i="20"/>
  <c r="E235" i="20"/>
  <c r="E231" i="20"/>
  <c r="E227" i="20"/>
  <c r="E223" i="20"/>
  <c r="E219" i="20"/>
  <c r="E215" i="20"/>
  <c r="E211" i="20"/>
  <c r="E207" i="20"/>
  <c r="E203" i="20"/>
  <c r="E199" i="20"/>
  <c r="E195" i="20"/>
  <c r="E191" i="20"/>
  <c r="E187" i="20"/>
  <c r="E183" i="20"/>
  <c r="E179" i="20"/>
  <c r="E243" i="20"/>
  <c r="E280" i="20"/>
  <c r="E240" i="20"/>
  <c r="E172" i="20"/>
  <c r="E167" i="20"/>
  <c r="E126" i="20"/>
  <c r="E122" i="20"/>
  <c r="E236" i="20"/>
  <c r="E264" i="20"/>
  <c r="E232" i="20"/>
  <c r="E212" i="20"/>
  <c r="E196" i="20"/>
  <c r="E180" i="20"/>
  <c r="E163" i="20"/>
  <c r="E160" i="20"/>
  <c r="E228" i="20"/>
  <c r="E158" i="20"/>
  <c r="E155" i="20"/>
  <c r="E152" i="20"/>
  <c r="E224" i="20"/>
  <c r="E208" i="20"/>
  <c r="E192" i="20"/>
  <c r="E171" i="20"/>
  <c r="E176" i="20"/>
  <c r="E168" i="20"/>
  <c r="E150" i="20"/>
  <c r="E147" i="20"/>
  <c r="E144" i="20"/>
  <c r="E276" i="20"/>
  <c r="E164" i="20"/>
  <c r="E220" i="20"/>
  <c r="E204" i="20"/>
  <c r="E188" i="20"/>
  <c r="E142" i="20"/>
  <c r="E125" i="20"/>
  <c r="E216" i="20"/>
  <c r="E200" i="20"/>
  <c r="E184" i="20"/>
  <c r="E175" i="20"/>
  <c r="E154" i="20"/>
  <c r="E151" i="20"/>
  <c r="E148" i="20"/>
  <c r="E112" i="20"/>
  <c r="E62" i="20"/>
  <c r="E56" i="20"/>
  <c r="E52" i="20"/>
  <c r="E108" i="20"/>
  <c r="E24" i="20"/>
  <c r="E124" i="20"/>
  <c r="E120" i="20"/>
  <c r="E98" i="20"/>
  <c r="E82" i="20"/>
  <c r="E58" i="20"/>
  <c r="E116" i="20"/>
  <c r="E104" i="20"/>
  <c r="E36" i="20"/>
  <c r="E49" i="20"/>
  <c r="E64" i="20"/>
  <c r="E74" i="20"/>
  <c r="E96" i="20"/>
  <c r="K170" i="19"/>
  <c r="E173" i="19"/>
  <c r="K178" i="19"/>
  <c r="K185" i="19"/>
  <c r="E192" i="19"/>
  <c r="K194" i="19"/>
  <c r="K201" i="19"/>
  <c r="E203" i="19"/>
  <c r="E207" i="19"/>
  <c r="K213" i="19"/>
  <c r="E217" i="19"/>
  <c r="K236" i="19"/>
  <c r="E289" i="19"/>
  <c r="E292" i="19"/>
  <c r="E299" i="19"/>
  <c r="K19" i="20"/>
  <c r="E32" i="20"/>
  <c r="E54" i="20"/>
  <c r="E102" i="20"/>
  <c r="K167" i="19"/>
  <c r="K175" i="19"/>
  <c r="E185" i="19"/>
  <c r="K187" i="19"/>
  <c r="E201" i="19"/>
  <c r="K205" i="19"/>
  <c r="K209" i="19"/>
  <c r="E213" i="19"/>
  <c r="K226" i="19"/>
  <c r="E261" i="19"/>
  <c r="E264" i="19"/>
  <c r="E267" i="19"/>
  <c r="E28" i="20"/>
  <c r="E45" i="20"/>
  <c r="E60" i="20"/>
  <c r="E70" i="20"/>
  <c r="E80" i="20"/>
  <c r="E187" i="19"/>
  <c r="E205" i="19"/>
  <c r="E209" i="19"/>
  <c r="K222" i="19"/>
  <c r="E228" i="19"/>
  <c r="E235" i="19"/>
  <c r="E237" i="19"/>
  <c r="K242" i="19"/>
  <c r="E244" i="19"/>
  <c r="E251" i="19"/>
  <c r="E253" i="19"/>
  <c r="E281" i="19"/>
  <c r="E284" i="19"/>
  <c r="E287" i="19"/>
  <c r="E296" i="19"/>
  <c r="E3" i="20"/>
  <c r="K7" i="20"/>
  <c r="M19" i="20" s="1"/>
  <c r="E41" i="20"/>
  <c r="E50" i="20"/>
  <c r="E55" i="20"/>
  <c r="E86" i="20"/>
  <c r="E92" i="20"/>
  <c r="E119" i="20"/>
  <c r="E140" i="20"/>
  <c r="E146" i="20"/>
  <c r="K112" i="20"/>
  <c r="K113" i="20"/>
  <c r="E127" i="20"/>
  <c r="E132" i="20"/>
  <c r="E61" i="20"/>
  <c r="E69" i="20"/>
  <c r="E77" i="20"/>
  <c r="E110" i="20"/>
  <c r="E113" i="20"/>
  <c r="E123" i="20"/>
  <c r="E107" i="20"/>
  <c r="E128" i="20"/>
  <c r="K116" i="20"/>
  <c r="K117" i="20"/>
  <c r="E159" i="20"/>
  <c r="K57" i="20"/>
  <c r="E63" i="20"/>
  <c r="E71" i="20"/>
  <c r="E79" i="20"/>
  <c r="K100" i="20"/>
  <c r="E105" i="20"/>
  <c r="E114" i="20"/>
  <c r="E117" i="20"/>
  <c r="M5" i="20"/>
  <c r="M6" i="20" s="1"/>
  <c r="M7" i="20" s="1"/>
  <c r="E103" i="20"/>
  <c r="E111" i="20"/>
  <c r="K120" i="20"/>
  <c r="K121" i="20"/>
  <c r="E134" i="20"/>
  <c r="E138" i="20"/>
  <c r="E143" i="20"/>
  <c r="K65" i="20"/>
  <c r="K73" i="20"/>
  <c r="K81" i="20"/>
  <c r="K96" i="20"/>
  <c r="E101" i="20"/>
  <c r="E121" i="20"/>
  <c r="K124" i="20"/>
  <c r="K125" i="20"/>
  <c r="E65" i="20"/>
  <c r="E73" i="20"/>
  <c r="E81" i="20"/>
  <c r="E99" i="20"/>
  <c r="E118" i="20"/>
  <c r="E130" i="20"/>
  <c r="E83" i="20"/>
  <c r="K92" i="20"/>
  <c r="E97" i="20"/>
  <c r="E115" i="20"/>
  <c r="E135" i="20"/>
  <c r="E139" i="20"/>
  <c r="K59" i="20"/>
  <c r="K67" i="20"/>
  <c r="K75" i="20"/>
  <c r="K85" i="20"/>
  <c r="E87" i="20"/>
  <c r="K89" i="20"/>
  <c r="E91" i="20"/>
  <c r="E95" i="20"/>
  <c r="E106" i="20"/>
  <c r="K108" i="20"/>
  <c r="K109" i="20"/>
  <c r="E131" i="20"/>
  <c r="E156" i="20"/>
  <c r="E162" i="20"/>
  <c r="E59" i="20"/>
  <c r="E67" i="20"/>
  <c r="E75" i="20"/>
  <c r="E85" i="20"/>
  <c r="E89" i="20"/>
  <c r="E93" i="20"/>
  <c r="E109" i="20"/>
  <c r="E136" i="20"/>
  <c r="K141" i="20"/>
  <c r="E181" i="20"/>
  <c r="E197" i="20"/>
  <c r="E213" i="20"/>
  <c r="K240" i="20"/>
  <c r="K241" i="20"/>
  <c r="J29" i="21"/>
  <c r="E145" i="20"/>
  <c r="E170" i="20"/>
  <c r="K188" i="20"/>
  <c r="E275" i="20"/>
  <c r="J59" i="21"/>
  <c r="K146" i="20"/>
  <c r="K185" i="20"/>
  <c r="K200" i="20"/>
  <c r="K201" i="20"/>
  <c r="K216" i="20"/>
  <c r="K217" i="20"/>
  <c r="K129" i="20"/>
  <c r="E153" i="20"/>
  <c r="K168" i="20"/>
  <c r="K170" i="20"/>
  <c r="E173" i="20"/>
  <c r="E185" i="20"/>
  <c r="E201" i="20"/>
  <c r="K246" i="20"/>
  <c r="E250" i="20"/>
  <c r="E271" i="20"/>
  <c r="K127" i="20"/>
  <c r="E133" i="20"/>
  <c r="K154" i="20"/>
  <c r="K157" i="20"/>
  <c r="E166" i="20"/>
  <c r="E161" i="20"/>
  <c r="K204" i="20"/>
  <c r="K205" i="20"/>
  <c r="K220" i="20"/>
  <c r="K221" i="20"/>
  <c r="E263" i="20"/>
  <c r="E141" i="20"/>
  <c r="E205" i="20"/>
  <c r="E259" i="20"/>
  <c r="K145" i="20"/>
  <c r="K180" i="20"/>
  <c r="K143" i="20"/>
  <c r="E149" i="20"/>
  <c r="K177" i="20"/>
  <c r="K193" i="20"/>
  <c r="K208" i="20"/>
  <c r="K209" i="20"/>
  <c r="K224" i="20"/>
  <c r="K225" i="20"/>
  <c r="E278" i="20"/>
  <c r="E129" i="20"/>
  <c r="E169" i="20"/>
  <c r="E177" i="20"/>
  <c r="E193" i="20"/>
  <c r="E209" i="20"/>
  <c r="K228" i="20"/>
  <c r="K229" i="20"/>
  <c r="J33" i="21"/>
  <c r="K151" i="20"/>
  <c r="E157" i="20"/>
  <c r="E165" i="20"/>
  <c r="K184" i="20"/>
  <c r="K232" i="20"/>
  <c r="K233" i="20"/>
  <c r="E137" i="20"/>
  <c r="K196" i="20"/>
  <c r="K197" i="20"/>
  <c r="K212" i="20"/>
  <c r="K213" i="20"/>
  <c r="K236" i="20"/>
  <c r="K237" i="20"/>
  <c r="K253" i="20"/>
  <c r="E265" i="20"/>
  <c r="E249" i="20"/>
  <c r="E257" i="20"/>
  <c r="E269" i="20"/>
  <c r="E285" i="20"/>
  <c r="E293" i="20"/>
  <c r="E301" i="20"/>
  <c r="E50" i="21"/>
  <c r="K63" i="21"/>
  <c r="K64" i="21"/>
  <c r="E246" i="20"/>
  <c r="E254" i="20"/>
  <c r="E283" i="20"/>
  <c r="E291" i="20"/>
  <c r="E299" i="20"/>
  <c r="E18" i="21"/>
  <c r="K46" i="21"/>
  <c r="K45" i="21"/>
  <c r="K262" i="20"/>
  <c r="E266" i="20"/>
  <c r="K274" i="20"/>
  <c r="E231" i="21"/>
  <c r="E261" i="20"/>
  <c r="E273" i="20"/>
  <c r="K278" i="20"/>
  <c r="K294" i="20"/>
  <c r="K293" i="20"/>
  <c r="E301" i="21"/>
  <c r="E297" i="21"/>
  <c r="E293" i="21"/>
  <c r="E289" i="21"/>
  <c r="E300" i="21"/>
  <c r="E296" i="21"/>
  <c r="E290" i="21"/>
  <c r="E285" i="21"/>
  <c r="E292" i="21"/>
  <c r="E288" i="21"/>
  <c r="E291" i="21"/>
  <c r="E287" i="21"/>
  <c r="E294" i="21"/>
  <c r="E215" i="21"/>
  <c r="E205" i="21"/>
  <c r="E277" i="21"/>
  <c r="E249" i="21"/>
  <c r="E227" i="21"/>
  <c r="E225" i="21"/>
  <c r="E213" i="21"/>
  <c r="E253" i="21"/>
  <c r="E257" i="21"/>
  <c r="E255" i="21"/>
  <c r="E261" i="21"/>
  <c r="E221" i="21"/>
  <c r="E209" i="21"/>
  <c r="E265" i="21"/>
  <c r="E201" i="21"/>
  <c r="E295" i="21"/>
  <c r="E281" i="21"/>
  <c r="E269" i="21"/>
  <c r="E267" i="21"/>
  <c r="E207" i="21"/>
  <c r="E273" i="21"/>
  <c r="E241" i="21"/>
  <c r="E237" i="21"/>
  <c r="E233" i="21"/>
  <c r="E243" i="21"/>
  <c r="E165" i="21"/>
  <c r="E145" i="21"/>
  <c r="E149" i="21"/>
  <c r="E141" i="21"/>
  <c r="E101" i="21"/>
  <c r="E97" i="21"/>
  <c r="E93" i="21"/>
  <c r="E89" i="21"/>
  <c r="E85" i="21"/>
  <c r="E81" i="21"/>
  <c r="E77" i="21"/>
  <c r="E73" i="21"/>
  <c r="E69" i="21"/>
  <c r="E65" i="21"/>
  <c r="E61" i="21"/>
  <c r="E57" i="21"/>
  <c r="E53" i="21"/>
  <c r="E49" i="21"/>
  <c r="E45" i="21"/>
  <c r="E41" i="21"/>
  <c r="E137" i="21"/>
  <c r="E169" i="21"/>
  <c r="E102" i="21"/>
  <c r="E98" i="21"/>
  <c r="E94" i="21"/>
  <c r="E245" i="21"/>
  <c r="E235" i="21"/>
  <c r="E113" i="21"/>
  <c r="E239" i="21"/>
  <c r="E107" i="21"/>
  <c r="E104" i="21"/>
  <c r="E117" i="21"/>
  <c r="E103" i="21"/>
  <c r="E37" i="21"/>
  <c r="E79" i="21"/>
  <c r="E71" i="21"/>
  <c r="E63" i="21"/>
  <c r="E56" i="21"/>
  <c r="E54" i="21"/>
  <c r="E47" i="21"/>
  <c r="E40" i="21"/>
  <c r="E32" i="21"/>
  <c r="E24" i="21"/>
  <c r="E38" i="21"/>
  <c r="E75" i="21"/>
  <c r="E21" i="21"/>
  <c r="E87" i="21"/>
  <c r="E64" i="21"/>
  <c r="E62" i="21"/>
  <c r="E55" i="21"/>
  <c r="E48" i="21"/>
  <c r="E46" i="21"/>
  <c r="E36" i="21"/>
  <c r="E91" i="21"/>
  <c r="E99" i="21"/>
  <c r="E83" i="21"/>
  <c r="E67" i="21"/>
  <c r="E60" i="21"/>
  <c r="F59" i="21" s="1"/>
  <c r="E58" i="21"/>
  <c r="E51" i="21"/>
  <c r="E44" i="21"/>
  <c r="E42" i="21"/>
  <c r="E17" i="21"/>
  <c r="E11" i="21"/>
  <c r="E5" i="21"/>
  <c r="E7" i="21"/>
  <c r="E10" i="21"/>
  <c r="E22" i="21"/>
  <c r="J25" i="21"/>
  <c r="E30" i="21"/>
  <c r="G29" i="21" s="1"/>
  <c r="E286" i="20"/>
  <c r="E294" i="20"/>
  <c r="E34" i="21"/>
  <c r="E52" i="21"/>
  <c r="E95" i="21"/>
  <c r="E245" i="20"/>
  <c r="E253" i="20"/>
  <c r="K277" i="20"/>
  <c r="E279" i="20"/>
  <c r="E281" i="20"/>
  <c r="E289" i="20"/>
  <c r="E297" i="20"/>
  <c r="E2" i="21"/>
  <c r="E13" i="21"/>
  <c r="E16" i="21"/>
  <c r="E26" i="21"/>
  <c r="G25" i="21" s="1"/>
  <c r="E39" i="21"/>
  <c r="K47" i="21"/>
  <c r="K48" i="21"/>
  <c r="E258" i="20"/>
  <c r="K260" i="20"/>
  <c r="E270" i="20"/>
  <c r="K272" i="20"/>
  <c r="E277" i="20"/>
  <c r="E19" i="21"/>
  <c r="E23" i="21"/>
  <c r="E31" i="21"/>
  <c r="E43" i="21"/>
  <c r="E66" i="21"/>
  <c r="E287" i="20"/>
  <c r="E295" i="20"/>
  <c r="E27" i="21"/>
  <c r="E35" i="21"/>
  <c r="K62" i="21"/>
  <c r="K61" i="21"/>
  <c r="K244" i="20"/>
  <c r="K252" i="20"/>
  <c r="E8" i="21"/>
  <c r="K36" i="21"/>
  <c r="K35" i="21"/>
  <c r="K282" i="20"/>
  <c r="K290" i="20"/>
  <c r="K289" i="20"/>
  <c r="K298" i="20"/>
  <c r="K297" i="20"/>
  <c r="E3" i="21"/>
  <c r="E20" i="21"/>
  <c r="E28" i="21"/>
  <c r="K258" i="20"/>
  <c r="E262" i="20"/>
  <c r="K264" i="20"/>
  <c r="K270" i="20"/>
  <c r="E274" i="20"/>
  <c r="E282" i="20"/>
  <c r="K285" i="20"/>
  <c r="E290" i="20"/>
  <c r="E298" i="20"/>
  <c r="E6" i="21"/>
  <c r="E14" i="21"/>
  <c r="E109" i="21"/>
  <c r="K8" i="21"/>
  <c r="K14" i="21"/>
  <c r="K20" i="21"/>
  <c r="E72" i="21"/>
  <c r="E80" i="21"/>
  <c r="E133" i="21"/>
  <c r="E153" i="21"/>
  <c r="K25" i="21"/>
  <c r="K29" i="21"/>
  <c r="K69" i="21"/>
  <c r="K77" i="21"/>
  <c r="K83" i="21"/>
  <c r="K84" i="21"/>
  <c r="E100" i="21"/>
  <c r="E129" i="21"/>
  <c r="K144" i="21"/>
  <c r="K143" i="21"/>
  <c r="K49" i="21"/>
  <c r="K67" i="21"/>
  <c r="K68" i="21"/>
  <c r="E84" i="21"/>
  <c r="E96" i="21"/>
  <c r="E119" i="21"/>
  <c r="E125" i="21"/>
  <c r="E275" i="21"/>
  <c r="E68" i="21"/>
  <c r="E70" i="21"/>
  <c r="E78" i="21"/>
  <c r="E92" i="21"/>
  <c r="E105" i="21"/>
  <c r="E192" i="21"/>
  <c r="E88" i="21"/>
  <c r="K75" i="21"/>
  <c r="K76" i="21"/>
  <c r="K81" i="21"/>
  <c r="E106" i="21"/>
  <c r="E140" i="21"/>
  <c r="E161" i="21"/>
  <c r="E76" i="21"/>
  <c r="E121" i="21"/>
  <c r="E146" i="21"/>
  <c r="E82" i="21"/>
  <c r="E157" i="21"/>
  <c r="K52" i="21"/>
  <c r="K71" i="21"/>
  <c r="K72" i="21"/>
  <c r="E74" i="21"/>
  <c r="K79" i="21"/>
  <c r="K80" i="21"/>
  <c r="E86" i="21"/>
  <c r="E90" i="21"/>
  <c r="E148" i="21"/>
  <c r="E128" i="21"/>
  <c r="E134" i="21"/>
  <c r="E181" i="21"/>
  <c r="E186" i="21"/>
  <c r="E191" i="21"/>
  <c r="K211" i="21"/>
  <c r="E111" i="21"/>
  <c r="E132" i="21"/>
  <c r="E138" i="21"/>
  <c r="K139" i="21"/>
  <c r="K147" i="21"/>
  <c r="K173" i="21"/>
  <c r="E196" i="21"/>
  <c r="E211" i="21"/>
  <c r="E115" i="21"/>
  <c r="E136" i="21"/>
  <c r="E142" i="21"/>
  <c r="E150" i="21"/>
  <c r="E152" i="21"/>
  <c r="E159" i="21"/>
  <c r="E166" i="21"/>
  <c r="E168" i="21"/>
  <c r="E173" i="21"/>
  <c r="E177" i="21"/>
  <c r="E182" i="21"/>
  <c r="E187" i="21"/>
  <c r="K254" i="21"/>
  <c r="K253" i="21"/>
  <c r="E123" i="21"/>
  <c r="E144" i="21"/>
  <c r="E178" i="21"/>
  <c r="E183" i="21"/>
  <c r="E197" i="21"/>
  <c r="E202" i="21"/>
  <c r="E217" i="21"/>
  <c r="E271" i="21"/>
  <c r="K107" i="21"/>
  <c r="E127" i="21"/>
  <c r="K153" i="21"/>
  <c r="E155" i="21"/>
  <c r="E162" i="21"/>
  <c r="E164" i="21"/>
  <c r="K169" i="21"/>
  <c r="E171" i="21"/>
  <c r="E174" i="21"/>
  <c r="E188" i="21"/>
  <c r="E259" i="21"/>
  <c r="E263" i="21"/>
  <c r="K88" i="21"/>
  <c r="K92" i="21"/>
  <c r="K96" i="21"/>
  <c r="K100" i="21"/>
  <c r="E110" i="21"/>
  <c r="E131" i="21"/>
  <c r="K137" i="21"/>
  <c r="K159" i="21"/>
  <c r="E179" i="21"/>
  <c r="E193" i="21"/>
  <c r="E198" i="21"/>
  <c r="E203" i="21"/>
  <c r="E222" i="21"/>
  <c r="E108" i="21"/>
  <c r="K112" i="21"/>
  <c r="E114" i="21"/>
  <c r="E135" i="21"/>
  <c r="K141" i="21"/>
  <c r="K149" i="21"/>
  <c r="E184" i="21"/>
  <c r="E112" i="21"/>
  <c r="K116" i="21"/>
  <c r="E118" i="21"/>
  <c r="E139" i="21"/>
  <c r="K145" i="21"/>
  <c r="E151" i="21"/>
  <c r="E158" i="21"/>
  <c r="E160" i="21"/>
  <c r="K165" i="21"/>
  <c r="E167" i="21"/>
  <c r="E175" i="21"/>
  <c r="E189" i="21"/>
  <c r="E194" i="21"/>
  <c r="E199" i="21"/>
  <c r="E223" i="21"/>
  <c r="E251" i="21"/>
  <c r="K103" i="21"/>
  <c r="E116" i="21"/>
  <c r="K120" i="21"/>
  <c r="E122" i="21"/>
  <c r="E143" i="21"/>
  <c r="E147" i="21"/>
  <c r="K155" i="21"/>
  <c r="K171" i="21"/>
  <c r="K172" i="21"/>
  <c r="E180" i="21"/>
  <c r="E247" i="21"/>
  <c r="E120" i="21"/>
  <c r="K124" i="21"/>
  <c r="E126" i="21"/>
  <c r="E172" i="21"/>
  <c r="K175" i="21"/>
  <c r="K176" i="21"/>
  <c r="E185" i="21"/>
  <c r="E190" i="21"/>
  <c r="E195" i="21"/>
  <c r="E219" i="21"/>
  <c r="E229" i="21"/>
  <c r="E124" i="21"/>
  <c r="K128" i="21"/>
  <c r="E130" i="21"/>
  <c r="K131" i="21"/>
  <c r="E154" i="21"/>
  <c r="E156" i="21"/>
  <c r="K161" i="21"/>
  <c r="E163" i="21"/>
  <c r="E170" i="21"/>
  <c r="E176" i="21"/>
  <c r="E200" i="21"/>
  <c r="E210" i="21"/>
  <c r="E290" i="22"/>
  <c r="E288" i="22"/>
  <c r="E281" i="22"/>
  <c r="E274" i="22"/>
  <c r="E272" i="22"/>
  <c r="E265" i="22"/>
  <c r="E258" i="22"/>
  <c r="E233" i="22"/>
  <c r="E228" i="22"/>
  <c r="E210" i="22"/>
  <c r="E256" i="22"/>
  <c r="E208" i="22"/>
  <c r="E236" i="22"/>
  <c r="E293" i="22"/>
  <c r="E286" i="22"/>
  <c r="E284" i="22"/>
  <c r="E277" i="22"/>
  <c r="E270" i="22"/>
  <c r="E268" i="22"/>
  <c r="E261" i="22"/>
  <c r="E246" i="22"/>
  <c r="E221" i="22"/>
  <c r="E216" i="22"/>
  <c r="E244" i="22"/>
  <c r="E196" i="22"/>
  <c r="E229" i="22"/>
  <c r="E224" i="22"/>
  <c r="E289" i="22"/>
  <c r="E282" i="22"/>
  <c r="E280" i="22"/>
  <c r="E273" i="22"/>
  <c r="E266" i="22"/>
  <c r="E264" i="22"/>
  <c r="E257" i="22"/>
  <c r="E252" i="22"/>
  <c r="E234" i="22"/>
  <c r="E209" i="22"/>
  <c r="E204" i="22"/>
  <c r="E300" i="22"/>
  <c r="E232" i="22"/>
  <c r="E296" i="22"/>
  <c r="E242" i="22"/>
  <c r="E217" i="22"/>
  <c r="E212" i="22"/>
  <c r="E298" i="22"/>
  <c r="E292" i="22"/>
  <c r="E278" i="22"/>
  <c r="E276" i="22"/>
  <c r="E262" i="22"/>
  <c r="E260" i="22"/>
  <c r="E240" i="22"/>
  <c r="E192" i="22"/>
  <c r="E198" i="22"/>
  <c r="E176" i="22"/>
  <c r="E250" i="22"/>
  <c r="E230" i="22"/>
  <c r="E200" i="22"/>
  <c r="E174" i="22"/>
  <c r="E162" i="22"/>
  <c r="E152" i="22"/>
  <c r="E149" i="22"/>
  <c r="E142" i="22"/>
  <c r="E138" i="22"/>
  <c r="E134" i="22"/>
  <c r="E130" i="22"/>
  <c r="E126" i="22"/>
  <c r="E253" i="22"/>
  <c r="E220" i="22"/>
  <c r="E205" i="22"/>
  <c r="E248" i="22"/>
  <c r="E85" i="22"/>
  <c r="E150" i="22"/>
  <c r="E133" i="22"/>
  <c r="E117" i="22"/>
  <c r="E80" i="22"/>
  <c r="E141" i="22"/>
  <c r="E109" i="22"/>
  <c r="E225" i="22"/>
  <c r="E186" i="22"/>
  <c r="E77" i="22"/>
  <c r="E73" i="22"/>
  <c r="E69" i="22"/>
  <c r="E294" i="22"/>
  <c r="E194" i="22"/>
  <c r="E182" i="22"/>
  <c r="E158" i="22"/>
  <c r="E129" i="22"/>
  <c r="E164" i="22"/>
  <c r="E89" i="22"/>
  <c r="E84" i="22"/>
  <c r="E78" i="22"/>
  <c r="E74" i="22"/>
  <c r="E70" i="22"/>
  <c r="E66" i="22"/>
  <c r="E62" i="22"/>
  <c r="E58" i="22"/>
  <c r="E137" i="22"/>
  <c r="E170" i="22"/>
  <c r="E154" i="22"/>
  <c r="E75" i="22"/>
  <c r="E145" i="22"/>
  <c r="E54" i="22"/>
  <c r="E42" i="22"/>
  <c r="E30" i="22"/>
  <c r="E125" i="22"/>
  <c r="E27" i="22"/>
  <c r="E50" i="22"/>
  <c r="E38" i="22"/>
  <c r="E92" i="22"/>
  <c r="E59" i="22"/>
  <c r="E26" i="22"/>
  <c r="E105" i="22"/>
  <c r="E79" i="22"/>
  <c r="E46" i="22"/>
  <c r="E34" i="22"/>
  <c r="E55" i="22"/>
  <c r="K180" i="21"/>
  <c r="K184" i="21"/>
  <c r="K188" i="21"/>
  <c r="K192" i="21"/>
  <c r="K196" i="21"/>
  <c r="K200" i="21"/>
  <c r="E212" i="21"/>
  <c r="E224" i="21"/>
  <c r="K225" i="21"/>
  <c r="K249" i="21"/>
  <c r="E252" i="21"/>
  <c r="E254" i="21"/>
  <c r="E284" i="21"/>
  <c r="E278" i="21"/>
  <c r="E299" i="21"/>
  <c r="E51" i="22"/>
  <c r="E204" i="21"/>
  <c r="E226" i="21"/>
  <c r="E228" i="21"/>
  <c r="K229" i="21"/>
  <c r="E248" i="21"/>
  <c r="E250" i="21"/>
  <c r="E276" i="21"/>
  <c r="E24" i="22"/>
  <c r="E29" i="22"/>
  <c r="E214" i="21"/>
  <c r="E43" i="22"/>
  <c r="E47" i="22"/>
  <c r="K206" i="21"/>
  <c r="E216" i="21"/>
  <c r="E230" i="21"/>
  <c r="E232" i="21"/>
  <c r="E236" i="21"/>
  <c r="E240" i="21"/>
  <c r="E244" i="21"/>
  <c r="E246" i="21"/>
  <c r="E279" i="21"/>
  <c r="E71" i="22"/>
  <c r="E206" i="21"/>
  <c r="E272" i="21"/>
  <c r="E274" i="21"/>
  <c r="E39" i="22"/>
  <c r="E234" i="21"/>
  <c r="E238" i="21"/>
  <c r="E242" i="21"/>
  <c r="E268" i="21"/>
  <c r="E282" i="21"/>
  <c r="K286" i="21"/>
  <c r="K285" i="21"/>
  <c r="E53" i="22"/>
  <c r="E67" i="22"/>
  <c r="K208" i="21"/>
  <c r="E218" i="21"/>
  <c r="K261" i="21"/>
  <c r="E264" i="21"/>
  <c r="E270" i="21"/>
  <c r="E286" i="21"/>
  <c r="E31" i="22"/>
  <c r="E35" i="22"/>
  <c r="E120" i="22"/>
  <c r="E208" i="21"/>
  <c r="E220" i="21"/>
  <c r="E260" i="21"/>
  <c r="E266" i="21"/>
  <c r="E280" i="21"/>
  <c r="E22" i="22"/>
  <c r="E63" i="22"/>
  <c r="E262" i="21"/>
  <c r="E283" i="21"/>
  <c r="M5" i="22"/>
  <c r="M6" i="22" s="1"/>
  <c r="M7" i="22" s="1"/>
  <c r="K210" i="21"/>
  <c r="K222" i="21"/>
  <c r="E256" i="21"/>
  <c r="E258" i="21"/>
  <c r="E298" i="21"/>
  <c r="E41" i="22"/>
  <c r="E76" i="22"/>
  <c r="E96" i="22"/>
  <c r="E110" i="22"/>
  <c r="E173" i="22"/>
  <c r="K212" i="22"/>
  <c r="K211" i="22"/>
  <c r="K292" i="21"/>
  <c r="E88" i="22"/>
  <c r="E101" i="22"/>
  <c r="E115" i="22"/>
  <c r="E128" i="22"/>
  <c r="E32" i="22"/>
  <c r="E44" i="22"/>
  <c r="E56" i="22"/>
  <c r="E97" i="22"/>
  <c r="E201" i="22"/>
  <c r="E60" i="22"/>
  <c r="E98" i="22"/>
  <c r="E148" i="22"/>
  <c r="E93" i="22"/>
  <c r="E160" i="22"/>
  <c r="E36" i="22"/>
  <c r="E48" i="22"/>
  <c r="E64" i="22"/>
  <c r="E81" i="22"/>
  <c r="E121" i="22"/>
  <c r="E33" i="22"/>
  <c r="E45" i="22"/>
  <c r="E57" i="22"/>
  <c r="E94" i="22"/>
  <c r="E68" i="22"/>
  <c r="E82" i="22"/>
  <c r="K86" i="22"/>
  <c r="E131" i="22"/>
  <c r="E23" i="22"/>
  <c r="E25" i="22"/>
  <c r="E28" i="22"/>
  <c r="E61" i="22"/>
  <c r="E113" i="22"/>
  <c r="E40" i="22"/>
  <c r="E52" i="22"/>
  <c r="E72" i="22"/>
  <c r="E83" i="22"/>
  <c r="E37" i="22"/>
  <c r="E49" i="22"/>
  <c r="E65" i="22"/>
  <c r="E87" i="22"/>
  <c r="E118" i="22"/>
  <c r="E123" i="22"/>
  <c r="E202" i="22"/>
  <c r="K90" i="22"/>
  <c r="E103" i="22"/>
  <c r="E108" i="22"/>
  <c r="K121" i="22"/>
  <c r="E140" i="22"/>
  <c r="E143" i="22"/>
  <c r="E161" i="22"/>
  <c r="E178" i="22"/>
  <c r="E91" i="22"/>
  <c r="E106" i="22"/>
  <c r="E111" i="22"/>
  <c r="E116" i="22"/>
  <c r="E132" i="22"/>
  <c r="E146" i="22"/>
  <c r="E168" i="22"/>
  <c r="E171" i="22"/>
  <c r="E86" i="22"/>
  <c r="E99" i="22"/>
  <c r="E135" i="22"/>
  <c r="E155" i="22"/>
  <c r="E249" i="22"/>
  <c r="E95" i="22"/>
  <c r="E114" i="22"/>
  <c r="E119" i="22"/>
  <c r="E124" i="22"/>
  <c r="K179" i="22"/>
  <c r="K178" i="22"/>
  <c r="E199" i="22"/>
  <c r="E235" i="22"/>
  <c r="K80" i="22"/>
  <c r="E104" i="22"/>
  <c r="K117" i="22"/>
  <c r="E127" i="22"/>
  <c r="E144" i="22"/>
  <c r="K150" i="22"/>
  <c r="K239" i="22"/>
  <c r="K240" i="22"/>
  <c r="E245" i="22"/>
  <c r="K102" i="22"/>
  <c r="E122" i="22"/>
  <c r="E156" i="22"/>
  <c r="E159" i="22"/>
  <c r="K166" i="22"/>
  <c r="E172" i="22"/>
  <c r="K176" i="22"/>
  <c r="E90" i="22"/>
  <c r="K92" i="22"/>
  <c r="E102" i="22"/>
  <c r="E107" i="22"/>
  <c r="E112" i="22"/>
  <c r="E136" i="22"/>
  <c r="E166" i="22"/>
  <c r="E180" i="22"/>
  <c r="K98" i="22"/>
  <c r="E100" i="22"/>
  <c r="K105" i="22"/>
  <c r="E139" i="22"/>
  <c r="E193" i="22"/>
  <c r="E285" i="22"/>
  <c r="E297" i="22"/>
  <c r="E147" i="22"/>
  <c r="E153" i="22"/>
  <c r="E163" i="22"/>
  <c r="E175" i="22"/>
  <c r="E188" i="22"/>
  <c r="K196" i="22"/>
  <c r="E269" i="22"/>
  <c r="K125" i="22"/>
  <c r="K129" i="22"/>
  <c r="K133" i="22"/>
  <c r="K137" i="22"/>
  <c r="K141" i="22"/>
  <c r="E165" i="22"/>
  <c r="E177" i="22"/>
  <c r="E184" i="22"/>
  <c r="E191" i="22"/>
  <c r="E167" i="22"/>
  <c r="E179" i="22"/>
  <c r="E197" i="22"/>
  <c r="E213" i="22"/>
  <c r="E241" i="22"/>
  <c r="K144" i="22"/>
  <c r="K157" i="22"/>
  <c r="K169" i="22"/>
  <c r="E189" i="22"/>
  <c r="E226" i="22"/>
  <c r="E283" i="22"/>
  <c r="E157" i="22"/>
  <c r="E169" i="22"/>
  <c r="E181" i="22"/>
  <c r="K186" i="22"/>
  <c r="K187" i="22"/>
  <c r="E203" i="22"/>
  <c r="E206" i="22"/>
  <c r="E222" i="22"/>
  <c r="K226" i="22"/>
  <c r="E237" i="22"/>
  <c r="E267" i="22"/>
  <c r="K183" i="22"/>
  <c r="E185" i="22"/>
  <c r="E187" i="22"/>
  <c r="K195" i="22"/>
  <c r="E218" i="22"/>
  <c r="E254" i="22"/>
  <c r="K275" i="22"/>
  <c r="E183" i="22"/>
  <c r="K206" i="22"/>
  <c r="K207" i="22"/>
  <c r="E214" i="22"/>
  <c r="E238" i="22"/>
  <c r="K259" i="22"/>
  <c r="K284" i="22"/>
  <c r="E151" i="22"/>
  <c r="K161" i="22"/>
  <c r="K173" i="22"/>
  <c r="E190" i="22"/>
  <c r="K192" i="22"/>
  <c r="K204" i="22"/>
  <c r="K203" i="22"/>
  <c r="E207" i="22"/>
  <c r="E255" i="22"/>
  <c r="K268" i="22"/>
  <c r="E301" i="22"/>
  <c r="K189" i="22"/>
  <c r="K218" i="22"/>
  <c r="E227" i="22"/>
  <c r="K237" i="22"/>
  <c r="K251" i="22"/>
  <c r="E247" i="22"/>
  <c r="E271" i="22"/>
  <c r="E287" i="22"/>
  <c r="K200" i="22"/>
  <c r="E219" i="22"/>
  <c r="K248" i="22"/>
  <c r="K274" i="22"/>
  <c r="E239" i="22"/>
  <c r="E211" i="22"/>
  <c r="K221" i="22"/>
  <c r="E259" i="22"/>
  <c r="K261" i="22"/>
  <c r="E275" i="22"/>
  <c r="K277" i="22"/>
  <c r="E291" i="22"/>
  <c r="K193" i="22"/>
  <c r="E231" i="22"/>
  <c r="K241" i="22"/>
  <c r="E295" i="22"/>
  <c r="K297" i="22"/>
  <c r="K300" i="22"/>
  <c r="E251" i="22"/>
  <c r="E299" i="22"/>
  <c r="E223" i="22"/>
  <c r="K233" i="22"/>
  <c r="E263" i="22"/>
  <c r="K265" i="22"/>
  <c r="E279" i="22"/>
  <c r="K281" i="22"/>
  <c r="E195" i="22"/>
  <c r="K205" i="22"/>
  <c r="E243" i="22"/>
  <c r="K253" i="22"/>
  <c r="E215" i="22"/>
  <c r="K225" i="22"/>
  <c r="E12" i="21" l="1"/>
  <c r="J12" i="21" s="1"/>
  <c r="G15" i="21"/>
  <c r="E15" i="21"/>
  <c r="J15" i="21" s="1"/>
  <c r="E9" i="21"/>
  <c r="J9" i="21" s="1"/>
  <c r="E4" i="21"/>
  <c r="J4" i="21" s="1"/>
  <c r="G33" i="21"/>
  <c r="F29" i="21"/>
  <c r="F15" i="21"/>
  <c r="M19" i="21"/>
  <c r="F12" i="21"/>
  <c r="F33" i="21"/>
  <c r="E23" i="20"/>
  <c r="E15" i="20"/>
  <c r="E20" i="20"/>
  <c r="E19" i="20"/>
  <c r="E12" i="20"/>
  <c r="E16" i="20"/>
  <c r="E8" i="20"/>
  <c r="E7" i="20"/>
  <c r="E22" i="20"/>
  <c r="E4" i="20"/>
  <c r="E5" i="20"/>
  <c r="E11" i="20"/>
  <c r="J11" i="20" s="1"/>
  <c r="E6" i="20"/>
  <c r="E17" i="20"/>
  <c r="E18" i="20"/>
  <c r="E14" i="20"/>
  <c r="E10" i="20"/>
  <c r="E2" i="20"/>
  <c r="E13" i="20"/>
  <c r="E21" i="20"/>
  <c r="E9" i="20"/>
  <c r="J9" i="20" s="1"/>
  <c r="G51" i="20"/>
  <c r="F42" i="20"/>
  <c r="E23" i="19"/>
  <c r="J23" i="19" s="1"/>
  <c r="E13" i="19"/>
  <c r="J13" i="19" s="1"/>
  <c r="E15" i="19"/>
  <c r="J15" i="19" s="1"/>
  <c r="E4" i="19"/>
  <c r="J4" i="19" s="1"/>
  <c r="E18" i="19"/>
  <c r="E19" i="19"/>
  <c r="J19" i="19" s="1"/>
  <c r="E12" i="19"/>
  <c r="J12" i="19" s="1"/>
  <c r="E2" i="19"/>
  <c r="J2" i="19" s="1"/>
  <c r="E7" i="19"/>
  <c r="F7" i="19" s="1"/>
  <c r="E14" i="19"/>
  <c r="J14" i="19" s="1"/>
  <c r="E6" i="19"/>
  <c r="J6" i="19" s="1"/>
  <c r="G2" i="19"/>
  <c r="F13" i="19"/>
  <c r="G32" i="19"/>
  <c r="H32" i="19" s="1"/>
  <c r="M19" i="19"/>
  <c r="E23" i="18"/>
  <c r="E4" i="18"/>
  <c r="E13" i="18"/>
  <c r="E20" i="18"/>
  <c r="E19" i="18"/>
  <c r="E8" i="18"/>
  <c r="E17" i="18"/>
  <c r="E10" i="18"/>
  <c r="E14" i="18"/>
  <c r="E9" i="18"/>
  <c r="E15" i="18"/>
  <c r="J15" i="18" s="1"/>
  <c r="E16" i="18"/>
  <c r="E11" i="18"/>
  <c r="E12" i="18"/>
  <c r="E2" i="18"/>
  <c r="E22" i="18"/>
  <c r="E18" i="18"/>
  <c r="E3" i="18"/>
  <c r="E5" i="18"/>
  <c r="E6" i="18"/>
  <c r="E21" i="18"/>
  <c r="E7" i="18"/>
  <c r="F44" i="18"/>
  <c r="G74" i="18"/>
  <c r="G44" i="18"/>
  <c r="G60" i="18"/>
  <c r="F249" i="18"/>
  <c r="G50" i="18"/>
  <c r="G28" i="18"/>
  <c r="G36" i="18"/>
  <c r="F60" i="18"/>
  <c r="E16" i="17"/>
  <c r="E18" i="17"/>
  <c r="E14" i="17"/>
  <c r="E4" i="17"/>
  <c r="E17" i="17"/>
  <c r="E8" i="17"/>
  <c r="E9" i="17"/>
  <c r="E13" i="17"/>
  <c r="E5" i="17"/>
  <c r="E7" i="17"/>
  <c r="E2" i="17"/>
  <c r="E11" i="17"/>
  <c r="F10" i="17" s="1"/>
  <c r="E6" i="17"/>
  <c r="E12" i="17"/>
  <c r="E10" i="17"/>
  <c r="E3" i="17"/>
  <c r="E15" i="17"/>
  <c r="F77" i="17"/>
  <c r="G77" i="17"/>
  <c r="E9" i="16"/>
  <c r="E17" i="16"/>
  <c r="E5" i="16"/>
  <c r="E13" i="16"/>
  <c r="E11" i="16"/>
  <c r="E15" i="16"/>
  <c r="E7" i="16"/>
  <c r="E6" i="16"/>
  <c r="E4" i="16"/>
  <c r="E8" i="16"/>
  <c r="E10" i="16"/>
  <c r="E16" i="16"/>
  <c r="G15" i="16" s="1"/>
  <c r="E3" i="16"/>
  <c r="E2" i="16"/>
  <c r="E60" i="16"/>
  <c r="J60" i="16" s="1"/>
  <c r="E20" i="16"/>
  <c r="J20" i="16" s="1"/>
  <c r="E38" i="16"/>
  <c r="J38" i="16" s="1"/>
  <c r="E30" i="16"/>
  <c r="J30" i="16" s="1"/>
  <c r="E62" i="16"/>
  <c r="J62" i="16" s="1"/>
  <c r="E134" i="16"/>
  <c r="J134" i="16" s="1"/>
  <c r="E168" i="16"/>
  <c r="J168" i="16" s="1"/>
  <c r="E78" i="16"/>
  <c r="J78" i="16" s="1"/>
  <c r="E106" i="16"/>
  <c r="J106" i="16" s="1"/>
  <c r="E102" i="16"/>
  <c r="J102" i="16" s="1"/>
  <c r="E90" i="16"/>
  <c r="J90" i="16" s="1"/>
  <c r="E72" i="16"/>
  <c r="J72" i="16" s="1"/>
  <c r="E56" i="16"/>
  <c r="J56" i="16" s="1"/>
  <c r="E58" i="16"/>
  <c r="J58" i="16" s="1"/>
  <c r="E32" i="16"/>
  <c r="J32" i="16" s="1"/>
  <c r="E110" i="16"/>
  <c r="J110" i="16" s="1"/>
  <c r="E14" i="16"/>
  <c r="J14" i="16" s="1"/>
  <c r="E42" i="16"/>
  <c r="J42" i="16" s="1"/>
  <c r="E70" i="16"/>
  <c r="J70" i="16" s="1"/>
  <c r="E120" i="16"/>
  <c r="J120" i="16" s="1"/>
  <c r="E18" i="16"/>
  <c r="J18" i="16" s="1"/>
  <c r="E12" i="16"/>
  <c r="J12" i="16" s="1"/>
  <c r="E50" i="16"/>
  <c r="J50" i="16" s="1"/>
  <c r="E23" i="16"/>
  <c r="J23" i="16" s="1"/>
  <c r="E40" i="16"/>
  <c r="J40" i="16" s="1"/>
  <c r="E52" i="16"/>
  <c r="J52" i="16" s="1"/>
  <c r="E86" i="16"/>
  <c r="J86" i="16" s="1"/>
  <c r="E160" i="15"/>
  <c r="E276" i="15"/>
  <c r="E259" i="15"/>
  <c r="E204" i="15"/>
  <c r="E199" i="15"/>
  <c r="E178" i="15"/>
  <c r="E114" i="15"/>
  <c r="E104" i="15"/>
  <c r="E188" i="15"/>
  <c r="E215" i="15"/>
  <c r="E207" i="15"/>
  <c r="E142" i="15"/>
  <c r="J142" i="15" s="1"/>
  <c r="E90" i="15"/>
  <c r="E106" i="15"/>
  <c r="E134" i="15"/>
  <c r="E228" i="15"/>
  <c r="E292" i="15"/>
  <c r="E248" i="15"/>
  <c r="E194" i="15"/>
  <c r="E298" i="15"/>
  <c r="E112" i="15"/>
  <c r="E262" i="15"/>
  <c r="E108" i="15"/>
  <c r="E220" i="15"/>
  <c r="J220" i="15" s="1"/>
  <c r="E50" i="15"/>
  <c r="E254" i="15"/>
  <c r="E46" i="15"/>
  <c r="E186" i="15"/>
  <c r="E184" i="15"/>
  <c r="E180" i="15"/>
  <c r="E190" i="15"/>
  <c r="E176" i="15"/>
  <c r="E118" i="15"/>
  <c r="E130" i="15"/>
  <c r="E116" i="15"/>
  <c r="E8" i="14"/>
  <c r="E7" i="14"/>
  <c r="F40" i="14"/>
  <c r="H40" i="14" s="1"/>
  <c r="H7" i="13"/>
  <c r="F65" i="13"/>
  <c r="H65" i="13" s="1"/>
  <c r="G145" i="13"/>
  <c r="F9" i="13"/>
  <c r="H121" i="13"/>
  <c r="G132" i="13"/>
  <c r="H60" i="13"/>
  <c r="J133" i="13"/>
  <c r="G136" i="13"/>
  <c r="H136" i="13" s="1"/>
  <c r="F132" i="13"/>
  <c r="G24" i="13"/>
  <c r="G9" i="13"/>
  <c r="H9" i="13" s="1"/>
  <c r="H111" i="13"/>
  <c r="G217" i="13"/>
  <c r="J9" i="13"/>
  <c r="J145" i="13"/>
  <c r="F167" i="13"/>
  <c r="F50" i="13"/>
  <c r="F107" i="13"/>
  <c r="F40" i="13"/>
  <c r="G40" i="13"/>
  <c r="G21" i="13"/>
  <c r="F5" i="13"/>
  <c r="G36" i="13"/>
  <c r="G116" i="13"/>
  <c r="H116" i="13" s="1"/>
  <c r="F70" i="13"/>
  <c r="H70" i="13" s="1"/>
  <c r="G176" i="13"/>
  <c r="E18" i="12"/>
  <c r="E11" i="12"/>
  <c r="E12" i="12"/>
  <c r="E16" i="12"/>
  <c r="E13" i="12"/>
  <c r="E8" i="12"/>
  <c r="E3" i="12"/>
  <c r="E9" i="12"/>
  <c r="E2" i="12"/>
  <c r="E14" i="12"/>
  <c r="E6" i="12"/>
  <c r="E5" i="12"/>
  <c r="E4" i="12"/>
  <c r="E7" i="12"/>
  <c r="E17" i="12"/>
  <c r="E15" i="12"/>
  <c r="E10" i="12"/>
  <c r="J10" i="12" s="1"/>
  <c r="E119" i="11"/>
  <c r="E207" i="11"/>
  <c r="E120" i="11"/>
  <c r="E154" i="11"/>
  <c r="E211" i="10"/>
  <c r="E159" i="10"/>
  <c r="E54" i="10"/>
  <c r="E37" i="10"/>
  <c r="E88" i="10"/>
  <c r="E288" i="10"/>
  <c r="E82" i="10"/>
  <c r="E147" i="10"/>
  <c r="E149" i="10"/>
  <c r="E40" i="10"/>
  <c r="E299" i="10"/>
  <c r="J299" i="10" s="1"/>
  <c r="E115" i="10"/>
  <c r="E295" i="10"/>
  <c r="E125" i="10"/>
  <c r="E267" i="10"/>
  <c r="E279" i="10"/>
  <c r="E77" i="10"/>
  <c r="E251" i="10"/>
  <c r="E263" i="10"/>
  <c r="E257" i="10"/>
  <c r="E271" i="10"/>
  <c r="E127" i="10"/>
  <c r="E235" i="10"/>
  <c r="G234" i="10" s="1"/>
  <c r="E247" i="10"/>
  <c r="E290" i="10"/>
  <c r="E173" i="10"/>
  <c r="E255" i="10"/>
  <c r="E219" i="10"/>
  <c r="E183" i="10"/>
  <c r="E206" i="10"/>
  <c r="E274" i="10"/>
  <c r="E101" i="10"/>
  <c r="E234" i="10"/>
  <c r="E2" i="10"/>
  <c r="E266" i="10"/>
  <c r="E237" i="10"/>
  <c r="E72" i="10"/>
  <c r="E102" i="10"/>
  <c r="E34" i="10"/>
  <c r="E76" i="10"/>
  <c r="E167" i="10"/>
  <c r="E249" i="10"/>
  <c r="E128" i="10"/>
  <c r="E281" i="10"/>
  <c r="E18" i="10"/>
  <c r="E98" i="10"/>
  <c r="E135" i="10"/>
  <c r="E123" i="10"/>
  <c r="E60" i="10"/>
  <c r="E195" i="10"/>
  <c r="E31" i="10"/>
  <c r="E209" i="10"/>
  <c r="E24" i="10"/>
  <c r="E139" i="10"/>
  <c r="E238" i="10"/>
  <c r="E28" i="10"/>
  <c r="E6" i="10"/>
  <c r="E177" i="10"/>
  <c r="E291" i="10"/>
  <c r="J291" i="10" s="1"/>
  <c r="E287" i="10"/>
  <c r="E283" i="10"/>
  <c r="E213" i="10"/>
  <c r="E188" i="10"/>
  <c r="E145" i="10"/>
  <c r="E170" i="10"/>
  <c r="E140" i="10"/>
  <c r="E119" i="10"/>
  <c r="E191" i="10"/>
  <c r="E187" i="10"/>
  <c r="E199" i="10"/>
  <c r="E92" i="10"/>
  <c r="E118" i="10"/>
  <c r="E270" i="10"/>
  <c r="E63" i="10"/>
  <c r="E50" i="10"/>
  <c r="E93" i="10"/>
  <c r="E256" i="10"/>
  <c r="E86" i="10"/>
  <c r="E4" i="10"/>
  <c r="E12" i="10"/>
  <c r="E216" i="10"/>
  <c r="E56" i="10"/>
  <c r="E71" i="10"/>
  <c r="J71" i="10" s="1"/>
  <c r="E231" i="10"/>
  <c r="E181" i="10"/>
  <c r="E44" i="10"/>
  <c r="E245" i="10"/>
  <c r="E252" i="10"/>
  <c r="E79" i="10"/>
  <c r="E138" i="10"/>
  <c r="E15" i="10"/>
  <c r="E301" i="10"/>
  <c r="E215" i="10"/>
  <c r="E131" i="10"/>
  <c r="E174" i="10"/>
  <c r="J174" i="10" s="1"/>
  <c r="E38" i="10"/>
  <c r="E69" i="10"/>
  <c r="E277" i="10"/>
  <c r="E121" i="10"/>
  <c r="E9" i="10"/>
  <c r="E80" i="10"/>
  <c r="J80" i="10" s="1"/>
  <c r="E261" i="10"/>
  <c r="E109" i="10"/>
  <c r="E248" i="10"/>
  <c r="E122" i="10"/>
  <c r="E214" i="10"/>
  <c r="E278" i="10"/>
  <c r="F278" i="10" s="1"/>
  <c r="E91" i="10"/>
  <c r="J91" i="10" s="1"/>
  <c r="E225" i="10"/>
  <c r="J225" i="10" s="1"/>
  <c r="E27" i="10"/>
  <c r="J27" i="10" s="1"/>
  <c r="E103" i="10"/>
  <c r="E250" i="10"/>
  <c r="E157" i="10"/>
  <c r="E221" i="10"/>
  <c r="E285" i="10"/>
  <c r="E232" i="10"/>
  <c r="J232" i="10" s="1"/>
  <c r="E176" i="10"/>
  <c r="J176" i="10" s="1"/>
  <c r="E160" i="10"/>
  <c r="J160" i="10" s="1"/>
  <c r="E164" i="10"/>
  <c r="J164" i="10" s="1"/>
  <c r="E228" i="10"/>
  <c r="E292" i="10"/>
  <c r="E162" i="10"/>
  <c r="J162" i="10" s="1"/>
  <c r="E208" i="10"/>
  <c r="J208" i="10" s="1"/>
  <c r="E220" i="10"/>
  <c r="E227" i="10"/>
  <c r="E95" i="10"/>
  <c r="E202" i="10"/>
  <c r="E66" i="10"/>
  <c r="E87" i="10"/>
  <c r="E264" i="10"/>
  <c r="E166" i="10"/>
  <c r="E230" i="10"/>
  <c r="E294" i="10"/>
  <c r="E110" i="10"/>
  <c r="J110" i="10" s="1"/>
  <c r="E43" i="10"/>
  <c r="J43" i="10" s="1"/>
  <c r="E194" i="10"/>
  <c r="J194" i="10" s="1"/>
  <c r="E273" i="10"/>
  <c r="E180" i="10"/>
  <c r="E244" i="10"/>
  <c r="E22" i="10"/>
  <c r="E75" i="10"/>
  <c r="J75" i="10" s="1"/>
  <c r="E210" i="10"/>
  <c r="J210" i="10" s="1"/>
  <c r="E204" i="10"/>
  <c r="J204" i="10" s="1"/>
  <c r="E61" i="10"/>
  <c r="E280" i="10"/>
  <c r="E182" i="10"/>
  <c r="E246" i="10"/>
  <c r="E132" i="10"/>
  <c r="E35" i="10"/>
  <c r="J35" i="10" s="1"/>
  <c r="E186" i="10"/>
  <c r="J186" i="10" s="1"/>
  <c r="E133" i="10"/>
  <c r="J133" i="10" s="1"/>
  <c r="E55" i="10"/>
  <c r="E282" i="10"/>
  <c r="E189" i="10"/>
  <c r="E253" i="10"/>
  <c r="J253" i="10" s="1"/>
  <c r="E137" i="10"/>
  <c r="E226" i="10"/>
  <c r="J226" i="10" s="1"/>
  <c r="E143" i="10"/>
  <c r="J143" i="10" s="1"/>
  <c r="E20" i="10"/>
  <c r="J20" i="10" s="1"/>
  <c r="E179" i="10"/>
  <c r="E45" i="10"/>
  <c r="E289" i="10"/>
  <c r="E196" i="10"/>
  <c r="E260" i="10"/>
  <c r="E142" i="10"/>
  <c r="E130" i="10"/>
  <c r="J130" i="10" s="1"/>
  <c r="E224" i="10"/>
  <c r="J224" i="10" s="1"/>
  <c r="E3" i="10"/>
  <c r="J3" i="10" s="1"/>
  <c r="E156" i="10"/>
  <c r="E163" i="10"/>
  <c r="E47" i="10"/>
  <c r="E114" i="10"/>
  <c r="E21" i="10"/>
  <c r="F20" i="10" s="1"/>
  <c r="E39" i="10"/>
  <c r="E296" i="10"/>
  <c r="E198" i="10"/>
  <c r="E262" i="10"/>
  <c r="E152" i="10"/>
  <c r="E84" i="10"/>
  <c r="J84" i="10" s="1"/>
  <c r="E52" i="10"/>
  <c r="J52" i="10" s="1"/>
  <c r="E146" i="10"/>
  <c r="J146" i="10" s="1"/>
  <c r="E29" i="10"/>
  <c r="E298" i="10"/>
  <c r="E205" i="10"/>
  <c r="E269" i="10"/>
  <c r="E169" i="10"/>
  <c r="J169" i="10" s="1"/>
  <c r="E74" i="10"/>
  <c r="J74" i="10" s="1"/>
  <c r="E42" i="10"/>
  <c r="J42" i="10" s="1"/>
  <c r="E165" i="10"/>
  <c r="J165" i="10" s="1"/>
  <c r="E241" i="10"/>
  <c r="E117" i="10"/>
  <c r="G117" i="10" s="1"/>
  <c r="E212" i="10"/>
  <c r="E276" i="10"/>
  <c r="E96" i="10"/>
  <c r="J96" i="10" s="1"/>
  <c r="E233" i="10"/>
  <c r="J233" i="10" s="1"/>
  <c r="E185" i="10"/>
  <c r="J185" i="10" s="1"/>
  <c r="E116" i="10"/>
  <c r="J116" i="10" s="1"/>
  <c r="E90" i="10"/>
  <c r="J90" i="10" s="1"/>
  <c r="E148" i="10"/>
  <c r="J148" i="10" s="1"/>
  <c r="E265" i="10"/>
  <c r="J265" i="10" s="1"/>
  <c r="E258" i="10"/>
  <c r="J258" i="10" s="1"/>
  <c r="E161" i="10"/>
  <c r="J161" i="10" s="1"/>
  <c r="E243" i="10"/>
  <c r="J243" i="10" s="1"/>
  <c r="E229" i="10"/>
  <c r="J229" i="10" s="1"/>
  <c r="E14" i="10"/>
  <c r="J14" i="10" s="1"/>
  <c r="G81" i="10"/>
  <c r="E193" i="10"/>
  <c r="J193" i="10" s="1"/>
  <c r="E30" i="10"/>
  <c r="J30" i="10" s="1"/>
  <c r="E64" i="10"/>
  <c r="J64" i="10" s="1"/>
  <c r="E129" i="10"/>
  <c r="J129" i="10" s="1"/>
  <c r="E134" i="10"/>
  <c r="J134" i="10" s="1"/>
  <c r="E151" i="10"/>
  <c r="J151" i="10" s="1"/>
  <c r="E106" i="10"/>
  <c r="J106" i="10" s="1"/>
  <c r="E158" i="10"/>
  <c r="J158" i="10" s="1"/>
  <c r="E141" i="10"/>
  <c r="J141" i="10" s="1"/>
  <c r="E16" i="10"/>
  <c r="J16" i="10" s="1"/>
  <c r="E59" i="10"/>
  <c r="J59" i="10" s="1"/>
  <c r="E124" i="10"/>
  <c r="E83" i="10"/>
  <c r="J83" i="10" s="1"/>
  <c r="E112" i="10"/>
  <c r="J112" i="10" s="1"/>
  <c r="E51" i="10"/>
  <c r="J51" i="10" s="1"/>
  <c r="E254" i="10"/>
  <c r="J254" i="10" s="1"/>
  <c r="E136" i="10"/>
  <c r="J136" i="10" s="1"/>
  <c r="E297" i="10"/>
  <c r="J297" i="10" s="1"/>
  <c r="E217" i="10"/>
  <c r="E192" i="10"/>
  <c r="J192" i="10" s="1"/>
  <c r="E11" i="10"/>
  <c r="J11" i="10" s="1"/>
  <c r="E113" i="10"/>
  <c r="J113" i="10" s="1"/>
  <c r="E78" i="10"/>
  <c r="J78" i="10" s="1"/>
  <c r="E107" i="10"/>
  <c r="J107" i="10" s="1"/>
  <c r="E46" i="10"/>
  <c r="J46" i="10" s="1"/>
  <c r="E300" i="10"/>
  <c r="J300" i="10" s="1"/>
  <c r="E13" i="10"/>
  <c r="E272" i="10"/>
  <c r="J272" i="10" s="1"/>
  <c r="E178" i="10"/>
  <c r="J178" i="10" s="1"/>
  <c r="E168" i="10"/>
  <c r="J168" i="10" s="1"/>
  <c r="E201" i="10"/>
  <c r="J201" i="10" s="1"/>
  <c r="E68" i="10"/>
  <c r="J68" i="10" s="1"/>
  <c r="E23" i="10"/>
  <c r="J23" i="10" s="1"/>
  <c r="E67" i="10"/>
  <c r="J67" i="10" s="1"/>
  <c r="E36" i="10"/>
  <c r="J36" i="10" s="1"/>
  <c r="E222" i="10"/>
  <c r="J222" i="10" s="1"/>
  <c r="E144" i="10"/>
  <c r="J144" i="10" s="1"/>
  <c r="E242" i="10"/>
  <c r="J242" i="10" s="1"/>
  <c r="E154" i="10"/>
  <c r="J154" i="10" s="1"/>
  <c r="E120" i="10"/>
  <c r="J120" i="10" s="1"/>
  <c r="E99" i="10"/>
  <c r="E58" i="10"/>
  <c r="J58" i="10" s="1"/>
  <c r="E10" i="10"/>
  <c r="J10" i="10" s="1"/>
  <c r="E62" i="10"/>
  <c r="J62" i="10" s="1"/>
  <c r="E26" i="10"/>
  <c r="J26" i="10" s="1"/>
  <c r="E105" i="10"/>
  <c r="J105" i="10" s="1"/>
  <c r="E97" i="10"/>
  <c r="F96" i="10" s="1"/>
  <c r="E218" i="10"/>
  <c r="J218" i="10" s="1"/>
  <c r="E126" i="10"/>
  <c r="J126" i="10" s="1"/>
  <c r="E240" i="10"/>
  <c r="J240" i="10" s="1"/>
  <c r="E94" i="10"/>
  <c r="J94" i="10" s="1"/>
  <c r="E48" i="10"/>
  <c r="J48" i="10" s="1"/>
  <c r="E259" i="10"/>
  <c r="J259" i="10" s="1"/>
  <c r="E32" i="10"/>
  <c r="J32" i="10" s="1"/>
  <c r="E17" i="10"/>
  <c r="J17" i="10" s="1"/>
  <c r="E73" i="10"/>
  <c r="J73" i="10" s="1"/>
  <c r="E293" i="10"/>
  <c r="J293" i="10" s="1"/>
  <c r="E41" i="10"/>
  <c r="J41" i="10" s="1"/>
  <c r="E236" i="10"/>
  <c r="J236" i="10" s="1"/>
  <c r="E197" i="10"/>
  <c r="J197" i="10" s="1"/>
  <c r="E7" i="10"/>
  <c r="J7" i="10" s="1"/>
  <c r="E172" i="10"/>
  <c r="J172" i="10" s="1"/>
  <c r="E89" i="10"/>
  <c r="J89" i="10" s="1"/>
  <c r="E19" i="10"/>
  <c r="J19" i="10" s="1"/>
  <c r="E33" i="10"/>
  <c r="E284" i="10"/>
  <c r="J284" i="10" s="1"/>
  <c r="E190" i="10"/>
  <c r="J190" i="10" s="1"/>
  <c r="E268" i="10"/>
  <c r="J268" i="10" s="1"/>
  <c r="E8" i="10"/>
  <c r="J8" i="10" s="1"/>
  <c r="E57" i="10"/>
  <c r="J57" i="10" s="1"/>
  <c r="E65" i="10"/>
  <c r="J65" i="10" s="1"/>
  <c r="E150" i="10"/>
  <c r="J150" i="10" s="1"/>
  <c r="E100" i="10"/>
  <c r="J100" i="10" s="1"/>
  <c r="E153" i="10"/>
  <c r="J153" i="10" s="1"/>
  <c r="E275" i="10"/>
  <c r="J275" i="10" s="1"/>
  <c r="E200" i="10"/>
  <c r="J200" i="10" s="1"/>
  <c r="E5" i="10"/>
  <c r="J5" i="10" s="1"/>
  <c r="E286" i="10"/>
  <c r="J286" i="10" s="1"/>
  <c r="E25" i="10"/>
  <c r="J25" i="10" s="1"/>
  <c r="E49" i="10"/>
  <c r="J49" i="10" s="1"/>
  <c r="E250" i="9"/>
  <c r="E246" i="9"/>
  <c r="E198" i="9"/>
  <c r="E192" i="9"/>
  <c r="E262" i="9"/>
  <c r="E204" i="9"/>
  <c r="E144" i="9"/>
  <c r="E252" i="9"/>
  <c r="E202" i="9"/>
  <c r="E134" i="9"/>
  <c r="E296" i="9"/>
  <c r="J296" i="9" s="1"/>
  <c r="E240" i="9"/>
  <c r="E190" i="9"/>
  <c r="E238" i="9"/>
  <c r="E182" i="9"/>
  <c r="E230" i="9"/>
  <c r="E180" i="9"/>
  <c r="E228" i="9"/>
  <c r="E178" i="9"/>
  <c r="E226" i="9"/>
  <c r="E174" i="9"/>
  <c r="E291" i="9"/>
  <c r="J291" i="9" s="1"/>
  <c r="E222" i="9"/>
  <c r="E168" i="9"/>
  <c r="E275" i="9"/>
  <c r="E216" i="9"/>
  <c r="E166" i="9"/>
  <c r="E264" i="9"/>
  <c r="E214" i="9"/>
  <c r="E150" i="9"/>
  <c r="E142" i="9"/>
  <c r="E130" i="9"/>
  <c r="E254" i="9"/>
  <c r="E206" i="9"/>
  <c r="J206" i="9" s="1"/>
  <c r="E156" i="9"/>
  <c r="E132" i="9"/>
  <c r="E158" i="9"/>
  <c r="E154" i="9"/>
  <c r="E286" i="9"/>
  <c r="E283" i="9"/>
  <c r="E260" i="9"/>
  <c r="E236" i="9"/>
  <c r="E212" i="9"/>
  <c r="E188" i="9"/>
  <c r="E164" i="9"/>
  <c r="E140" i="9"/>
  <c r="E278" i="9"/>
  <c r="J278" i="9" s="1"/>
  <c r="E258" i="9"/>
  <c r="J258" i="9" s="1"/>
  <c r="E234" i="9"/>
  <c r="E210" i="9"/>
  <c r="E186" i="9"/>
  <c r="E162" i="9"/>
  <c r="E138" i="9"/>
  <c r="E271" i="9"/>
  <c r="E288" i="9"/>
  <c r="E280" i="9"/>
  <c r="E256" i="9"/>
  <c r="E232" i="9"/>
  <c r="E208" i="9"/>
  <c r="E184" i="9"/>
  <c r="E160" i="9"/>
  <c r="E136" i="9"/>
  <c r="E279" i="9"/>
  <c r="E248" i="9"/>
  <c r="E224" i="9"/>
  <c r="E200" i="9"/>
  <c r="E176" i="9"/>
  <c r="E152" i="9"/>
  <c r="E128" i="9"/>
  <c r="E243" i="9"/>
  <c r="J243" i="9" s="1"/>
  <c r="E203" i="9"/>
  <c r="J203" i="9" s="1"/>
  <c r="E268" i="9"/>
  <c r="E244" i="9"/>
  <c r="E220" i="9"/>
  <c r="E196" i="9"/>
  <c r="E172" i="9"/>
  <c r="E148" i="9"/>
  <c r="E124" i="9"/>
  <c r="E163" i="9"/>
  <c r="E299" i="9"/>
  <c r="E266" i="9"/>
  <c r="E242" i="9"/>
  <c r="J242" i="9" s="1"/>
  <c r="E218" i="9"/>
  <c r="E194" i="9"/>
  <c r="J194" i="9" s="1"/>
  <c r="E170" i="9"/>
  <c r="E146" i="9"/>
  <c r="E122" i="9"/>
  <c r="E290" i="9"/>
  <c r="E159" i="9"/>
  <c r="E195" i="9"/>
  <c r="E272" i="9"/>
  <c r="E183" i="9"/>
  <c r="E37" i="9"/>
  <c r="E62" i="9"/>
  <c r="E276" i="9"/>
  <c r="G275" i="9" s="1"/>
  <c r="E34" i="9"/>
  <c r="J34" i="9" s="1"/>
  <c r="E293" i="9"/>
  <c r="E267" i="9"/>
  <c r="E273" i="9"/>
  <c r="E251" i="9"/>
  <c r="E263" i="9"/>
  <c r="E171" i="9"/>
  <c r="E14" i="9"/>
  <c r="E48" i="9"/>
  <c r="E76" i="9"/>
  <c r="E255" i="9"/>
  <c r="J255" i="9" s="1"/>
  <c r="E167" i="9"/>
  <c r="G166" i="9" s="1"/>
  <c r="E281" i="9"/>
  <c r="J281" i="9" s="1"/>
  <c r="E284" i="9"/>
  <c r="E239" i="9"/>
  <c r="F238" i="9" s="1"/>
  <c r="E147" i="9"/>
  <c r="E231" i="9"/>
  <c r="E143" i="9"/>
  <c r="E116" i="9"/>
  <c r="E215" i="9"/>
  <c r="E135" i="9"/>
  <c r="E41" i="9"/>
  <c r="E211" i="9"/>
  <c r="J211" i="9" s="1"/>
  <c r="E85" i="9"/>
  <c r="E27" i="9"/>
  <c r="J27" i="9" s="1"/>
  <c r="E207" i="9"/>
  <c r="E24" i="9"/>
  <c r="E93" i="9"/>
  <c r="E219" i="9"/>
  <c r="E155" i="9"/>
  <c r="E289" i="9"/>
  <c r="E79" i="9"/>
  <c r="E259" i="9"/>
  <c r="E191" i="9"/>
  <c r="E68" i="9"/>
  <c r="E235" i="9"/>
  <c r="J235" i="9" s="1"/>
  <c r="E187" i="9"/>
  <c r="G186" i="9" s="1"/>
  <c r="E139" i="9"/>
  <c r="E297" i="9"/>
  <c r="E113" i="9"/>
  <c r="E10" i="9"/>
  <c r="E227" i="9"/>
  <c r="E179" i="9"/>
  <c r="E127" i="9"/>
  <c r="E277" i="9"/>
  <c r="E99" i="9"/>
  <c r="E287" i="9"/>
  <c r="F286" i="9" s="1"/>
  <c r="E106" i="9"/>
  <c r="E223" i="9"/>
  <c r="J223" i="9" s="1"/>
  <c r="E175" i="9"/>
  <c r="E102" i="9"/>
  <c r="J102" i="9" s="1"/>
  <c r="E285" i="9"/>
  <c r="E96" i="9"/>
  <c r="E89" i="9"/>
  <c r="E97" i="9"/>
  <c r="J97" i="9" s="1"/>
  <c r="E72" i="9"/>
  <c r="E83" i="9"/>
  <c r="J83" i="9" s="1"/>
  <c r="E8" i="9"/>
  <c r="J8" i="9" s="1"/>
  <c r="E100" i="9"/>
  <c r="J100" i="9" s="1"/>
  <c r="E247" i="9"/>
  <c r="G246" i="9" s="1"/>
  <c r="E199" i="9"/>
  <c r="J199" i="9" s="1"/>
  <c r="E151" i="9"/>
  <c r="E19" i="9"/>
  <c r="J19" i="9" s="1"/>
  <c r="E131" i="9"/>
  <c r="E292" i="9"/>
  <c r="E54" i="9"/>
  <c r="E22" i="9"/>
  <c r="E45" i="9"/>
  <c r="E75" i="9"/>
  <c r="E300" i="9"/>
  <c r="J300" i="9" s="1"/>
  <c r="E95" i="9"/>
  <c r="J95" i="9" s="1"/>
  <c r="E92" i="9"/>
  <c r="J92" i="9" s="1"/>
  <c r="E20" i="9"/>
  <c r="J20" i="9" s="1"/>
  <c r="E123" i="9"/>
  <c r="E65" i="9"/>
  <c r="J65" i="9" s="1"/>
  <c r="E274" i="9"/>
  <c r="E31" i="9"/>
  <c r="E77" i="9"/>
  <c r="J77" i="9" s="1"/>
  <c r="E298" i="9"/>
  <c r="J298" i="9" s="1"/>
  <c r="E105" i="9"/>
  <c r="E119" i="9"/>
  <c r="E23" i="9"/>
  <c r="E51" i="9"/>
  <c r="E28" i="9"/>
  <c r="E58" i="9"/>
  <c r="J58" i="9" s="1"/>
  <c r="E61" i="9"/>
  <c r="J61" i="9" s="1"/>
  <c r="E6" i="9"/>
  <c r="J6" i="9" s="1"/>
  <c r="E117" i="9"/>
  <c r="J117" i="9" s="1"/>
  <c r="E64" i="9"/>
  <c r="J64" i="9" s="1"/>
  <c r="E87" i="9"/>
  <c r="J87" i="9" s="1"/>
  <c r="E39" i="9"/>
  <c r="J39" i="9" s="1"/>
  <c r="E88" i="9"/>
  <c r="E111" i="9"/>
  <c r="J111" i="9" s="1"/>
  <c r="E63" i="9"/>
  <c r="J63" i="9" s="1"/>
  <c r="E71" i="9"/>
  <c r="E301" i="9"/>
  <c r="J301" i="9" s="1"/>
  <c r="E67" i="9"/>
  <c r="J67" i="9" s="1"/>
  <c r="E91" i="9"/>
  <c r="J91" i="9" s="1"/>
  <c r="E56" i="9"/>
  <c r="J56" i="9" s="1"/>
  <c r="E81" i="9"/>
  <c r="J81" i="9" s="1"/>
  <c r="E17" i="9"/>
  <c r="J17" i="9" s="1"/>
  <c r="E16" i="9"/>
  <c r="J16" i="9" s="1"/>
  <c r="E44" i="9"/>
  <c r="J44" i="9" s="1"/>
  <c r="E5" i="9"/>
  <c r="J5" i="9" s="1"/>
  <c r="E73" i="9"/>
  <c r="J73" i="9" s="1"/>
  <c r="E169" i="9"/>
  <c r="J169" i="9" s="1"/>
  <c r="E107" i="9"/>
  <c r="E21" i="9"/>
  <c r="E40" i="9"/>
  <c r="E104" i="9"/>
  <c r="E43" i="9"/>
  <c r="E217" i="9"/>
  <c r="E185" i="9"/>
  <c r="G185" i="9" s="1"/>
  <c r="M7" i="9"/>
  <c r="E101" i="9"/>
  <c r="E282" i="9"/>
  <c r="E35" i="9"/>
  <c r="E69" i="9"/>
  <c r="E33" i="9"/>
  <c r="J33" i="9" s="1"/>
  <c r="E193" i="9"/>
  <c r="J193" i="9" s="1"/>
  <c r="E161" i="9"/>
  <c r="J161" i="9" s="1"/>
  <c r="E137" i="9"/>
  <c r="E145" i="9"/>
  <c r="J145" i="9" s="1"/>
  <c r="E86" i="9"/>
  <c r="E80" i="9"/>
  <c r="E15" i="9"/>
  <c r="E57" i="9"/>
  <c r="E121" i="9"/>
  <c r="E46" i="9"/>
  <c r="E59" i="9"/>
  <c r="E2" i="9"/>
  <c r="E47" i="9"/>
  <c r="J47" i="9" s="1"/>
  <c r="E70" i="9"/>
  <c r="J70" i="9" s="1"/>
  <c r="E118" i="9"/>
  <c r="E112" i="9"/>
  <c r="E60" i="9"/>
  <c r="E53" i="9"/>
  <c r="J53" i="9" s="1"/>
  <c r="E109" i="9"/>
  <c r="J109" i="9" s="1"/>
  <c r="E18" i="9"/>
  <c r="E98" i="9"/>
  <c r="E90" i="9"/>
  <c r="E108" i="9"/>
  <c r="E42" i="9"/>
  <c r="F41" i="9" s="1"/>
  <c r="E50" i="9"/>
  <c r="E9" i="9"/>
  <c r="F9" i="9" s="1"/>
  <c r="E55" i="9"/>
  <c r="E7" i="9"/>
  <c r="E29" i="9"/>
  <c r="E103" i="9"/>
  <c r="E32" i="9"/>
  <c r="E30" i="9"/>
  <c r="J30" i="9" s="1"/>
  <c r="E201" i="9"/>
  <c r="E4" i="9"/>
  <c r="E36" i="9"/>
  <c r="J36" i="9" s="1"/>
  <c r="E3" i="9"/>
  <c r="E11" i="9"/>
  <c r="G10" i="9" s="1"/>
  <c r="E84" i="9"/>
  <c r="E13" i="9"/>
  <c r="E269" i="9"/>
  <c r="J269" i="9" s="1"/>
  <c r="E82" i="9"/>
  <c r="E26" i="9"/>
  <c r="E261" i="9"/>
  <c r="J261" i="9" s="1"/>
  <c r="E245" i="9"/>
  <c r="J245" i="9" s="1"/>
  <c r="E229" i="9"/>
  <c r="J229" i="9" s="1"/>
  <c r="E213" i="9"/>
  <c r="J213" i="9" s="1"/>
  <c r="E197" i="9"/>
  <c r="J197" i="9" s="1"/>
  <c r="E181" i="9"/>
  <c r="J181" i="9" s="1"/>
  <c r="E165" i="9"/>
  <c r="J165" i="9" s="1"/>
  <c r="E149" i="9"/>
  <c r="J149" i="9" s="1"/>
  <c r="E133" i="9"/>
  <c r="J133" i="9" s="1"/>
  <c r="E12" i="9"/>
  <c r="E265" i="9"/>
  <c r="E249" i="9"/>
  <c r="E253" i="9"/>
  <c r="J253" i="9" s="1"/>
  <c r="E237" i="9"/>
  <c r="J237" i="9" s="1"/>
  <c r="E221" i="9"/>
  <c r="J221" i="9" s="1"/>
  <c r="E205" i="9"/>
  <c r="J205" i="9" s="1"/>
  <c r="E189" i="9"/>
  <c r="J189" i="9" s="1"/>
  <c r="E173" i="9"/>
  <c r="J173" i="9" s="1"/>
  <c r="E157" i="9"/>
  <c r="J157" i="9" s="1"/>
  <c r="E141" i="9"/>
  <c r="J141" i="9" s="1"/>
  <c r="E125" i="9"/>
  <c r="J125" i="9" s="1"/>
  <c r="E94" i="9"/>
  <c r="E74" i="9"/>
  <c r="E114" i="9"/>
  <c r="E38" i="9"/>
  <c r="E257" i="9"/>
  <c r="J257" i="9" s="1"/>
  <c r="E241" i="9"/>
  <c r="J241" i="9" s="1"/>
  <c r="E225" i="9"/>
  <c r="J225" i="9" s="1"/>
  <c r="E129" i="9"/>
  <c r="J129" i="9" s="1"/>
  <c r="E233" i="9"/>
  <c r="G233" i="9" s="1"/>
  <c r="E153" i="9"/>
  <c r="G153" i="9" s="1"/>
  <c r="E295" i="9"/>
  <c r="J295" i="9" s="1"/>
  <c r="E25" i="9"/>
  <c r="E49" i="9"/>
  <c r="E115" i="9"/>
  <c r="J115" i="9" s="1"/>
  <c r="E52" i="9"/>
  <c r="E66" i="9"/>
  <c r="E209" i="9"/>
  <c r="J209" i="9" s="1"/>
  <c r="E78" i="9"/>
  <c r="E95" i="8"/>
  <c r="E87" i="8"/>
  <c r="M19" i="8"/>
  <c r="E259" i="8"/>
  <c r="E240" i="8"/>
  <c r="E275" i="8"/>
  <c r="E228" i="8"/>
  <c r="E215" i="8"/>
  <c r="E216" i="8"/>
  <c r="E155" i="8"/>
  <c r="E168" i="8"/>
  <c r="J168" i="8" s="1"/>
  <c r="E143" i="8"/>
  <c r="J143" i="8" s="1"/>
  <c r="E156" i="8"/>
  <c r="E131" i="8"/>
  <c r="E103" i="8"/>
  <c r="E224" i="8"/>
  <c r="E139" i="8"/>
  <c r="E300" i="8"/>
  <c r="E288" i="8"/>
  <c r="E287" i="8"/>
  <c r="E283" i="8"/>
  <c r="E223" i="8"/>
  <c r="E107" i="8"/>
  <c r="J107" i="8" s="1"/>
  <c r="E163" i="8"/>
  <c r="J163" i="8" s="1"/>
  <c r="E196" i="8"/>
  <c r="E248" i="8"/>
  <c r="E115" i="8"/>
  <c r="E192" i="8"/>
  <c r="E4" i="8"/>
  <c r="E299" i="8"/>
  <c r="E236" i="8"/>
  <c r="E200" i="8"/>
  <c r="E219" i="8"/>
  <c r="E144" i="8"/>
  <c r="E251" i="8"/>
  <c r="E164" i="8"/>
  <c r="J164" i="8" s="1"/>
  <c r="E171" i="8"/>
  <c r="E10" i="8"/>
  <c r="E99" i="8"/>
  <c r="E203" i="8"/>
  <c r="E295" i="8"/>
  <c r="E177" i="8"/>
  <c r="E46" i="8"/>
  <c r="E151" i="8"/>
  <c r="E207" i="8"/>
  <c r="E201" i="8"/>
  <c r="E38" i="8"/>
  <c r="J38" i="8" s="1"/>
  <c r="E34" i="8"/>
  <c r="J34" i="8" s="1"/>
  <c r="E244" i="8"/>
  <c r="E204" i="8"/>
  <c r="E91" i="8"/>
  <c r="E263" i="8"/>
  <c r="E119" i="8"/>
  <c r="E212" i="8"/>
  <c r="E271" i="8"/>
  <c r="E127" i="8"/>
  <c r="E159" i="8"/>
  <c r="E161" i="8"/>
  <c r="E26" i="8"/>
  <c r="J26" i="8" s="1"/>
  <c r="E289" i="8"/>
  <c r="J289" i="8" s="1"/>
  <c r="E49" i="8"/>
  <c r="E55" i="8"/>
  <c r="E147" i="8"/>
  <c r="E136" i="8"/>
  <c r="E33" i="8"/>
  <c r="E180" i="8"/>
  <c r="E83" i="8"/>
  <c r="E239" i="8"/>
  <c r="E12" i="8"/>
  <c r="E188" i="8"/>
  <c r="E247" i="8"/>
  <c r="G247" i="8" s="1"/>
  <c r="E13" i="8"/>
  <c r="F12" i="8" s="1"/>
  <c r="E123" i="8"/>
  <c r="E102" i="8"/>
  <c r="E227" i="8"/>
  <c r="E7" i="8"/>
  <c r="E176" i="8"/>
  <c r="E235" i="8"/>
  <c r="E111" i="8"/>
  <c r="E50" i="8"/>
  <c r="E98" i="8"/>
  <c r="E213" i="8"/>
  <c r="E90" i="8"/>
  <c r="J90" i="8" s="1"/>
  <c r="E124" i="8"/>
  <c r="G123" i="8" s="1"/>
  <c r="E296" i="8"/>
  <c r="E152" i="8"/>
  <c r="E211" i="8"/>
  <c r="E291" i="8"/>
  <c r="E19" i="8"/>
  <c r="E86" i="8"/>
  <c r="E104" i="8"/>
  <c r="E276" i="8"/>
  <c r="E132" i="8"/>
  <c r="E191" i="8"/>
  <c r="E284" i="8"/>
  <c r="J284" i="8" s="1"/>
  <c r="E140" i="8"/>
  <c r="F139" i="8" s="1"/>
  <c r="E199" i="8"/>
  <c r="E267" i="8"/>
  <c r="E82" i="8"/>
  <c r="J82" i="8" s="1"/>
  <c r="E205" i="8"/>
  <c r="E184" i="8"/>
  <c r="E264" i="8"/>
  <c r="E120" i="8"/>
  <c r="E27" i="8"/>
  <c r="E179" i="8"/>
  <c r="E272" i="8"/>
  <c r="E128" i="8"/>
  <c r="J128" i="8" s="1"/>
  <c r="E187" i="8"/>
  <c r="J187" i="8" s="1"/>
  <c r="E255" i="8"/>
  <c r="E62" i="8"/>
  <c r="E252" i="8"/>
  <c r="E108" i="8"/>
  <c r="E25" i="8"/>
  <c r="E167" i="8"/>
  <c r="E260" i="8"/>
  <c r="E116" i="8"/>
  <c r="E175" i="8"/>
  <c r="E231" i="8"/>
  <c r="E217" i="8"/>
  <c r="J217" i="8" s="1"/>
  <c r="E54" i="8"/>
  <c r="J54" i="8" s="1"/>
  <c r="M5" i="7"/>
  <c r="E9" i="7" s="1"/>
  <c r="J215" i="11"/>
  <c r="J12" i="15"/>
  <c r="J215" i="22"/>
  <c r="G215" i="22"/>
  <c r="F215" i="22"/>
  <c r="H215" i="22" s="1"/>
  <c r="J286" i="20"/>
  <c r="G286" i="20"/>
  <c r="F286" i="20"/>
  <c r="G66" i="19"/>
  <c r="F66" i="19"/>
  <c r="J66" i="19"/>
  <c r="J211" i="22"/>
  <c r="F211" i="22"/>
  <c r="G211" i="22"/>
  <c r="J151" i="22"/>
  <c r="G151" i="22"/>
  <c r="F151" i="22"/>
  <c r="H151" i="22" s="1"/>
  <c r="F187" i="22"/>
  <c r="G187" i="22"/>
  <c r="J187" i="22"/>
  <c r="J169" i="22"/>
  <c r="F169" i="22"/>
  <c r="G169" i="22"/>
  <c r="J167" i="22"/>
  <c r="G167" i="22"/>
  <c r="F167" i="22"/>
  <c r="H167" i="22" s="1"/>
  <c r="G188" i="22"/>
  <c r="J188" i="22"/>
  <c r="F188" i="22"/>
  <c r="H188" i="22" s="1"/>
  <c r="G180" i="22"/>
  <c r="F180" i="22"/>
  <c r="J180" i="22"/>
  <c r="F156" i="22"/>
  <c r="J156" i="22"/>
  <c r="G156" i="22"/>
  <c r="J235" i="22"/>
  <c r="G235" i="22"/>
  <c r="F235" i="22"/>
  <c r="H235" i="22" s="1"/>
  <c r="J86" i="22"/>
  <c r="G86" i="22"/>
  <c r="F86" i="22"/>
  <c r="H86" i="22" s="1"/>
  <c r="J140" i="22"/>
  <c r="F140" i="22"/>
  <c r="H140" i="22" s="1"/>
  <c r="G140" i="22"/>
  <c r="G83" i="22"/>
  <c r="F83" i="22"/>
  <c r="H83" i="22" s="1"/>
  <c r="J83" i="22"/>
  <c r="F68" i="22"/>
  <c r="H68" i="22" s="1"/>
  <c r="J68" i="22"/>
  <c r="G68" i="22"/>
  <c r="G148" i="22"/>
  <c r="J148" i="22"/>
  <c r="F148" i="22"/>
  <c r="J120" i="22"/>
  <c r="F120" i="22"/>
  <c r="G120" i="22"/>
  <c r="G246" i="21"/>
  <c r="F246" i="21"/>
  <c r="J246" i="21"/>
  <c r="G24" i="22"/>
  <c r="F24" i="22"/>
  <c r="J24" i="22"/>
  <c r="G254" i="21"/>
  <c r="F254" i="21"/>
  <c r="J254" i="21"/>
  <c r="J55" i="22"/>
  <c r="G55" i="22"/>
  <c r="F55" i="22"/>
  <c r="H55" i="22" s="1"/>
  <c r="J30" i="22"/>
  <c r="G30" i="22"/>
  <c r="F30" i="22"/>
  <c r="J74" i="22"/>
  <c r="G74" i="22"/>
  <c r="F74" i="22"/>
  <c r="H74" i="22" s="1"/>
  <c r="G77" i="22"/>
  <c r="F77" i="22"/>
  <c r="H77" i="22" s="1"/>
  <c r="J77" i="22"/>
  <c r="G220" i="22"/>
  <c r="J220" i="22"/>
  <c r="F220" i="22"/>
  <c r="J230" i="22"/>
  <c r="G230" i="22"/>
  <c r="F230" i="22"/>
  <c r="H230" i="22" s="1"/>
  <c r="G212" i="22"/>
  <c r="J212" i="22"/>
  <c r="F212" i="22"/>
  <c r="J266" i="22"/>
  <c r="G266" i="22"/>
  <c r="F266" i="22"/>
  <c r="H266" i="22" s="1"/>
  <c r="J261" i="22"/>
  <c r="G261" i="22"/>
  <c r="F261" i="22"/>
  <c r="H261" i="22" s="1"/>
  <c r="J233" i="22"/>
  <c r="G233" i="22"/>
  <c r="F233" i="22"/>
  <c r="H233" i="22" s="1"/>
  <c r="J163" i="21"/>
  <c r="G163" i="21"/>
  <c r="F163" i="21"/>
  <c r="J185" i="21"/>
  <c r="G185" i="21"/>
  <c r="F185" i="21"/>
  <c r="G147" i="21"/>
  <c r="F147" i="21"/>
  <c r="J147" i="21"/>
  <c r="J167" i="21"/>
  <c r="G167" i="21"/>
  <c r="F167" i="21"/>
  <c r="J131" i="21"/>
  <c r="G131" i="21"/>
  <c r="F131" i="21"/>
  <c r="G164" i="21"/>
  <c r="F164" i="21"/>
  <c r="J164" i="21"/>
  <c r="F144" i="21"/>
  <c r="J144" i="21"/>
  <c r="G144" i="21"/>
  <c r="F150" i="21"/>
  <c r="J150" i="21"/>
  <c r="G150" i="21"/>
  <c r="J96" i="21"/>
  <c r="G96" i="21"/>
  <c r="F96" i="21"/>
  <c r="J14" i="21"/>
  <c r="G14" i="21"/>
  <c r="F14" i="21"/>
  <c r="J20" i="21"/>
  <c r="G20" i="21"/>
  <c r="F20" i="21"/>
  <c r="G289" i="20"/>
  <c r="J289" i="20"/>
  <c r="F289" i="20"/>
  <c r="F30" i="21"/>
  <c r="J30" i="21"/>
  <c r="G30" i="21"/>
  <c r="G58" i="21"/>
  <c r="F58" i="21"/>
  <c r="J58" i="21"/>
  <c r="J87" i="21"/>
  <c r="G87" i="21"/>
  <c r="F87" i="21"/>
  <c r="J79" i="21"/>
  <c r="G79" i="21"/>
  <c r="F79" i="21"/>
  <c r="J102" i="21"/>
  <c r="G102" i="21"/>
  <c r="F102" i="21"/>
  <c r="J77" i="21"/>
  <c r="F77" i="21"/>
  <c r="G77" i="21"/>
  <c r="F233" i="21"/>
  <c r="J233" i="21"/>
  <c r="G233" i="21"/>
  <c r="J221" i="21"/>
  <c r="G221" i="21"/>
  <c r="F221" i="21"/>
  <c r="J294" i="21"/>
  <c r="G294" i="21"/>
  <c r="F294" i="21"/>
  <c r="G301" i="21"/>
  <c r="J301" i="21"/>
  <c r="F301" i="21"/>
  <c r="J291" i="20"/>
  <c r="G291" i="20"/>
  <c r="F291" i="20"/>
  <c r="J249" i="20"/>
  <c r="G249" i="20"/>
  <c r="F249" i="20"/>
  <c r="F177" i="20"/>
  <c r="J177" i="20"/>
  <c r="G177" i="20"/>
  <c r="F185" i="20"/>
  <c r="J185" i="20"/>
  <c r="G185" i="20"/>
  <c r="J93" i="20"/>
  <c r="F93" i="20"/>
  <c r="G93" i="20"/>
  <c r="F95" i="20"/>
  <c r="J95" i="20"/>
  <c r="G95" i="20"/>
  <c r="J117" i="20"/>
  <c r="G117" i="20"/>
  <c r="F117" i="20"/>
  <c r="F107" i="20"/>
  <c r="J107" i="20"/>
  <c r="G107" i="20"/>
  <c r="F140" i="20"/>
  <c r="J140" i="20"/>
  <c r="G140" i="20"/>
  <c r="F284" i="19"/>
  <c r="G284" i="19"/>
  <c r="J284" i="19"/>
  <c r="J187" i="19"/>
  <c r="F187" i="19"/>
  <c r="G187" i="19"/>
  <c r="G213" i="19"/>
  <c r="F213" i="19"/>
  <c r="J213" i="19"/>
  <c r="G192" i="19"/>
  <c r="F192" i="19"/>
  <c r="J192" i="19"/>
  <c r="G116" i="20"/>
  <c r="F116" i="20"/>
  <c r="J116" i="20"/>
  <c r="J188" i="20"/>
  <c r="G188" i="20"/>
  <c r="F188" i="20"/>
  <c r="J208" i="20"/>
  <c r="G208" i="20"/>
  <c r="F208" i="20"/>
  <c r="J264" i="20"/>
  <c r="G264" i="20"/>
  <c r="F264" i="20"/>
  <c r="J191" i="20"/>
  <c r="G191" i="20"/>
  <c r="F191" i="20"/>
  <c r="J239" i="20"/>
  <c r="G239" i="20"/>
  <c r="F239" i="20"/>
  <c r="G202" i="20"/>
  <c r="J202" i="20"/>
  <c r="F202" i="20"/>
  <c r="G272" i="20"/>
  <c r="F272" i="20"/>
  <c r="J272" i="20"/>
  <c r="J244" i="20"/>
  <c r="F244" i="20"/>
  <c r="G244" i="20"/>
  <c r="F40" i="20"/>
  <c r="G40" i="20"/>
  <c r="J40" i="20"/>
  <c r="G176" i="19"/>
  <c r="F176" i="19"/>
  <c r="J176" i="19"/>
  <c r="J188" i="19"/>
  <c r="G188" i="19"/>
  <c r="F188" i="19"/>
  <c r="J252" i="19"/>
  <c r="G252" i="19"/>
  <c r="F252" i="19"/>
  <c r="J39" i="20"/>
  <c r="F39" i="20"/>
  <c r="G39" i="20"/>
  <c r="G94" i="20"/>
  <c r="J94" i="20"/>
  <c r="F94" i="20"/>
  <c r="G293" i="19"/>
  <c r="F293" i="19"/>
  <c r="J293" i="19"/>
  <c r="F259" i="19"/>
  <c r="J259" i="19"/>
  <c r="G259" i="19"/>
  <c r="F144" i="19"/>
  <c r="G144" i="19"/>
  <c r="J144" i="19"/>
  <c r="J154" i="19"/>
  <c r="G154" i="19"/>
  <c r="F154" i="19"/>
  <c r="F147" i="19"/>
  <c r="J147" i="19"/>
  <c r="G147" i="19"/>
  <c r="J128" i="19"/>
  <c r="G128" i="19"/>
  <c r="F128" i="19"/>
  <c r="G190" i="19"/>
  <c r="F190" i="19"/>
  <c r="J190" i="19"/>
  <c r="F97" i="19"/>
  <c r="J97" i="19"/>
  <c r="G97" i="19"/>
  <c r="J254" i="19"/>
  <c r="F254" i="19"/>
  <c r="G254" i="19"/>
  <c r="F107" i="19"/>
  <c r="J107" i="19"/>
  <c r="G107" i="19"/>
  <c r="J194" i="19"/>
  <c r="F194" i="19"/>
  <c r="G194" i="19"/>
  <c r="F152" i="19"/>
  <c r="J152" i="19"/>
  <c r="G152" i="19"/>
  <c r="J43" i="19"/>
  <c r="G43" i="19"/>
  <c r="F43" i="19"/>
  <c r="J91" i="19"/>
  <c r="G91" i="19"/>
  <c r="F91" i="19"/>
  <c r="G50" i="19"/>
  <c r="F50" i="19"/>
  <c r="J50" i="19"/>
  <c r="J110" i="19"/>
  <c r="F110" i="19"/>
  <c r="G110" i="19"/>
  <c r="J38" i="19"/>
  <c r="G38" i="19"/>
  <c r="F38" i="19"/>
  <c r="J167" i="19"/>
  <c r="G167" i="19"/>
  <c r="F167" i="19"/>
  <c r="J230" i="19"/>
  <c r="F230" i="19"/>
  <c r="G230" i="19"/>
  <c r="G3" i="19"/>
  <c r="F3" i="19"/>
  <c r="J3" i="19"/>
  <c r="J25" i="19"/>
  <c r="G25" i="19"/>
  <c r="F25" i="19"/>
  <c r="J61" i="19"/>
  <c r="G61" i="19"/>
  <c r="F61" i="19"/>
  <c r="G11" i="19"/>
  <c r="F11" i="19"/>
  <c r="J11" i="19"/>
  <c r="G17" i="19"/>
  <c r="F17" i="19"/>
  <c r="J17" i="19"/>
  <c r="F148" i="19"/>
  <c r="J148" i="19"/>
  <c r="G148" i="19"/>
  <c r="J197" i="18"/>
  <c r="G197" i="18"/>
  <c r="F197" i="18"/>
  <c r="J261" i="18"/>
  <c r="G261" i="18"/>
  <c r="F261" i="18"/>
  <c r="J237" i="18"/>
  <c r="F237" i="18"/>
  <c r="G237" i="18"/>
  <c r="F19" i="19"/>
  <c r="J229" i="18"/>
  <c r="G229" i="18"/>
  <c r="F229" i="18"/>
  <c r="J233" i="18"/>
  <c r="F233" i="18"/>
  <c r="G233" i="18"/>
  <c r="J213" i="18"/>
  <c r="G213" i="18"/>
  <c r="F213" i="18"/>
  <c r="J248" i="18"/>
  <c r="G248" i="18"/>
  <c r="F248" i="18"/>
  <c r="G243" i="18"/>
  <c r="F243" i="18"/>
  <c r="J243" i="18"/>
  <c r="J162" i="18"/>
  <c r="G162" i="18"/>
  <c r="F162" i="18"/>
  <c r="F253" i="17"/>
  <c r="G253" i="17"/>
  <c r="J253" i="17"/>
  <c r="F147" i="18"/>
  <c r="J147" i="18"/>
  <c r="G147" i="18"/>
  <c r="F241" i="17"/>
  <c r="J241" i="17"/>
  <c r="G241" i="17"/>
  <c r="F281" i="17"/>
  <c r="J281" i="17"/>
  <c r="G281" i="17"/>
  <c r="J251" i="17"/>
  <c r="G251" i="17"/>
  <c r="F251" i="17"/>
  <c r="G26" i="18"/>
  <c r="J26" i="18"/>
  <c r="F26" i="18"/>
  <c r="G136" i="17"/>
  <c r="F136" i="17"/>
  <c r="J136" i="17"/>
  <c r="F43" i="17"/>
  <c r="G43" i="17"/>
  <c r="J43" i="17"/>
  <c r="J12" i="18"/>
  <c r="G12" i="18"/>
  <c r="F12" i="18"/>
  <c r="J72" i="18"/>
  <c r="G72" i="18"/>
  <c r="F72" i="18"/>
  <c r="M16" i="18"/>
  <c r="G2" i="18"/>
  <c r="F2" i="18"/>
  <c r="J2" i="18"/>
  <c r="J220" i="18"/>
  <c r="F220" i="18"/>
  <c r="G220" i="18"/>
  <c r="J126" i="18"/>
  <c r="G126" i="18"/>
  <c r="F126" i="18"/>
  <c r="G176" i="18"/>
  <c r="F176" i="18"/>
  <c r="J176" i="18"/>
  <c r="F41" i="18"/>
  <c r="J41" i="18"/>
  <c r="G41" i="18"/>
  <c r="F89" i="18"/>
  <c r="J89" i="18"/>
  <c r="G89" i="18"/>
  <c r="J230" i="18"/>
  <c r="G230" i="18"/>
  <c r="F230" i="18"/>
  <c r="G194" i="18"/>
  <c r="F194" i="18"/>
  <c r="J194" i="18"/>
  <c r="J284" i="18"/>
  <c r="G284" i="18"/>
  <c r="F284" i="18"/>
  <c r="J262" i="18"/>
  <c r="F262" i="18"/>
  <c r="G262" i="18"/>
  <c r="G164" i="17"/>
  <c r="F164" i="17"/>
  <c r="J164" i="17"/>
  <c r="J271" i="17"/>
  <c r="G271" i="17"/>
  <c r="F271" i="17"/>
  <c r="F155" i="17"/>
  <c r="J155" i="17"/>
  <c r="G155" i="17"/>
  <c r="J149" i="18"/>
  <c r="G149" i="18"/>
  <c r="F149" i="18"/>
  <c r="G152" i="17"/>
  <c r="F152" i="17"/>
  <c r="J152" i="17"/>
  <c r="F111" i="17"/>
  <c r="J111" i="17"/>
  <c r="G111" i="17"/>
  <c r="F61" i="17"/>
  <c r="J61" i="17"/>
  <c r="G61" i="17"/>
  <c r="F167" i="17"/>
  <c r="J167" i="17"/>
  <c r="G167" i="17"/>
  <c r="F63" i="17"/>
  <c r="J63" i="17"/>
  <c r="G63" i="17"/>
  <c r="G230" i="16"/>
  <c r="F230" i="16"/>
  <c r="J230" i="16"/>
  <c r="J209" i="17"/>
  <c r="G209" i="17"/>
  <c r="F209" i="17"/>
  <c r="J295" i="16"/>
  <c r="G295" i="16"/>
  <c r="F295" i="16"/>
  <c r="F150" i="17"/>
  <c r="J150" i="17"/>
  <c r="G150" i="17"/>
  <c r="J264" i="16"/>
  <c r="G264" i="16"/>
  <c r="F264" i="16"/>
  <c r="F87" i="17"/>
  <c r="J87" i="17"/>
  <c r="G87" i="17"/>
  <c r="J133" i="17"/>
  <c r="F133" i="17"/>
  <c r="G133" i="17"/>
  <c r="J197" i="16"/>
  <c r="G197" i="16"/>
  <c r="F197" i="16"/>
  <c r="J10" i="17"/>
  <c r="F107" i="16"/>
  <c r="G107" i="16"/>
  <c r="J107" i="16"/>
  <c r="G204" i="17"/>
  <c r="F204" i="17"/>
  <c r="J204" i="17"/>
  <c r="F123" i="16"/>
  <c r="J123" i="16"/>
  <c r="G123" i="16"/>
  <c r="F8" i="17"/>
  <c r="J8" i="17"/>
  <c r="G8" i="17"/>
  <c r="G182" i="16"/>
  <c r="J182" i="16"/>
  <c r="F182" i="16"/>
  <c r="J101" i="16"/>
  <c r="G212" i="16"/>
  <c r="F212" i="16"/>
  <c r="J212" i="16"/>
  <c r="G68" i="16"/>
  <c r="F68" i="16"/>
  <c r="H68" i="16" s="1"/>
  <c r="J68" i="16"/>
  <c r="G142" i="16"/>
  <c r="F142" i="16"/>
  <c r="J142" i="16"/>
  <c r="F106" i="17"/>
  <c r="J106" i="17"/>
  <c r="G106" i="17"/>
  <c r="J181" i="17"/>
  <c r="G181" i="17"/>
  <c r="F181" i="17"/>
  <c r="F98" i="17"/>
  <c r="J98" i="17"/>
  <c r="G98" i="17"/>
  <c r="J291" i="17"/>
  <c r="G291" i="17"/>
  <c r="F291" i="17"/>
  <c r="F62" i="17"/>
  <c r="J62" i="17"/>
  <c r="G62" i="17"/>
  <c r="J267" i="17"/>
  <c r="G267" i="17"/>
  <c r="F267" i="17"/>
  <c r="G172" i="16"/>
  <c r="F172" i="16"/>
  <c r="H172" i="16" s="1"/>
  <c r="J172" i="16"/>
  <c r="E154" i="15"/>
  <c r="E132" i="15"/>
  <c r="E62" i="15"/>
  <c r="G152" i="16"/>
  <c r="F152" i="16"/>
  <c r="J152" i="16"/>
  <c r="J82" i="16"/>
  <c r="G82" i="16"/>
  <c r="F82" i="16"/>
  <c r="J15" i="16"/>
  <c r="J269" i="16"/>
  <c r="G269" i="16"/>
  <c r="F269" i="16"/>
  <c r="G273" i="16"/>
  <c r="J273" i="16"/>
  <c r="F273" i="16"/>
  <c r="F55" i="16"/>
  <c r="J55" i="16"/>
  <c r="G55" i="16"/>
  <c r="F233" i="16"/>
  <c r="J233" i="16"/>
  <c r="G233" i="16"/>
  <c r="G301" i="16"/>
  <c r="F301" i="16"/>
  <c r="J301" i="16"/>
  <c r="F187" i="16"/>
  <c r="J187" i="16"/>
  <c r="G187" i="16"/>
  <c r="E138" i="15"/>
  <c r="J74" i="16"/>
  <c r="G74" i="16"/>
  <c r="F74" i="16"/>
  <c r="E166" i="15"/>
  <c r="F78" i="16"/>
  <c r="E274" i="15"/>
  <c r="E192" i="15"/>
  <c r="E88" i="15"/>
  <c r="E70" i="15"/>
  <c r="E196" i="15"/>
  <c r="E290" i="15"/>
  <c r="J118" i="14"/>
  <c r="G118" i="14"/>
  <c r="F118" i="14"/>
  <c r="J175" i="13"/>
  <c r="F175" i="13"/>
  <c r="G175" i="13"/>
  <c r="J18" i="14"/>
  <c r="F18" i="14"/>
  <c r="G18" i="14"/>
  <c r="J298" i="12"/>
  <c r="F298" i="12"/>
  <c r="G298" i="12"/>
  <c r="J287" i="13"/>
  <c r="F287" i="13"/>
  <c r="G287" i="13"/>
  <c r="J54" i="13"/>
  <c r="G54" i="13"/>
  <c r="F54" i="13"/>
  <c r="G222" i="13"/>
  <c r="F222" i="13"/>
  <c r="J222" i="13"/>
  <c r="J282" i="12"/>
  <c r="F282" i="12"/>
  <c r="G282" i="12"/>
  <c r="J187" i="13"/>
  <c r="F187" i="13"/>
  <c r="H187" i="13" s="1"/>
  <c r="G187" i="13"/>
  <c r="J59" i="14"/>
  <c r="G59" i="14"/>
  <c r="F59" i="14"/>
  <c r="J16" i="14"/>
  <c r="F16" i="14"/>
  <c r="G16" i="14"/>
  <c r="J42" i="13"/>
  <c r="G42" i="13"/>
  <c r="F42" i="13"/>
  <c r="F41" i="13"/>
  <c r="H41" i="13" s="1"/>
  <c r="G13" i="13"/>
  <c r="J13" i="13"/>
  <c r="F13" i="13"/>
  <c r="G12" i="13"/>
  <c r="H12" i="13" s="1"/>
  <c r="G141" i="12"/>
  <c r="F141" i="12"/>
  <c r="J141" i="12"/>
  <c r="M19" i="12"/>
  <c r="E64" i="11"/>
  <c r="E63" i="11"/>
  <c r="F153" i="10"/>
  <c r="F43" i="10"/>
  <c r="G194" i="10"/>
  <c r="J234" i="10"/>
  <c r="F233" i="10"/>
  <c r="G233" i="10"/>
  <c r="J15" i="10"/>
  <c r="F15" i="10"/>
  <c r="G15" i="10"/>
  <c r="F14" i="10"/>
  <c r="G14" i="10"/>
  <c r="J99" i="12"/>
  <c r="F99" i="12"/>
  <c r="G99" i="12"/>
  <c r="F44" i="12"/>
  <c r="G44" i="12"/>
  <c r="J44" i="12"/>
  <c r="J123" i="12"/>
  <c r="F123" i="12"/>
  <c r="G123" i="12"/>
  <c r="F40" i="12"/>
  <c r="G40" i="12"/>
  <c r="J40" i="12"/>
  <c r="J71" i="12"/>
  <c r="F71" i="12"/>
  <c r="G71" i="12"/>
  <c r="J111" i="12"/>
  <c r="F111" i="12"/>
  <c r="G111" i="12"/>
  <c r="G248" i="12"/>
  <c r="F248" i="12"/>
  <c r="J248" i="12"/>
  <c r="J227" i="12"/>
  <c r="G227" i="12"/>
  <c r="F227" i="12"/>
  <c r="G192" i="12"/>
  <c r="F192" i="12"/>
  <c r="J192" i="12"/>
  <c r="J171" i="12"/>
  <c r="G171" i="12"/>
  <c r="F171" i="12"/>
  <c r="F64" i="12"/>
  <c r="G64" i="12"/>
  <c r="J64" i="12"/>
  <c r="F112" i="12"/>
  <c r="G112" i="12"/>
  <c r="J112" i="12"/>
  <c r="G198" i="12"/>
  <c r="F198" i="12"/>
  <c r="J198" i="12"/>
  <c r="J255" i="12"/>
  <c r="G255" i="12"/>
  <c r="F255" i="12"/>
  <c r="M19" i="9"/>
  <c r="G130" i="10"/>
  <c r="J88" i="22"/>
  <c r="G88" i="22"/>
  <c r="F88" i="22"/>
  <c r="H88" i="22" s="1"/>
  <c r="F243" i="22"/>
  <c r="J243" i="22"/>
  <c r="G243" i="22"/>
  <c r="J239" i="22"/>
  <c r="G239" i="22"/>
  <c r="F239" i="22"/>
  <c r="H239" i="22" s="1"/>
  <c r="J185" i="22"/>
  <c r="G185" i="22"/>
  <c r="F185" i="22"/>
  <c r="H185" i="22" s="1"/>
  <c r="J157" i="22"/>
  <c r="F157" i="22"/>
  <c r="G157" i="22"/>
  <c r="J191" i="22"/>
  <c r="G191" i="22"/>
  <c r="F191" i="22"/>
  <c r="H191" i="22" s="1"/>
  <c r="J175" i="22"/>
  <c r="G175" i="22"/>
  <c r="F175" i="22"/>
  <c r="H175" i="22" s="1"/>
  <c r="G166" i="22"/>
  <c r="F166" i="22"/>
  <c r="H166" i="22" s="1"/>
  <c r="J166" i="22"/>
  <c r="F122" i="22"/>
  <c r="G122" i="22"/>
  <c r="J122" i="22"/>
  <c r="F199" i="22"/>
  <c r="G199" i="22"/>
  <c r="J199" i="22"/>
  <c r="F171" i="22"/>
  <c r="J171" i="22"/>
  <c r="G171" i="22"/>
  <c r="F72" i="22"/>
  <c r="J72" i="22"/>
  <c r="G72" i="22"/>
  <c r="J94" i="22"/>
  <c r="G94" i="22"/>
  <c r="F94" i="22"/>
  <c r="H94" i="22" s="1"/>
  <c r="J98" i="22"/>
  <c r="G98" i="22"/>
  <c r="F98" i="22"/>
  <c r="H98" i="22" s="1"/>
  <c r="J35" i="22"/>
  <c r="G35" i="22"/>
  <c r="F35" i="22"/>
  <c r="H35" i="22" s="1"/>
  <c r="G282" i="21"/>
  <c r="F282" i="21"/>
  <c r="J282" i="21"/>
  <c r="F244" i="21"/>
  <c r="J244" i="21"/>
  <c r="G244" i="21"/>
  <c r="F276" i="21"/>
  <c r="J276" i="21"/>
  <c r="G276" i="21"/>
  <c r="F252" i="21"/>
  <c r="J252" i="21"/>
  <c r="G252" i="21"/>
  <c r="J34" i="22"/>
  <c r="G34" i="22"/>
  <c r="F34" i="22"/>
  <c r="H34" i="22" s="1"/>
  <c r="J42" i="22"/>
  <c r="G42" i="22"/>
  <c r="F42" i="22"/>
  <c r="H42" i="22" s="1"/>
  <c r="J78" i="22"/>
  <c r="G78" i="22"/>
  <c r="F78" i="22"/>
  <c r="H78" i="22" s="1"/>
  <c r="J186" i="22"/>
  <c r="F186" i="22"/>
  <c r="G186" i="22"/>
  <c r="J253" i="22"/>
  <c r="G253" i="22"/>
  <c r="F253" i="22"/>
  <c r="H253" i="22" s="1"/>
  <c r="J250" i="22"/>
  <c r="G250" i="22"/>
  <c r="F250" i="22"/>
  <c r="H250" i="22" s="1"/>
  <c r="J217" i="22"/>
  <c r="G217" i="22"/>
  <c r="F217" i="22"/>
  <c r="H217" i="22" s="1"/>
  <c r="J273" i="22"/>
  <c r="G273" i="22"/>
  <c r="F273" i="22"/>
  <c r="H273" i="22" s="1"/>
  <c r="G268" i="22"/>
  <c r="J268" i="22"/>
  <c r="F268" i="22"/>
  <c r="H268" i="22" s="1"/>
  <c r="J258" i="22"/>
  <c r="G258" i="22"/>
  <c r="F258" i="22"/>
  <c r="H258" i="22" s="1"/>
  <c r="G143" i="21"/>
  <c r="F143" i="21"/>
  <c r="J143" i="21"/>
  <c r="J135" i="21"/>
  <c r="G135" i="21"/>
  <c r="F135" i="21"/>
  <c r="J110" i="21"/>
  <c r="G110" i="21"/>
  <c r="F110" i="21"/>
  <c r="F162" i="21"/>
  <c r="J162" i="21"/>
  <c r="G162" i="21"/>
  <c r="J123" i="21"/>
  <c r="G123" i="21"/>
  <c r="F123" i="21"/>
  <c r="J142" i="21"/>
  <c r="G142" i="21"/>
  <c r="F142" i="21"/>
  <c r="F191" i="21"/>
  <c r="J191" i="21"/>
  <c r="G191" i="21"/>
  <c r="J84" i="21"/>
  <c r="G84" i="21"/>
  <c r="F84" i="21"/>
  <c r="F6" i="21"/>
  <c r="G6" i="21"/>
  <c r="J6" i="21"/>
  <c r="G3" i="21"/>
  <c r="J3" i="21"/>
  <c r="J270" i="20"/>
  <c r="G270" i="20"/>
  <c r="F270" i="20"/>
  <c r="G281" i="20"/>
  <c r="J281" i="20"/>
  <c r="F281" i="20"/>
  <c r="F60" i="21"/>
  <c r="J60" i="21"/>
  <c r="G60" i="21"/>
  <c r="J21" i="21"/>
  <c r="G21" i="21"/>
  <c r="F21" i="21"/>
  <c r="J37" i="21"/>
  <c r="F37" i="21"/>
  <c r="G37" i="21"/>
  <c r="J169" i="21"/>
  <c r="G169" i="21"/>
  <c r="F169" i="21"/>
  <c r="G81" i="21"/>
  <c r="J81" i="21"/>
  <c r="F81" i="21"/>
  <c r="F237" i="21"/>
  <c r="J237" i="21"/>
  <c r="G237" i="21"/>
  <c r="F261" i="21"/>
  <c r="J261" i="21"/>
  <c r="G261" i="21"/>
  <c r="J287" i="21"/>
  <c r="G287" i="21"/>
  <c r="F287" i="21"/>
  <c r="J283" i="20"/>
  <c r="G283" i="20"/>
  <c r="F283" i="20"/>
  <c r="G265" i="20"/>
  <c r="F265" i="20"/>
  <c r="J265" i="20"/>
  <c r="J165" i="20"/>
  <c r="F165" i="20"/>
  <c r="G165" i="20"/>
  <c r="F169" i="20"/>
  <c r="J169" i="20"/>
  <c r="G169" i="20"/>
  <c r="G12" i="21"/>
  <c r="H12" i="21" s="1"/>
  <c r="F173" i="20"/>
  <c r="J173" i="20"/>
  <c r="G173" i="20"/>
  <c r="G59" i="21"/>
  <c r="H59" i="21" s="1"/>
  <c r="F9" i="21"/>
  <c r="J89" i="20"/>
  <c r="F89" i="20"/>
  <c r="G89" i="20"/>
  <c r="J91" i="20"/>
  <c r="F91" i="20"/>
  <c r="G91" i="20"/>
  <c r="J83" i="20"/>
  <c r="G83" i="20"/>
  <c r="F83" i="20"/>
  <c r="J114" i="20"/>
  <c r="G114" i="20"/>
  <c r="F114" i="20"/>
  <c r="G123" i="20"/>
  <c r="F123" i="20"/>
  <c r="J123" i="20"/>
  <c r="F119" i="20"/>
  <c r="J119" i="20"/>
  <c r="G119" i="20"/>
  <c r="G281" i="19"/>
  <c r="F281" i="19"/>
  <c r="J281" i="19"/>
  <c r="J80" i="20"/>
  <c r="G80" i="20"/>
  <c r="F80" i="20"/>
  <c r="G6" i="20"/>
  <c r="F6" i="20"/>
  <c r="J6" i="20"/>
  <c r="J58" i="20"/>
  <c r="G58" i="20"/>
  <c r="F58" i="20"/>
  <c r="J17" i="20"/>
  <c r="G17" i="20"/>
  <c r="F17" i="20"/>
  <c r="J204" i="20"/>
  <c r="G204" i="20"/>
  <c r="F204" i="20"/>
  <c r="J224" i="20"/>
  <c r="G224" i="20"/>
  <c r="F224" i="20"/>
  <c r="J236" i="20"/>
  <c r="G236" i="20"/>
  <c r="F236" i="20"/>
  <c r="J195" i="20"/>
  <c r="G195" i="20"/>
  <c r="F195" i="20"/>
  <c r="G251" i="20"/>
  <c r="F251" i="20"/>
  <c r="J251" i="20"/>
  <c r="G206" i="20"/>
  <c r="J206" i="20"/>
  <c r="F206" i="20"/>
  <c r="F189" i="20"/>
  <c r="J189" i="20"/>
  <c r="G189" i="20"/>
  <c r="J252" i="20"/>
  <c r="F252" i="20"/>
  <c r="G252" i="20"/>
  <c r="G241" i="19"/>
  <c r="F241" i="19"/>
  <c r="J241" i="19"/>
  <c r="J27" i="20"/>
  <c r="F27" i="20"/>
  <c r="G27" i="20"/>
  <c r="G168" i="19"/>
  <c r="F168" i="19"/>
  <c r="J168" i="19"/>
  <c r="G100" i="20"/>
  <c r="J100" i="20"/>
  <c r="F100" i="20"/>
  <c r="G245" i="19"/>
  <c r="F245" i="19"/>
  <c r="J245" i="19"/>
  <c r="J30" i="20"/>
  <c r="G30" i="20"/>
  <c r="F30" i="20"/>
  <c r="G88" i="20"/>
  <c r="J88" i="20"/>
  <c r="F88" i="20"/>
  <c r="J212" i="19"/>
  <c r="G212" i="19"/>
  <c r="F212" i="19"/>
  <c r="F256" i="19"/>
  <c r="J256" i="19"/>
  <c r="G256" i="19"/>
  <c r="G133" i="19"/>
  <c r="F133" i="19"/>
  <c r="J133" i="19"/>
  <c r="J60" i="19"/>
  <c r="F60" i="19"/>
  <c r="G60" i="19"/>
  <c r="J138" i="19"/>
  <c r="F138" i="19"/>
  <c r="G138" i="19"/>
  <c r="G153" i="19"/>
  <c r="F153" i="19"/>
  <c r="J153" i="19"/>
  <c r="J234" i="19"/>
  <c r="G234" i="19"/>
  <c r="F234" i="19"/>
  <c r="J99" i="19"/>
  <c r="G99" i="19"/>
  <c r="F99" i="19"/>
  <c r="J142" i="19"/>
  <c r="F142" i="19"/>
  <c r="G142" i="19"/>
  <c r="G145" i="19"/>
  <c r="F145" i="19"/>
  <c r="J145" i="19"/>
  <c r="J84" i="19"/>
  <c r="G84" i="19"/>
  <c r="F84" i="19"/>
  <c r="J45" i="19"/>
  <c r="G45" i="19"/>
  <c r="F45" i="19"/>
  <c r="F77" i="19"/>
  <c r="J77" i="19"/>
  <c r="G77" i="19"/>
  <c r="J70" i="19"/>
  <c r="G70" i="19"/>
  <c r="F70" i="19"/>
  <c r="J175" i="19"/>
  <c r="G175" i="19"/>
  <c r="F175" i="19"/>
  <c r="J246" i="19"/>
  <c r="F246" i="19"/>
  <c r="G246" i="19"/>
  <c r="G22" i="19"/>
  <c r="F22" i="19"/>
  <c r="J22" i="19"/>
  <c r="G39" i="19"/>
  <c r="F39" i="19"/>
  <c r="J39" i="19"/>
  <c r="J8" i="19"/>
  <c r="G8" i="19"/>
  <c r="F8" i="19"/>
  <c r="F69" i="19"/>
  <c r="J69" i="19"/>
  <c r="G69" i="19"/>
  <c r="F2" i="19"/>
  <c r="J174" i="18"/>
  <c r="G174" i="18"/>
  <c r="F174" i="18"/>
  <c r="J200" i="18"/>
  <c r="F200" i="18"/>
  <c r="G200" i="18"/>
  <c r="G203" i="18"/>
  <c r="J203" i="18"/>
  <c r="F203" i="18"/>
  <c r="J193" i="18"/>
  <c r="G193" i="18"/>
  <c r="F193" i="18"/>
  <c r="J217" i="18"/>
  <c r="G217" i="18"/>
  <c r="F217" i="18"/>
  <c r="J196" i="18"/>
  <c r="G196" i="18"/>
  <c r="F196" i="18"/>
  <c r="F175" i="18"/>
  <c r="J175" i="18"/>
  <c r="G175" i="18"/>
  <c r="G239" i="18"/>
  <c r="F239" i="18"/>
  <c r="J239" i="18"/>
  <c r="J152" i="18"/>
  <c r="F152" i="18"/>
  <c r="G152" i="18"/>
  <c r="J134" i="18"/>
  <c r="G134" i="18"/>
  <c r="F134" i="18"/>
  <c r="H134" i="18" s="1"/>
  <c r="G282" i="17"/>
  <c r="J282" i="17"/>
  <c r="F282" i="17"/>
  <c r="M19" i="18"/>
  <c r="F257" i="17"/>
  <c r="J257" i="17"/>
  <c r="G257" i="17"/>
  <c r="J247" i="17"/>
  <c r="G247" i="17"/>
  <c r="F247" i="17"/>
  <c r="F123" i="17"/>
  <c r="G123" i="17"/>
  <c r="J123" i="17"/>
  <c r="F31" i="17"/>
  <c r="G31" i="17"/>
  <c r="J31" i="17"/>
  <c r="J23" i="18"/>
  <c r="G23" i="18"/>
  <c r="F23" i="18"/>
  <c r="G18" i="18"/>
  <c r="F18" i="18"/>
  <c r="J18" i="18"/>
  <c r="J107" i="18"/>
  <c r="G107" i="18"/>
  <c r="F107" i="18"/>
  <c r="J63" i="18"/>
  <c r="F63" i="18"/>
  <c r="G63" i="18"/>
  <c r="J140" i="18"/>
  <c r="G140" i="18"/>
  <c r="F140" i="18"/>
  <c r="J190" i="18"/>
  <c r="F190" i="18"/>
  <c r="G190" i="18"/>
  <c r="F45" i="18"/>
  <c r="J45" i="18"/>
  <c r="G45" i="18"/>
  <c r="F93" i="18"/>
  <c r="J93" i="18"/>
  <c r="G93" i="18"/>
  <c r="J278" i="18"/>
  <c r="G278" i="18"/>
  <c r="F278" i="18"/>
  <c r="G202" i="18"/>
  <c r="F202" i="18"/>
  <c r="J202" i="18"/>
  <c r="G294" i="18"/>
  <c r="F294" i="18"/>
  <c r="H294" i="18" s="1"/>
  <c r="J294" i="18"/>
  <c r="F151" i="17"/>
  <c r="J151" i="17"/>
  <c r="G151" i="17"/>
  <c r="J36" i="17"/>
  <c r="G36" i="17"/>
  <c r="F36" i="17"/>
  <c r="G144" i="17"/>
  <c r="F144" i="17"/>
  <c r="J144" i="17"/>
  <c r="J114" i="18"/>
  <c r="G114" i="18"/>
  <c r="F114" i="18"/>
  <c r="F51" i="20"/>
  <c r="H51" i="20" s="1"/>
  <c r="F139" i="17"/>
  <c r="G139" i="17"/>
  <c r="J139" i="17"/>
  <c r="F74" i="18"/>
  <c r="H74" i="18" s="1"/>
  <c r="J89" i="17"/>
  <c r="G89" i="17"/>
  <c r="F89" i="17"/>
  <c r="J244" i="16"/>
  <c r="G244" i="16"/>
  <c r="F244" i="16"/>
  <c r="F159" i="17"/>
  <c r="J159" i="17"/>
  <c r="G159" i="17"/>
  <c r="J259" i="16"/>
  <c r="G259" i="16"/>
  <c r="F259" i="16"/>
  <c r="J233" i="17"/>
  <c r="G233" i="17"/>
  <c r="F233" i="17"/>
  <c r="J189" i="17"/>
  <c r="G189" i="17"/>
  <c r="F189" i="17"/>
  <c r="F94" i="17"/>
  <c r="J94" i="17"/>
  <c r="G94" i="17"/>
  <c r="G262" i="16"/>
  <c r="J262" i="16"/>
  <c r="F262" i="16"/>
  <c r="F51" i="17"/>
  <c r="J51" i="17"/>
  <c r="G51" i="17"/>
  <c r="G292" i="17"/>
  <c r="F292" i="17"/>
  <c r="J292" i="17"/>
  <c r="J109" i="17"/>
  <c r="F109" i="17"/>
  <c r="G109" i="17"/>
  <c r="J173" i="16"/>
  <c r="G173" i="16"/>
  <c r="F173" i="16"/>
  <c r="G270" i="16"/>
  <c r="J270" i="16"/>
  <c r="F270" i="16"/>
  <c r="J236" i="17"/>
  <c r="G236" i="17"/>
  <c r="F236" i="17"/>
  <c r="G196" i="17"/>
  <c r="F196" i="17"/>
  <c r="J196" i="17"/>
  <c r="J205" i="17"/>
  <c r="G205" i="17"/>
  <c r="F205" i="17"/>
  <c r="J121" i="16"/>
  <c r="G121" i="16"/>
  <c r="F121" i="16"/>
  <c r="G120" i="16"/>
  <c r="F120" i="16"/>
  <c r="G144" i="16"/>
  <c r="F144" i="16"/>
  <c r="J144" i="16"/>
  <c r="G178" i="16"/>
  <c r="J178" i="16"/>
  <c r="F178" i="16"/>
  <c r="G186" i="16"/>
  <c r="J186" i="16"/>
  <c r="F186" i="16"/>
  <c r="G96" i="16"/>
  <c r="F96" i="16"/>
  <c r="J96" i="16"/>
  <c r="G208" i="16"/>
  <c r="F208" i="16"/>
  <c r="J208" i="16"/>
  <c r="G162" i="16"/>
  <c r="J162" i="16"/>
  <c r="F162" i="16"/>
  <c r="G114" i="16"/>
  <c r="F114" i="16"/>
  <c r="J114" i="16"/>
  <c r="J5" i="17"/>
  <c r="G5" i="17"/>
  <c r="F5" i="17"/>
  <c r="J129" i="17"/>
  <c r="G129" i="17"/>
  <c r="F129" i="17"/>
  <c r="F202" i="17"/>
  <c r="G202" i="17"/>
  <c r="J202" i="17"/>
  <c r="J153" i="17"/>
  <c r="G153" i="17"/>
  <c r="F153" i="17"/>
  <c r="J69" i="17"/>
  <c r="F69" i="17"/>
  <c r="G69" i="17"/>
  <c r="F227" i="17"/>
  <c r="J227" i="17"/>
  <c r="G227" i="17"/>
  <c r="G164" i="16"/>
  <c r="F164" i="16"/>
  <c r="J164" i="16"/>
  <c r="E152" i="15"/>
  <c r="G58" i="16"/>
  <c r="G14" i="16"/>
  <c r="E223" i="15"/>
  <c r="J7" i="16"/>
  <c r="G7" i="16"/>
  <c r="F7" i="16"/>
  <c r="J98" i="16"/>
  <c r="G98" i="16"/>
  <c r="F98" i="16"/>
  <c r="J45" i="16"/>
  <c r="G45" i="16"/>
  <c r="F45" i="16"/>
  <c r="J19" i="16"/>
  <c r="F19" i="16"/>
  <c r="G19" i="16"/>
  <c r="G277" i="16"/>
  <c r="F277" i="16"/>
  <c r="J277" i="16"/>
  <c r="F59" i="16"/>
  <c r="J59" i="16"/>
  <c r="G59" i="16"/>
  <c r="F281" i="16"/>
  <c r="G281" i="16"/>
  <c r="J281" i="16"/>
  <c r="G257" i="16"/>
  <c r="F257" i="16"/>
  <c r="J257" i="16"/>
  <c r="F191" i="16"/>
  <c r="J191" i="16"/>
  <c r="G191" i="16"/>
  <c r="E136" i="15"/>
  <c r="E164" i="15"/>
  <c r="E260" i="15"/>
  <c r="E170" i="15"/>
  <c r="E86" i="15"/>
  <c r="E54" i="15"/>
  <c r="E127" i="15"/>
  <c r="J225" i="14"/>
  <c r="G225" i="14"/>
  <c r="F225" i="14"/>
  <c r="E172" i="15"/>
  <c r="E115" i="15"/>
  <c r="G218" i="14"/>
  <c r="F218" i="14"/>
  <c r="J218" i="14"/>
  <c r="H239" i="13"/>
  <c r="G170" i="13"/>
  <c r="F170" i="13"/>
  <c r="J170" i="13"/>
  <c r="J28" i="14"/>
  <c r="G28" i="14"/>
  <c r="F28" i="14"/>
  <c r="J202" i="14"/>
  <c r="G202" i="14"/>
  <c r="F202" i="14"/>
  <c r="J136" i="14"/>
  <c r="G136" i="14"/>
  <c r="F136" i="14"/>
  <c r="J148" i="14"/>
  <c r="G148" i="14"/>
  <c r="F148" i="14"/>
  <c r="J79" i="14"/>
  <c r="G79" i="14"/>
  <c r="F79" i="14"/>
  <c r="J177" i="14"/>
  <c r="F177" i="14"/>
  <c r="G177" i="14"/>
  <c r="J52" i="14"/>
  <c r="G52" i="14"/>
  <c r="F52" i="14"/>
  <c r="J198" i="14"/>
  <c r="G198" i="14"/>
  <c r="F198" i="14"/>
  <c r="G137" i="14"/>
  <c r="J137" i="14"/>
  <c r="F137" i="14"/>
  <c r="J258" i="14"/>
  <c r="G258" i="14"/>
  <c r="F258" i="14"/>
  <c r="G227" i="14"/>
  <c r="J227" i="14"/>
  <c r="F227" i="14"/>
  <c r="G275" i="14"/>
  <c r="J275" i="14"/>
  <c r="F275" i="14"/>
  <c r="F83" i="13"/>
  <c r="J83" i="13"/>
  <c r="G83" i="13"/>
  <c r="H5" i="13"/>
  <c r="E233" i="11"/>
  <c r="G97" i="12"/>
  <c r="F97" i="12"/>
  <c r="J97" i="12"/>
  <c r="E22" i="11"/>
  <c r="J231" i="10"/>
  <c r="F49" i="10"/>
  <c r="F229" i="10"/>
  <c r="J23" i="9"/>
  <c r="J4" i="8"/>
  <c r="J263" i="7"/>
  <c r="J173" i="7"/>
  <c r="G251" i="22"/>
  <c r="F251" i="22"/>
  <c r="H251" i="22" s="1"/>
  <c r="J251" i="22"/>
  <c r="J181" i="22"/>
  <c r="G181" i="22"/>
  <c r="F181" i="22"/>
  <c r="H181" i="22" s="1"/>
  <c r="F93" i="22"/>
  <c r="H93" i="22" s="1"/>
  <c r="J93" i="22"/>
  <c r="G93" i="22"/>
  <c r="F125" i="22"/>
  <c r="J125" i="22"/>
  <c r="G125" i="22"/>
  <c r="J205" i="22"/>
  <c r="G205" i="22"/>
  <c r="F205" i="22"/>
  <c r="H205" i="22" s="1"/>
  <c r="G264" i="22"/>
  <c r="J264" i="22"/>
  <c r="F264" i="22"/>
  <c r="F170" i="21"/>
  <c r="G170" i="21"/>
  <c r="J170" i="21"/>
  <c r="J111" i="21"/>
  <c r="F111" i="21"/>
  <c r="G111" i="21"/>
  <c r="J51" i="21"/>
  <c r="G51" i="21"/>
  <c r="F51" i="21"/>
  <c r="J243" i="21"/>
  <c r="G243" i="21"/>
  <c r="F243" i="21"/>
  <c r="G297" i="21"/>
  <c r="J297" i="21"/>
  <c r="F297" i="21"/>
  <c r="G257" i="20"/>
  <c r="J257" i="20"/>
  <c r="F257" i="20"/>
  <c r="J97" i="20"/>
  <c r="F97" i="20"/>
  <c r="G97" i="20"/>
  <c r="F287" i="19"/>
  <c r="J287" i="19"/>
  <c r="G287" i="19"/>
  <c r="G142" i="20"/>
  <c r="J142" i="20"/>
  <c r="F142" i="20"/>
  <c r="J235" i="20"/>
  <c r="G235" i="20"/>
  <c r="F235" i="20"/>
  <c r="J248" i="19"/>
  <c r="G248" i="19"/>
  <c r="F248" i="19"/>
  <c r="G257" i="19"/>
  <c r="F257" i="19"/>
  <c r="J257" i="19"/>
  <c r="J4" i="20"/>
  <c r="F4" i="20"/>
  <c r="G4" i="20"/>
  <c r="F103" i="19"/>
  <c r="J103" i="19"/>
  <c r="G103" i="19"/>
  <c r="F111" i="19"/>
  <c r="J111" i="19"/>
  <c r="G111" i="19"/>
  <c r="G34" i="19"/>
  <c r="F34" i="19"/>
  <c r="J34" i="19"/>
  <c r="J204" i="18"/>
  <c r="F204" i="18"/>
  <c r="G204" i="18"/>
  <c r="J281" i="18"/>
  <c r="F281" i="18"/>
  <c r="G281" i="18"/>
  <c r="F115" i="18"/>
  <c r="J115" i="18"/>
  <c r="G115" i="18"/>
  <c r="G52" i="18"/>
  <c r="J52" i="18"/>
  <c r="F52" i="18"/>
  <c r="J16" i="18"/>
  <c r="G16" i="18"/>
  <c r="F16" i="18"/>
  <c r="J181" i="18"/>
  <c r="G181" i="18"/>
  <c r="F181" i="18"/>
  <c r="F37" i="18"/>
  <c r="J37" i="18"/>
  <c r="G37" i="18"/>
  <c r="J269" i="18"/>
  <c r="G269" i="18"/>
  <c r="F269" i="18"/>
  <c r="J48" i="17"/>
  <c r="G48" i="17"/>
  <c r="F48" i="17"/>
  <c r="J256" i="17"/>
  <c r="G256" i="17"/>
  <c r="F256" i="17"/>
  <c r="F83" i="17"/>
  <c r="J83" i="17"/>
  <c r="G83" i="17"/>
  <c r="G232" i="16"/>
  <c r="F232" i="16"/>
  <c r="J232" i="16"/>
  <c r="J221" i="17"/>
  <c r="G221" i="17"/>
  <c r="F221" i="17"/>
  <c r="J125" i="17"/>
  <c r="G125" i="17"/>
  <c r="F125" i="17"/>
  <c r="J235" i="16"/>
  <c r="F235" i="16"/>
  <c r="G235" i="16"/>
  <c r="J228" i="16"/>
  <c r="G228" i="16"/>
  <c r="F228" i="16"/>
  <c r="J229" i="17"/>
  <c r="G229" i="17"/>
  <c r="F229" i="17"/>
  <c r="F259" i="15"/>
  <c r="J259" i="15"/>
  <c r="G259" i="15"/>
  <c r="G122" i="16"/>
  <c r="J122" i="16"/>
  <c r="F122" i="16"/>
  <c r="G180" i="16"/>
  <c r="F180" i="16"/>
  <c r="J180" i="16"/>
  <c r="F146" i="17"/>
  <c r="J146" i="17"/>
  <c r="G146" i="17"/>
  <c r="G202" i="16"/>
  <c r="J202" i="16"/>
  <c r="F202" i="16"/>
  <c r="J134" i="15"/>
  <c r="G174" i="16"/>
  <c r="J174" i="16"/>
  <c r="F174" i="16"/>
  <c r="J289" i="16"/>
  <c r="G289" i="16"/>
  <c r="F289" i="16"/>
  <c r="J292" i="15"/>
  <c r="J194" i="15"/>
  <c r="J119" i="11"/>
  <c r="G119" i="11"/>
  <c r="F119" i="11"/>
  <c r="J31" i="22"/>
  <c r="G31" i="22"/>
  <c r="F31" i="22"/>
  <c r="H31" i="22" s="1"/>
  <c r="J240" i="21"/>
  <c r="G240" i="21"/>
  <c r="F240" i="21"/>
  <c r="G250" i="21"/>
  <c r="F250" i="21"/>
  <c r="J250" i="21"/>
  <c r="J46" i="22"/>
  <c r="G46" i="22"/>
  <c r="F46" i="22"/>
  <c r="H46" i="22" s="1"/>
  <c r="J54" i="22"/>
  <c r="G54" i="22"/>
  <c r="F54" i="22"/>
  <c r="J84" i="22"/>
  <c r="G84" i="22"/>
  <c r="F84" i="22"/>
  <c r="H84" i="22" s="1"/>
  <c r="J225" i="22"/>
  <c r="G225" i="22"/>
  <c r="F225" i="22"/>
  <c r="H225" i="22" s="1"/>
  <c r="G126" i="22"/>
  <c r="F126" i="22"/>
  <c r="H126" i="22" s="1"/>
  <c r="J126" i="22"/>
  <c r="G176" i="22"/>
  <c r="F176" i="22"/>
  <c r="H176" i="22" s="1"/>
  <c r="J176" i="22"/>
  <c r="J242" i="22"/>
  <c r="G242" i="22"/>
  <c r="F242" i="22"/>
  <c r="H242" i="22" s="1"/>
  <c r="G280" i="22"/>
  <c r="J280" i="22"/>
  <c r="F280" i="22"/>
  <c r="H280" i="22" s="1"/>
  <c r="J270" i="22"/>
  <c r="G270" i="22"/>
  <c r="F270" i="22"/>
  <c r="J265" i="22"/>
  <c r="G265" i="22"/>
  <c r="F265" i="22"/>
  <c r="H265" i="22" s="1"/>
  <c r="G156" i="21"/>
  <c r="F156" i="21"/>
  <c r="J156" i="21"/>
  <c r="G122" i="21"/>
  <c r="F122" i="21"/>
  <c r="J122" i="21"/>
  <c r="G160" i="21"/>
  <c r="F160" i="21"/>
  <c r="J160" i="21"/>
  <c r="G114" i="21"/>
  <c r="F114" i="21"/>
  <c r="J114" i="21"/>
  <c r="J155" i="21"/>
  <c r="G155" i="21"/>
  <c r="F155" i="21"/>
  <c r="F136" i="21"/>
  <c r="J136" i="21"/>
  <c r="G136" i="21"/>
  <c r="J186" i="21"/>
  <c r="G186" i="21"/>
  <c r="F186" i="21"/>
  <c r="J88" i="21"/>
  <c r="G88" i="21"/>
  <c r="F88" i="21"/>
  <c r="J298" i="20"/>
  <c r="G298" i="20"/>
  <c r="F298" i="20"/>
  <c r="J35" i="21"/>
  <c r="G35" i="21"/>
  <c r="F35" i="21"/>
  <c r="J279" i="20"/>
  <c r="G279" i="20"/>
  <c r="F279" i="20"/>
  <c r="J22" i="21"/>
  <c r="G22" i="21"/>
  <c r="F22" i="21"/>
  <c r="J67" i="21"/>
  <c r="G67" i="21"/>
  <c r="F67" i="21"/>
  <c r="J75" i="21"/>
  <c r="G75" i="21"/>
  <c r="F75" i="21"/>
  <c r="J103" i="21"/>
  <c r="G103" i="21"/>
  <c r="F103" i="21"/>
  <c r="J137" i="21"/>
  <c r="G137" i="21"/>
  <c r="F137" i="21"/>
  <c r="G85" i="21"/>
  <c r="J85" i="21"/>
  <c r="F85" i="21"/>
  <c r="F241" i="21"/>
  <c r="J241" i="21"/>
  <c r="G241" i="21"/>
  <c r="J255" i="21"/>
  <c r="G255" i="21"/>
  <c r="F255" i="21"/>
  <c r="J291" i="21"/>
  <c r="G291" i="21"/>
  <c r="F291" i="21"/>
  <c r="J254" i="20"/>
  <c r="G254" i="20"/>
  <c r="F254" i="20"/>
  <c r="F157" i="20"/>
  <c r="J157" i="20"/>
  <c r="G157" i="20"/>
  <c r="G129" i="20"/>
  <c r="F129" i="20"/>
  <c r="J129" i="20"/>
  <c r="J161" i="20"/>
  <c r="G161" i="20"/>
  <c r="F161" i="20"/>
  <c r="J85" i="20"/>
  <c r="F85" i="20"/>
  <c r="G85" i="20"/>
  <c r="G130" i="20"/>
  <c r="J130" i="20"/>
  <c r="F130" i="20"/>
  <c r="J105" i="20"/>
  <c r="F105" i="20"/>
  <c r="G105" i="20"/>
  <c r="J113" i="20"/>
  <c r="G113" i="20"/>
  <c r="F113" i="20"/>
  <c r="G253" i="19"/>
  <c r="F253" i="19"/>
  <c r="J253" i="19"/>
  <c r="F70" i="20"/>
  <c r="J70" i="20"/>
  <c r="G70" i="20"/>
  <c r="J299" i="19"/>
  <c r="F299" i="19"/>
  <c r="G299" i="19"/>
  <c r="J82" i="20"/>
  <c r="G82" i="20"/>
  <c r="F82" i="20"/>
  <c r="G112" i="20"/>
  <c r="F112" i="20"/>
  <c r="J112" i="20"/>
  <c r="J220" i="20"/>
  <c r="G220" i="20"/>
  <c r="F220" i="20"/>
  <c r="G152" i="20"/>
  <c r="F152" i="20"/>
  <c r="J152" i="20"/>
  <c r="J122" i="20"/>
  <c r="G122" i="20"/>
  <c r="F122" i="20"/>
  <c r="J199" i="20"/>
  <c r="G199" i="20"/>
  <c r="F199" i="20"/>
  <c r="J248" i="20"/>
  <c r="G248" i="20"/>
  <c r="F248" i="20"/>
  <c r="G210" i="20"/>
  <c r="J210" i="20"/>
  <c r="F210" i="20"/>
  <c r="F217" i="20"/>
  <c r="J217" i="20"/>
  <c r="G217" i="20"/>
  <c r="J284" i="20"/>
  <c r="G284" i="20"/>
  <c r="F284" i="20"/>
  <c r="F239" i="19"/>
  <c r="G239" i="19"/>
  <c r="J239" i="19"/>
  <c r="G18" i="20"/>
  <c r="F18" i="20"/>
  <c r="J18" i="20"/>
  <c r="G165" i="19"/>
  <c r="F165" i="19"/>
  <c r="J165" i="19"/>
  <c r="F78" i="20"/>
  <c r="J78" i="20"/>
  <c r="G78" i="20"/>
  <c r="F243" i="19"/>
  <c r="J243" i="19"/>
  <c r="G243" i="19"/>
  <c r="J72" i="20"/>
  <c r="G72" i="20"/>
  <c r="F72" i="20"/>
  <c r="G249" i="19"/>
  <c r="F249" i="19"/>
  <c r="J249" i="19"/>
  <c r="J224" i="19"/>
  <c r="G224" i="19"/>
  <c r="F224" i="19"/>
  <c r="F131" i="19"/>
  <c r="J131" i="19"/>
  <c r="G131" i="19"/>
  <c r="G121" i="19"/>
  <c r="F121" i="19"/>
  <c r="J121" i="19"/>
  <c r="F143" i="19"/>
  <c r="J143" i="19"/>
  <c r="G143" i="19"/>
  <c r="J88" i="19"/>
  <c r="G88" i="19"/>
  <c r="F88" i="19"/>
  <c r="J189" i="19"/>
  <c r="G189" i="19"/>
  <c r="F189" i="19"/>
  <c r="F93" i="19"/>
  <c r="J93" i="19"/>
  <c r="G93" i="19"/>
  <c r="J95" i="19"/>
  <c r="G95" i="19"/>
  <c r="F95" i="19"/>
  <c r="J79" i="19"/>
  <c r="G79" i="19"/>
  <c r="F79" i="19"/>
  <c r="J29" i="19"/>
  <c r="F29" i="19"/>
  <c r="G29" i="19"/>
  <c r="J49" i="19"/>
  <c r="G49" i="19"/>
  <c r="F49" i="19"/>
  <c r="J82" i="19"/>
  <c r="G82" i="19"/>
  <c r="F82" i="19"/>
  <c r="J226" i="19"/>
  <c r="G226" i="19"/>
  <c r="F226" i="19"/>
  <c r="J278" i="19"/>
  <c r="F278" i="19"/>
  <c r="G278" i="19"/>
  <c r="G27" i="19"/>
  <c r="F27" i="19"/>
  <c r="J27" i="19"/>
  <c r="F4" i="19"/>
  <c r="G295" i="18"/>
  <c r="F295" i="18"/>
  <c r="J295" i="18"/>
  <c r="F94" i="19"/>
  <c r="J41" i="19"/>
  <c r="G41" i="19"/>
  <c r="F41" i="19"/>
  <c r="J208" i="18"/>
  <c r="F208" i="18"/>
  <c r="G208" i="18"/>
  <c r="F159" i="18"/>
  <c r="G159" i="18"/>
  <c r="J159" i="18"/>
  <c r="F171" i="18"/>
  <c r="J171" i="18"/>
  <c r="G171" i="18"/>
  <c r="J189" i="18"/>
  <c r="G189" i="18"/>
  <c r="F189" i="18"/>
  <c r="J173" i="18"/>
  <c r="G173" i="18"/>
  <c r="F173" i="18"/>
  <c r="J192" i="18"/>
  <c r="G192" i="18"/>
  <c r="F192" i="18"/>
  <c r="J165" i="18"/>
  <c r="G165" i="18"/>
  <c r="F165" i="18"/>
  <c r="J216" i="18"/>
  <c r="F216" i="18"/>
  <c r="G216" i="18"/>
  <c r="J121" i="18"/>
  <c r="G121" i="18"/>
  <c r="F121" i="18"/>
  <c r="F209" i="18"/>
  <c r="J209" i="18"/>
  <c r="G209" i="18"/>
  <c r="J112" i="18"/>
  <c r="G112" i="18"/>
  <c r="F112" i="18"/>
  <c r="J103" i="18"/>
  <c r="G103" i="18"/>
  <c r="F103" i="18"/>
  <c r="F285" i="17"/>
  <c r="J285" i="17"/>
  <c r="G285" i="17"/>
  <c r="G112" i="17"/>
  <c r="F112" i="17"/>
  <c r="J112" i="17"/>
  <c r="F131" i="18"/>
  <c r="J131" i="18"/>
  <c r="G131" i="18"/>
  <c r="J84" i="18"/>
  <c r="G84" i="18"/>
  <c r="F84" i="18"/>
  <c r="J27" i="18"/>
  <c r="G27" i="18"/>
  <c r="F27" i="18"/>
  <c r="J110" i="18"/>
  <c r="G110" i="18"/>
  <c r="F110" i="18"/>
  <c r="J67" i="18"/>
  <c r="G67" i="18"/>
  <c r="F67" i="18"/>
  <c r="F143" i="18"/>
  <c r="J143" i="18"/>
  <c r="G143" i="18"/>
  <c r="J222" i="18"/>
  <c r="G222" i="18"/>
  <c r="F222" i="18"/>
  <c r="F49" i="18"/>
  <c r="J49" i="18"/>
  <c r="G49" i="18"/>
  <c r="F97" i="18"/>
  <c r="J97" i="18"/>
  <c r="G97" i="18"/>
  <c r="J186" i="18"/>
  <c r="G186" i="18"/>
  <c r="F186" i="18"/>
  <c r="J221" i="18"/>
  <c r="G221" i="18"/>
  <c r="F221" i="18"/>
  <c r="G185" i="18"/>
  <c r="F185" i="18"/>
  <c r="J185" i="18"/>
  <c r="G140" i="17"/>
  <c r="F140" i="17"/>
  <c r="J140" i="17"/>
  <c r="G38" i="18"/>
  <c r="J38" i="18"/>
  <c r="F38" i="18"/>
  <c r="G54" i="18"/>
  <c r="J54" i="18"/>
  <c r="F54" i="18"/>
  <c r="G296" i="17"/>
  <c r="F296" i="17"/>
  <c r="J296" i="17"/>
  <c r="G58" i="18"/>
  <c r="F58" i="18"/>
  <c r="J58" i="18"/>
  <c r="G242" i="16"/>
  <c r="J242" i="16"/>
  <c r="F242" i="16"/>
  <c r="F39" i="17"/>
  <c r="J39" i="17"/>
  <c r="G39" i="17"/>
  <c r="G236" i="16"/>
  <c r="F236" i="16"/>
  <c r="J236" i="16"/>
  <c r="G44" i="17"/>
  <c r="J44" i="17"/>
  <c r="F44" i="17"/>
  <c r="J213" i="17"/>
  <c r="G213" i="17"/>
  <c r="F213" i="17"/>
  <c r="F174" i="17"/>
  <c r="J174" i="17"/>
  <c r="G174" i="17"/>
  <c r="G249" i="18"/>
  <c r="H249" i="18" s="1"/>
  <c r="J239" i="16"/>
  <c r="G239" i="16"/>
  <c r="F239" i="16"/>
  <c r="G180" i="17"/>
  <c r="F180" i="17"/>
  <c r="J180" i="17"/>
  <c r="F75" i="17"/>
  <c r="J75" i="17"/>
  <c r="G75" i="17"/>
  <c r="J149" i="16"/>
  <c r="G149" i="16"/>
  <c r="F149" i="16"/>
  <c r="G254" i="16"/>
  <c r="F254" i="16"/>
  <c r="J254" i="16"/>
  <c r="J117" i="17"/>
  <c r="G117" i="17"/>
  <c r="F117" i="17"/>
  <c r="G156" i="17"/>
  <c r="F156" i="17"/>
  <c r="J156" i="17"/>
  <c r="F126" i="17"/>
  <c r="J126" i="17"/>
  <c r="G126" i="17"/>
  <c r="F115" i="17"/>
  <c r="G115" i="17"/>
  <c r="J115" i="17"/>
  <c r="G266" i="16"/>
  <c r="J266" i="16"/>
  <c r="F266" i="16"/>
  <c r="G148" i="16"/>
  <c r="F148" i="16"/>
  <c r="J148" i="16"/>
  <c r="G64" i="16"/>
  <c r="F64" i="16"/>
  <c r="J64" i="16"/>
  <c r="J185" i="16"/>
  <c r="G185" i="16"/>
  <c r="F185" i="16"/>
  <c r="G118" i="16"/>
  <c r="F118" i="16"/>
  <c r="J118" i="16"/>
  <c r="F111" i="16"/>
  <c r="J111" i="16"/>
  <c r="G111" i="16"/>
  <c r="F110" i="16"/>
  <c r="G124" i="16"/>
  <c r="F124" i="16"/>
  <c r="J124" i="16"/>
  <c r="J70" i="17"/>
  <c r="G70" i="17"/>
  <c r="F70" i="17"/>
  <c r="F154" i="17"/>
  <c r="G154" i="17"/>
  <c r="J154" i="17"/>
  <c r="F218" i="17"/>
  <c r="J218" i="17"/>
  <c r="G218" i="17"/>
  <c r="J177" i="17"/>
  <c r="G177" i="17"/>
  <c r="F177" i="17"/>
  <c r="F110" i="17"/>
  <c r="G110" i="17"/>
  <c r="J110" i="17"/>
  <c r="F231" i="17"/>
  <c r="J231" i="17"/>
  <c r="G231" i="17"/>
  <c r="G160" i="16"/>
  <c r="F160" i="16"/>
  <c r="J160" i="16"/>
  <c r="J130" i="15"/>
  <c r="F40" i="16"/>
  <c r="J46" i="15"/>
  <c r="J25" i="16"/>
  <c r="G25" i="16"/>
  <c r="F25" i="16"/>
  <c r="G24" i="16"/>
  <c r="F24" i="16"/>
  <c r="J100" i="16"/>
  <c r="G100" i="16"/>
  <c r="F100" i="16"/>
  <c r="J6" i="16"/>
  <c r="G6" i="16"/>
  <c r="F6" i="16"/>
  <c r="G28" i="16"/>
  <c r="F28" i="16"/>
  <c r="J28" i="16"/>
  <c r="F4" i="16"/>
  <c r="J4" i="16"/>
  <c r="G4" i="16"/>
  <c r="F63" i="16"/>
  <c r="J63" i="16"/>
  <c r="G63" i="16"/>
  <c r="J205" i="16"/>
  <c r="G205" i="16"/>
  <c r="F205" i="16"/>
  <c r="F147" i="16"/>
  <c r="J147" i="16"/>
  <c r="G147" i="16"/>
  <c r="F195" i="16"/>
  <c r="J195" i="16"/>
  <c r="G195" i="16"/>
  <c r="G78" i="16"/>
  <c r="E256" i="15"/>
  <c r="E168" i="15"/>
  <c r="E84" i="15"/>
  <c r="E210" i="15"/>
  <c r="E56" i="15"/>
  <c r="G203" i="14"/>
  <c r="F203" i="14"/>
  <c r="J203" i="14"/>
  <c r="G212" i="14"/>
  <c r="J212" i="14"/>
  <c r="F212" i="14"/>
  <c r="E8" i="15"/>
  <c r="E33" i="15"/>
  <c r="J274" i="12"/>
  <c r="G274" i="12"/>
  <c r="F274" i="12"/>
  <c r="J126" i="13"/>
  <c r="G126" i="13"/>
  <c r="F126" i="13"/>
  <c r="H126" i="13" s="1"/>
  <c r="G101" i="13"/>
  <c r="F101" i="13"/>
  <c r="J101" i="13"/>
  <c r="G269" i="13"/>
  <c r="J269" i="13"/>
  <c r="F269" i="13"/>
  <c r="H269" i="13" s="1"/>
  <c r="F67" i="13"/>
  <c r="G67" i="13"/>
  <c r="J67" i="13"/>
  <c r="F220" i="13"/>
  <c r="J220" i="13"/>
  <c r="G220" i="13"/>
  <c r="G229" i="13"/>
  <c r="F229" i="13"/>
  <c r="J229" i="13"/>
  <c r="G201" i="13"/>
  <c r="F201" i="13"/>
  <c r="J201" i="13"/>
  <c r="J292" i="13"/>
  <c r="F292" i="13"/>
  <c r="G292" i="13"/>
  <c r="J173" i="12"/>
  <c r="G173" i="12"/>
  <c r="F173" i="12"/>
  <c r="G194" i="13"/>
  <c r="F194" i="13"/>
  <c r="J194" i="13"/>
  <c r="F193" i="13"/>
  <c r="G193" i="13"/>
  <c r="F95" i="13"/>
  <c r="G95" i="13"/>
  <c r="J95" i="13"/>
  <c r="G94" i="13"/>
  <c r="F94" i="13"/>
  <c r="G285" i="12"/>
  <c r="J285" i="12"/>
  <c r="F285" i="12"/>
  <c r="J294" i="12"/>
  <c r="G294" i="12"/>
  <c r="F294" i="12"/>
  <c r="E24" i="11"/>
  <c r="E132" i="11"/>
  <c r="G28" i="10"/>
  <c r="F28" i="10"/>
  <c r="J28" i="10"/>
  <c r="F27" i="10"/>
  <c r="G27" i="10"/>
  <c r="E259" i="11"/>
  <c r="F268" i="10"/>
  <c r="J251" i="9"/>
  <c r="G251" i="9"/>
  <c r="F251" i="9"/>
  <c r="J155" i="9"/>
  <c r="G154" i="10"/>
  <c r="J207" i="7"/>
  <c r="J175" i="8"/>
  <c r="G175" i="8"/>
  <c r="F175" i="8"/>
  <c r="J82" i="22"/>
  <c r="G82" i="22"/>
  <c r="F82" i="22"/>
  <c r="H82" i="22" s="1"/>
  <c r="J119" i="21"/>
  <c r="G119" i="21"/>
  <c r="F119" i="21"/>
  <c r="J301" i="22"/>
  <c r="G301" i="22"/>
  <c r="F301" i="22"/>
  <c r="G283" i="22"/>
  <c r="J283" i="22"/>
  <c r="F283" i="22"/>
  <c r="H283" i="22" s="1"/>
  <c r="G184" i="22"/>
  <c r="J184" i="22"/>
  <c r="F184" i="22"/>
  <c r="H184" i="22" s="1"/>
  <c r="J163" i="22"/>
  <c r="G163" i="22"/>
  <c r="F163" i="22"/>
  <c r="H163" i="22" s="1"/>
  <c r="J136" i="22"/>
  <c r="F136" i="22"/>
  <c r="G136" i="22"/>
  <c r="G168" i="22"/>
  <c r="J168" i="22"/>
  <c r="F168" i="22"/>
  <c r="J108" i="22"/>
  <c r="F108" i="22"/>
  <c r="G108" i="22"/>
  <c r="F52" i="22"/>
  <c r="J52" i="22"/>
  <c r="G52" i="22"/>
  <c r="G57" i="22"/>
  <c r="F57" i="22"/>
  <c r="H57" i="22" s="1"/>
  <c r="J57" i="22"/>
  <c r="F60" i="22"/>
  <c r="H60" i="22" s="1"/>
  <c r="J60" i="22"/>
  <c r="G60" i="22"/>
  <c r="F268" i="21"/>
  <c r="J268" i="21"/>
  <c r="G268" i="21"/>
  <c r="F195" i="22"/>
  <c r="H195" i="22" s="1"/>
  <c r="G195" i="22"/>
  <c r="J195" i="22"/>
  <c r="J238" i="22"/>
  <c r="F238" i="22"/>
  <c r="G238" i="22"/>
  <c r="G267" i="22"/>
  <c r="J267" i="22"/>
  <c r="F267" i="22"/>
  <c r="H267" i="22" s="1"/>
  <c r="J226" i="22"/>
  <c r="G226" i="22"/>
  <c r="F226" i="22"/>
  <c r="J177" i="22"/>
  <c r="G177" i="22"/>
  <c r="F177" i="22"/>
  <c r="H177" i="22" s="1"/>
  <c r="J153" i="22"/>
  <c r="G153" i="22"/>
  <c r="F153" i="22"/>
  <c r="H153" i="22" s="1"/>
  <c r="J112" i="22"/>
  <c r="F112" i="22"/>
  <c r="G112" i="22"/>
  <c r="J245" i="22"/>
  <c r="G245" i="22"/>
  <c r="F245" i="22"/>
  <c r="H245" i="22" s="1"/>
  <c r="J146" i="22"/>
  <c r="G146" i="22"/>
  <c r="F146" i="22"/>
  <c r="H146" i="22" s="1"/>
  <c r="G103" i="22"/>
  <c r="J103" i="22"/>
  <c r="F103" i="22"/>
  <c r="H103" i="22" s="1"/>
  <c r="F40" i="22"/>
  <c r="H40" i="22" s="1"/>
  <c r="J40" i="22"/>
  <c r="G40" i="22"/>
  <c r="G45" i="22"/>
  <c r="F45" i="22"/>
  <c r="H45" i="22" s="1"/>
  <c r="J45" i="22"/>
  <c r="J201" i="22"/>
  <c r="G201" i="22"/>
  <c r="F201" i="22"/>
  <c r="H201" i="22" s="1"/>
  <c r="J173" i="22"/>
  <c r="G173" i="22"/>
  <c r="F173" i="22"/>
  <c r="H173" i="22" s="1"/>
  <c r="J283" i="21"/>
  <c r="G283" i="21"/>
  <c r="F283" i="21"/>
  <c r="J286" i="21"/>
  <c r="F286" i="21"/>
  <c r="G286" i="21"/>
  <c r="G242" i="21"/>
  <c r="F242" i="21"/>
  <c r="J242" i="21"/>
  <c r="J236" i="21"/>
  <c r="G236" i="21"/>
  <c r="F236" i="21"/>
  <c r="F248" i="21"/>
  <c r="J248" i="21"/>
  <c r="G248" i="21"/>
  <c r="J79" i="22"/>
  <c r="G79" i="22"/>
  <c r="F79" i="22"/>
  <c r="H79" i="22" s="1"/>
  <c r="F145" i="22"/>
  <c r="J145" i="22"/>
  <c r="G145" i="22"/>
  <c r="F89" i="22"/>
  <c r="H89" i="22" s="1"/>
  <c r="J89" i="22"/>
  <c r="G89" i="22"/>
  <c r="F109" i="22"/>
  <c r="H109" i="22" s="1"/>
  <c r="J109" i="22"/>
  <c r="G109" i="22"/>
  <c r="G130" i="22"/>
  <c r="F130" i="22"/>
  <c r="H130" i="22" s="1"/>
  <c r="J130" i="22"/>
  <c r="J198" i="22"/>
  <c r="G198" i="22"/>
  <c r="F198" i="22"/>
  <c r="H198" i="22" s="1"/>
  <c r="G296" i="22"/>
  <c r="J296" i="22"/>
  <c r="F296" i="22"/>
  <c r="J282" i="22"/>
  <c r="G282" i="22"/>
  <c r="F282" i="22"/>
  <c r="H282" i="22" s="1"/>
  <c r="J277" i="22"/>
  <c r="G277" i="22"/>
  <c r="F277" i="22"/>
  <c r="H277" i="22" s="1"/>
  <c r="G272" i="22"/>
  <c r="J272" i="22"/>
  <c r="F272" i="22"/>
  <c r="F154" i="21"/>
  <c r="G154" i="21"/>
  <c r="J154" i="21"/>
  <c r="G172" i="21"/>
  <c r="F172" i="21"/>
  <c r="J172" i="21"/>
  <c r="F158" i="21"/>
  <c r="G158" i="21"/>
  <c r="J158" i="21"/>
  <c r="J115" i="21"/>
  <c r="G115" i="21"/>
  <c r="F115" i="21"/>
  <c r="J181" i="21"/>
  <c r="G181" i="21"/>
  <c r="F181" i="21"/>
  <c r="J157" i="21"/>
  <c r="G157" i="21"/>
  <c r="F157" i="21"/>
  <c r="G192" i="21"/>
  <c r="F192" i="21"/>
  <c r="J192" i="21"/>
  <c r="J153" i="21"/>
  <c r="G153" i="21"/>
  <c r="F153" i="21"/>
  <c r="J290" i="20"/>
  <c r="G290" i="20"/>
  <c r="F290" i="20"/>
  <c r="J27" i="21"/>
  <c r="G27" i="21"/>
  <c r="F27" i="21"/>
  <c r="J258" i="20"/>
  <c r="G258" i="20"/>
  <c r="F258" i="20"/>
  <c r="J83" i="21"/>
  <c r="G83" i="21"/>
  <c r="F83" i="21"/>
  <c r="G38" i="21"/>
  <c r="F38" i="21"/>
  <c r="J38" i="21"/>
  <c r="J117" i="21"/>
  <c r="G117" i="21"/>
  <c r="F117" i="21"/>
  <c r="J41" i="21"/>
  <c r="G41" i="21"/>
  <c r="F41" i="21"/>
  <c r="G89" i="21"/>
  <c r="F89" i="21"/>
  <c r="J89" i="21"/>
  <c r="F273" i="21"/>
  <c r="J273" i="21"/>
  <c r="G273" i="21"/>
  <c r="F257" i="21"/>
  <c r="J257" i="21"/>
  <c r="G257" i="21"/>
  <c r="F288" i="21"/>
  <c r="J288" i="21"/>
  <c r="G288" i="21"/>
  <c r="J266" i="20"/>
  <c r="G266" i="20"/>
  <c r="F266" i="20"/>
  <c r="J246" i="20"/>
  <c r="G246" i="20"/>
  <c r="F246" i="20"/>
  <c r="J278" i="20"/>
  <c r="G278" i="20"/>
  <c r="F278" i="20"/>
  <c r="G166" i="20"/>
  <c r="J166" i="20"/>
  <c r="F166" i="20"/>
  <c r="J75" i="20"/>
  <c r="G75" i="20"/>
  <c r="F75" i="20"/>
  <c r="J87" i="20"/>
  <c r="F87" i="20"/>
  <c r="G87" i="20"/>
  <c r="J118" i="20"/>
  <c r="G118" i="20"/>
  <c r="F118" i="20"/>
  <c r="J110" i="20"/>
  <c r="G110" i="20"/>
  <c r="F110" i="20"/>
  <c r="G92" i="20"/>
  <c r="J92" i="20"/>
  <c r="F92" i="20"/>
  <c r="F251" i="19"/>
  <c r="J251" i="19"/>
  <c r="G251" i="19"/>
  <c r="J60" i="20"/>
  <c r="G60" i="20"/>
  <c r="F60" i="20"/>
  <c r="G201" i="19"/>
  <c r="F201" i="19"/>
  <c r="J201" i="19"/>
  <c r="F292" i="19"/>
  <c r="J292" i="19"/>
  <c r="G292" i="19"/>
  <c r="G173" i="19"/>
  <c r="F173" i="19"/>
  <c r="J173" i="19"/>
  <c r="G98" i="20"/>
  <c r="J98" i="20"/>
  <c r="F98" i="20"/>
  <c r="J148" i="20"/>
  <c r="G148" i="20"/>
  <c r="F148" i="20"/>
  <c r="G164" i="20"/>
  <c r="F164" i="20"/>
  <c r="J164" i="20"/>
  <c r="J155" i="20"/>
  <c r="G155" i="20"/>
  <c r="F155" i="20"/>
  <c r="G126" i="20"/>
  <c r="J126" i="20"/>
  <c r="F126" i="20"/>
  <c r="J203" i="20"/>
  <c r="G203" i="20"/>
  <c r="F203" i="20"/>
  <c r="J256" i="20"/>
  <c r="G256" i="20"/>
  <c r="F256" i="20"/>
  <c r="G214" i="20"/>
  <c r="J214" i="20"/>
  <c r="F214" i="20"/>
  <c r="F221" i="20"/>
  <c r="J221" i="20"/>
  <c r="G221" i="20"/>
  <c r="J288" i="20"/>
  <c r="G288" i="20"/>
  <c r="F288" i="20"/>
  <c r="J232" i="19"/>
  <c r="G232" i="19"/>
  <c r="F232" i="19"/>
  <c r="J14" i="20"/>
  <c r="G14" i="20"/>
  <c r="F14" i="20"/>
  <c r="G53" i="20"/>
  <c r="F53" i="20"/>
  <c r="J53" i="20"/>
  <c r="J68" i="20"/>
  <c r="G68" i="20"/>
  <c r="F68" i="20"/>
  <c r="J236" i="19"/>
  <c r="G236" i="19"/>
  <c r="F236" i="19"/>
  <c r="G301" i="19"/>
  <c r="F301" i="19"/>
  <c r="J301" i="19"/>
  <c r="J47" i="20"/>
  <c r="G47" i="20"/>
  <c r="F47" i="20"/>
  <c r="J200" i="19"/>
  <c r="G200" i="19"/>
  <c r="F200" i="19"/>
  <c r="F247" i="19"/>
  <c r="J247" i="19"/>
  <c r="G247" i="19"/>
  <c r="J124" i="19"/>
  <c r="F124" i="19"/>
  <c r="G124" i="19"/>
  <c r="J52" i="19"/>
  <c r="F52" i="19"/>
  <c r="G52" i="19"/>
  <c r="G63" i="19"/>
  <c r="F63" i="19"/>
  <c r="J63" i="19"/>
  <c r="F119" i="19"/>
  <c r="G119" i="19"/>
  <c r="J119" i="19"/>
  <c r="J140" i="19"/>
  <c r="G140" i="19"/>
  <c r="F140" i="19"/>
  <c r="J83" i="19"/>
  <c r="G83" i="19"/>
  <c r="F83" i="19"/>
  <c r="G157" i="19"/>
  <c r="F157" i="19"/>
  <c r="J157" i="19"/>
  <c r="J64" i="19"/>
  <c r="G64" i="19"/>
  <c r="F64" i="19"/>
  <c r="J198" i="19"/>
  <c r="G198" i="19"/>
  <c r="F198" i="19"/>
  <c r="J72" i="19"/>
  <c r="G72" i="19"/>
  <c r="F72" i="19"/>
  <c r="F21" i="19"/>
  <c r="J21" i="19"/>
  <c r="G21" i="19"/>
  <c r="J40" i="19"/>
  <c r="G40" i="19"/>
  <c r="F40" i="19"/>
  <c r="J98" i="19"/>
  <c r="G98" i="19"/>
  <c r="F98" i="19"/>
  <c r="J270" i="19"/>
  <c r="F270" i="19"/>
  <c r="G270" i="19"/>
  <c r="G271" i="18"/>
  <c r="F271" i="18"/>
  <c r="J271" i="18"/>
  <c r="G263" i="18"/>
  <c r="F263" i="18"/>
  <c r="J263" i="18"/>
  <c r="J9" i="19"/>
  <c r="G9" i="19"/>
  <c r="F9" i="19"/>
  <c r="G157" i="18"/>
  <c r="F157" i="18"/>
  <c r="J157" i="18"/>
  <c r="J166" i="18"/>
  <c r="G166" i="18"/>
  <c r="F166" i="18"/>
  <c r="G7" i="19"/>
  <c r="F182" i="18"/>
  <c r="J182" i="18"/>
  <c r="G182" i="18"/>
  <c r="J153" i="18"/>
  <c r="G153" i="18"/>
  <c r="F153" i="18"/>
  <c r="F151" i="18"/>
  <c r="J151" i="18"/>
  <c r="G151" i="18"/>
  <c r="J158" i="18"/>
  <c r="G158" i="18"/>
  <c r="F158" i="18"/>
  <c r="G195" i="18"/>
  <c r="J195" i="18"/>
  <c r="F195" i="18"/>
  <c r="J297" i="18"/>
  <c r="G297" i="18"/>
  <c r="F297" i="18"/>
  <c r="F139" i="18"/>
  <c r="G139" i="18"/>
  <c r="J139" i="18"/>
  <c r="G90" i="18"/>
  <c r="F90" i="18"/>
  <c r="J90" i="18"/>
  <c r="G94" i="18"/>
  <c r="F94" i="18"/>
  <c r="J94" i="18"/>
  <c r="G258" i="17"/>
  <c r="J258" i="17"/>
  <c r="F258" i="17"/>
  <c r="F261" i="17"/>
  <c r="J261" i="17"/>
  <c r="G261" i="17"/>
  <c r="J255" i="17"/>
  <c r="F255" i="17"/>
  <c r="G255" i="17"/>
  <c r="F99" i="17"/>
  <c r="G99" i="17"/>
  <c r="J99" i="17"/>
  <c r="G70" i="18"/>
  <c r="F70" i="18"/>
  <c r="J70" i="18"/>
  <c r="J3" i="18"/>
  <c r="F3" i="18"/>
  <c r="G3" i="18"/>
  <c r="J31" i="18"/>
  <c r="G31" i="18"/>
  <c r="F31" i="18"/>
  <c r="J124" i="18"/>
  <c r="G124" i="18"/>
  <c r="F124" i="18"/>
  <c r="J71" i="18"/>
  <c r="G71" i="18"/>
  <c r="F71" i="18"/>
  <c r="J206" i="18"/>
  <c r="F206" i="18"/>
  <c r="G206" i="18"/>
  <c r="J226" i="18"/>
  <c r="G226" i="18"/>
  <c r="F226" i="18"/>
  <c r="F53" i="18"/>
  <c r="J53" i="18"/>
  <c r="G53" i="18"/>
  <c r="F101" i="18"/>
  <c r="J101" i="18"/>
  <c r="G101" i="18"/>
  <c r="J205" i="18"/>
  <c r="G205" i="18"/>
  <c r="F205" i="18"/>
  <c r="J232" i="18"/>
  <c r="G232" i="18"/>
  <c r="F232" i="18"/>
  <c r="J188" i="18"/>
  <c r="G188" i="18"/>
  <c r="F188" i="18"/>
  <c r="G284" i="17"/>
  <c r="F284" i="17"/>
  <c r="J284" i="17"/>
  <c r="F127" i="17"/>
  <c r="J127" i="17"/>
  <c r="G127" i="17"/>
  <c r="F237" i="17"/>
  <c r="J237" i="17"/>
  <c r="G237" i="17"/>
  <c r="F131" i="17"/>
  <c r="J131" i="17"/>
  <c r="G131" i="17"/>
  <c r="G32" i="18"/>
  <c r="J32" i="18"/>
  <c r="F32" i="18"/>
  <c r="F40" i="18"/>
  <c r="J64" i="17"/>
  <c r="G64" i="17"/>
  <c r="F64" i="17"/>
  <c r="G26" i="17"/>
  <c r="F26" i="17"/>
  <c r="J26" i="17"/>
  <c r="G234" i="16"/>
  <c r="F234" i="16"/>
  <c r="J234" i="16"/>
  <c r="J33" i="17"/>
  <c r="G33" i="17"/>
  <c r="F33" i="17"/>
  <c r="F150" i="18"/>
  <c r="F166" i="17"/>
  <c r="J166" i="17"/>
  <c r="G166" i="17"/>
  <c r="F142" i="17"/>
  <c r="J142" i="17"/>
  <c r="G142" i="17"/>
  <c r="G100" i="17"/>
  <c r="F100" i="17"/>
  <c r="J100" i="17"/>
  <c r="J224" i="16"/>
  <c r="G224" i="16"/>
  <c r="F224" i="16"/>
  <c r="G32" i="17"/>
  <c r="J32" i="17"/>
  <c r="F32" i="17"/>
  <c r="G172" i="17"/>
  <c r="F172" i="17"/>
  <c r="J172" i="17"/>
  <c r="G274" i="16"/>
  <c r="J274" i="16"/>
  <c r="F274" i="16"/>
  <c r="F127" i="16"/>
  <c r="J127" i="16"/>
  <c r="G127" i="16"/>
  <c r="J231" i="16"/>
  <c r="G231" i="16"/>
  <c r="F231" i="16"/>
  <c r="J93" i="17"/>
  <c r="G93" i="17"/>
  <c r="F93" i="17"/>
  <c r="G78" i="17"/>
  <c r="F78" i="17"/>
  <c r="J78" i="17"/>
  <c r="F102" i="17"/>
  <c r="J102" i="17"/>
  <c r="G102" i="17"/>
  <c r="F66" i="17"/>
  <c r="J66" i="17"/>
  <c r="G66" i="17"/>
  <c r="G140" i="16"/>
  <c r="F140" i="16"/>
  <c r="J140" i="16"/>
  <c r="G22" i="16"/>
  <c r="F22" i="16"/>
  <c r="J22" i="16"/>
  <c r="G170" i="16"/>
  <c r="J170" i="16"/>
  <c r="F170" i="16"/>
  <c r="J108" i="16"/>
  <c r="G108" i="16"/>
  <c r="F108" i="16"/>
  <c r="J287" i="17"/>
  <c r="G287" i="17"/>
  <c r="F287" i="17"/>
  <c r="F170" i="17"/>
  <c r="J170" i="17"/>
  <c r="G170" i="17"/>
  <c r="F130" i="17"/>
  <c r="G130" i="17"/>
  <c r="J130" i="17"/>
  <c r="J201" i="17"/>
  <c r="G201" i="17"/>
  <c r="F201" i="17"/>
  <c r="F134" i="17"/>
  <c r="G134" i="17"/>
  <c r="J134" i="17"/>
  <c r="F235" i="17"/>
  <c r="G235" i="17"/>
  <c r="J235" i="17"/>
  <c r="G222" i="16"/>
  <c r="J222" i="16"/>
  <c r="F222" i="16"/>
  <c r="E128" i="15"/>
  <c r="E182" i="15"/>
  <c r="E110" i="15"/>
  <c r="E34" i="15"/>
  <c r="J77" i="16"/>
  <c r="G77" i="16"/>
  <c r="F77" i="16"/>
  <c r="G150" i="16"/>
  <c r="J150" i="16"/>
  <c r="F150" i="16"/>
  <c r="F8" i="16"/>
  <c r="G8" i="16"/>
  <c r="J8" i="16"/>
  <c r="G34" i="16"/>
  <c r="J34" i="16"/>
  <c r="F34" i="16"/>
  <c r="F10" i="16"/>
  <c r="J10" i="16"/>
  <c r="G10" i="16"/>
  <c r="F67" i="16"/>
  <c r="J67" i="16"/>
  <c r="G67" i="16"/>
  <c r="J209" i="16"/>
  <c r="G209" i="16"/>
  <c r="F209" i="16"/>
  <c r="F151" i="16"/>
  <c r="J151" i="16"/>
  <c r="G151" i="16"/>
  <c r="F199" i="16"/>
  <c r="J199" i="16"/>
  <c r="G199" i="16"/>
  <c r="E212" i="15"/>
  <c r="E270" i="15"/>
  <c r="E140" i="15"/>
  <c r="E235" i="15"/>
  <c r="E146" i="15"/>
  <c r="E82" i="15"/>
  <c r="E171" i="15"/>
  <c r="E60" i="15"/>
  <c r="J183" i="14"/>
  <c r="G183" i="14"/>
  <c r="F183" i="14"/>
  <c r="G264" i="12"/>
  <c r="F264" i="12"/>
  <c r="J264" i="12"/>
  <c r="G133" i="12"/>
  <c r="F133" i="12"/>
  <c r="J133" i="12"/>
  <c r="F207" i="10"/>
  <c r="G207" i="10"/>
  <c r="J207" i="10"/>
  <c r="G162" i="10"/>
  <c r="F46" i="10"/>
  <c r="J262" i="9"/>
  <c r="G262" i="9"/>
  <c r="F262" i="9"/>
  <c r="G261" i="9"/>
  <c r="F261" i="9"/>
  <c r="J238" i="9"/>
  <c r="G238" i="9"/>
  <c r="G237" i="9"/>
  <c r="F237" i="9"/>
  <c r="J214" i="9"/>
  <c r="G214" i="9"/>
  <c r="F214" i="9"/>
  <c r="G213" i="9"/>
  <c r="F213" i="9"/>
  <c r="J190" i="9"/>
  <c r="G190" i="9"/>
  <c r="F190" i="9"/>
  <c r="J166" i="9"/>
  <c r="J142" i="9"/>
  <c r="G142" i="9"/>
  <c r="F142" i="9"/>
  <c r="J95" i="12"/>
  <c r="F95" i="12"/>
  <c r="G95" i="12"/>
  <c r="F211" i="10"/>
  <c r="G211" i="10"/>
  <c r="J211" i="10"/>
  <c r="G210" i="10"/>
  <c r="F210" i="10"/>
  <c r="J273" i="10"/>
  <c r="F273" i="10"/>
  <c r="G273" i="10"/>
  <c r="G272" i="10"/>
  <c r="F272" i="10"/>
  <c r="G180" i="10"/>
  <c r="J180" i="10"/>
  <c r="F180" i="10"/>
  <c r="G244" i="10"/>
  <c r="J244" i="10"/>
  <c r="F244" i="10"/>
  <c r="J22" i="10"/>
  <c r="F218" i="10"/>
  <c r="J130" i="7"/>
  <c r="J33" i="8"/>
  <c r="J36" i="7"/>
  <c r="G109" i="19"/>
  <c r="F109" i="19"/>
  <c r="J109" i="19"/>
  <c r="J24" i="7"/>
  <c r="J147" i="7"/>
  <c r="J219" i="22"/>
  <c r="G219" i="22"/>
  <c r="F219" i="22"/>
  <c r="J147" i="22"/>
  <c r="G147" i="22"/>
  <c r="F147" i="22"/>
  <c r="J124" i="22"/>
  <c r="F124" i="22"/>
  <c r="G124" i="22"/>
  <c r="F113" i="22"/>
  <c r="H113" i="22" s="1"/>
  <c r="J113" i="22"/>
  <c r="G113" i="22"/>
  <c r="G33" i="22"/>
  <c r="F33" i="22"/>
  <c r="H33" i="22" s="1"/>
  <c r="J33" i="22"/>
  <c r="F97" i="22"/>
  <c r="J97" i="22"/>
  <c r="G97" i="22"/>
  <c r="F110" i="22"/>
  <c r="H110" i="22" s="1"/>
  <c r="J110" i="22"/>
  <c r="G110" i="22"/>
  <c r="G262" i="21"/>
  <c r="F262" i="21"/>
  <c r="J262" i="21"/>
  <c r="G270" i="21"/>
  <c r="F270" i="21"/>
  <c r="J270" i="21"/>
  <c r="G238" i="21"/>
  <c r="F238" i="21"/>
  <c r="J238" i="21"/>
  <c r="J232" i="21"/>
  <c r="G232" i="21"/>
  <c r="F232" i="21"/>
  <c r="J224" i="21"/>
  <c r="G224" i="21"/>
  <c r="F224" i="21"/>
  <c r="F105" i="22"/>
  <c r="H105" i="22" s="1"/>
  <c r="J105" i="22"/>
  <c r="G105" i="22"/>
  <c r="J75" i="22"/>
  <c r="G75" i="22"/>
  <c r="F75" i="22"/>
  <c r="G164" i="22"/>
  <c r="F164" i="22"/>
  <c r="H164" i="22" s="1"/>
  <c r="J164" i="22"/>
  <c r="F141" i="22"/>
  <c r="H141" i="22" s="1"/>
  <c r="J141" i="22"/>
  <c r="G141" i="22"/>
  <c r="G134" i="22"/>
  <c r="F134" i="22"/>
  <c r="H134" i="22" s="1"/>
  <c r="J134" i="22"/>
  <c r="G192" i="22"/>
  <c r="J192" i="22"/>
  <c r="F192" i="22"/>
  <c r="H192" i="22" s="1"/>
  <c r="G232" i="22"/>
  <c r="J232" i="22"/>
  <c r="F232" i="22"/>
  <c r="J289" i="22"/>
  <c r="G289" i="22"/>
  <c r="F289" i="22"/>
  <c r="G284" i="22"/>
  <c r="J284" i="22"/>
  <c r="F284" i="22"/>
  <c r="H284" i="22" s="1"/>
  <c r="J274" i="22"/>
  <c r="G274" i="22"/>
  <c r="F274" i="22"/>
  <c r="F126" i="21"/>
  <c r="G126" i="21"/>
  <c r="J126" i="21"/>
  <c r="F116" i="21"/>
  <c r="G116" i="21"/>
  <c r="J116" i="21"/>
  <c r="J151" i="21"/>
  <c r="G151" i="21"/>
  <c r="F151" i="21"/>
  <c r="F108" i="21"/>
  <c r="J108" i="21"/>
  <c r="G108" i="21"/>
  <c r="J127" i="21"/>
  <c r="G127" i="21"/>
  <c r="F127" i="21"/>
  <c r="F187" i="21"/>
  <c r="J187" i="21"/>
  <c r="G187" i="21"/>
  <c r="J211" i="21"/>
  <c r="G211" i="21"/>
  <c r="F211" i="21"/>
  <c r="J134" i="21"/>
  <c r="G134" i="21"/>
  <c r="F134" i="21"/>
  <c r="J82" i="21"/>
  <c r="G82" i="21"/>
  <c r="F82" i="21"/>
  <c r="G105" i="21"/>
  <c r="F105" i="21"/>
  <c r="J105" i="21"/>
  <c r="J133" i="21"/>
  <c r="G133" i="21"/>
  <c r="F133" i="21"/>
  <c r="J295" i="20"/>
  <c r="G295" i="20"/>
  <c r="F295" i="20"/>
  <c r="J253" i="20"/>
  <c r="F253" i="20"/>
  <c r="G253" i="20"/>
  <c r="J10" i="21"/>
  <c r="G10" i="21"/>
  <c r="F10" i="21"/>
  <c r="J99" i="21"/>
  <c r="G99" i="21"/>
  <c r="F99" i="21"/>
  <c r="G24" i="21"/>
  <c r="F24" i="21"/>
  <c r="J24" i="21"/>
  <c r="J104" i="21"/>
  <c r="G104" i="21"/>
  <c r="F104" i="21"/>
  <c r="J45" i="21"/>
  <c r="G45" i="21"/>
  <c r="F45" i="21"/>
  <c r="G93" i="21"/>
  <c r="F93" i="21"/>
  <c r="J93" i="21"/>
  <c r="J207" i="21"/>
  <c r="G207" i="21"/>
  <c r="F207" i="21"/>
  <c r="F253" i="21"/>
  <c r="J253" i="21"/>
  <c r="G253" i="21"/>
  <c r="F292" i="21"/>
  <c r="G292" i="21"/>
  <c r="J292" i="21"/>
  <c r="G273" i="20"/>
  <c r="J273" i="20"/>
  <c r="F273" i="20"/>
  <c r="J153" i="20"/>
  <c r="G153" i="20"/>
  <c r="F153" i="20"/>
  <c r="J275" i="20"/>
  <c r="G275" i="20"/>
  <c r="F275" i="20"/>
  <c r="J67" i="20"/>
  <c r="G67" i="20"/>
  <c r="F67" i="20"/>
  <c r="F99" i="20"/>
  <c r="J99" i="20"/>
  <c r="G99" i="20"/>
  <c r="J143" i="20"/>
  <c r="F143" i="20"/>
  <c r="G143" i="20"/>
  <c r="J79" i="20"/>
  <c r="G79" i="20"/>
  <c r="F79" i="20"/>
  <c r="J77" i="20"/>
  <c r="G77" i="20"/>
  <c r="F77" i="20"/>
  <c r="G86" i="20"/>
  <c r="J86" i="20"/>
  <c r="F86" i="20"/>
  <c r="J244" i="19"/>
  <c r="F244" i="19"/>
  <c r="G244" i="19"/>
  <c r="G45" i="20"/>
  <c r="F45" i="20"/>
  <c r="J45" i="20"/>
  <c r="G289" i="19"/>
  <c r="F289" i="19"/>
  <c r="J289" i="19"/>
  <c r="J120" i="20"/>
  <c r="G120" i="20"/>
  <c r="F120" i="20"/>
  <c r="J151" i="20"/>
  <c r="G151" i="20"/>
  <c r="F151" i="20"/>
  <c r="J276" i="20"/>
  <c r="G276" i="20"/>
  <c r="F276" i="20"/>
  <c r="G158" i="20"/>
  <c r="J158" i="20"/>
  <c r="F158" i="20"/>
  <c r="J167" i="20"/>
  <c r="G167" i="20"/>
  <c r="F167" i="20"/>
  <c r="J207" i="20"/>
  <c r="G207" i="20"/>
  <c r="F207" i="20"/>
  <c r="J268" i="20"/>
  <c r="G268" i="20"/>
  <c r="F268" i="20"/>
  <c r="G218" i="20"/>
  <c r="J218" i="20"/>
  <c r="F218" i="20"/>
  <c r="F225" i="20"/>
  <c r="J225" i="20"/>
  <c r="G225" i="20"/>
  <c r="J292" i="20"/>
  <c r="G292" i="20"/>
  <c r="F292" i="20"/>
  <c r="J10" i="20"/>
  <c r="F44" i="20"/>
  <c r="G44" i="20"/>
  <c r="J44" i="20"/>
  <c r="F48" i="20"/>
  <c r="J48" i="20"/>
  <c r="G48" i="20"/>
  <c r="G229" i="19"/>
  <c r="F229" i="19"/>
  <c r="J229" i="19"/>
  <c r="G297" i="19"/>
  <c r="F297" i="19"/>
  <c r="J297" i="19"/>
  <c r="J43" i="20"/>
  <c r="F43" i="20"/>
  <c r="G43" i="20"/>
  <c r="J184" i="19"/>
  <c r="G184" i="19"/>
  <c r="F184" i="19"/>
  <c r="J240" i="19"/>
  <c r="G240" i="19"/>
  <c r="F240" i="19"/>
  <c r="F92" i="19"/>
  <c r="J92" i="19"/>
  <c r="G92" i="19"/>
  <c r="G55" i="19"/>
  <c r="F55" i="19"/>
  <c r="J55" i="19"/>
  <c r="J112" i="19"/>
  <c r="G112" i="19"/>
  <c r="F112" i="19"/>
  <c r="F101" i="19"/>
  <c r="J101" i="19"/>
  <c r="G101" i="19"/>
  <c r="G149" i="19"/>
  <c r="F149" i="19"/>
  <c r="J149" i="19"/>
  <c r="J56" i="19"/>
  <c r="G56" i="19"/>
  <c r="F56" i="19"/>
  <c r="G42" i="20"/>
  <c r="H42" i="20" s="1"/>
  <c r="J174" i="19"/>
  <c r="G174" i="19"/>
  <c r="F174" i="19"/>
  <c r="J67" i="19"/>
  <c r="G67" i="19"/>
  <c r="F67" i="19"/>
  <c r="G5" i="19"/>
  <c r="F5" i="19"/>
  <c r="J5" i="19"/>
  <c r="J37" i="19"/>
  <c r="G37" i="19"/>
  <c r="F37" i="19"/>
  <c r="J106" i="19"/>
  <c r="G106" i="19"/>
  <c r="F106" i="19"/>
  <c r="J214" i="19"/>
  <c r="G214" i="19"/>
  <c r="F214" i="19"/>
  <c r="G223" i="18"/>
  <c r="F223" i="18"/>
  <c r="J223" i="18"/>
  <c r="G259" i="18"/>
  <c r="F259" i="18"/>
  <c r="J259" i="18"/>
  <c r="G255" i="18"/>
  <c r="F255" i="18"/>
  <c r="J255" i="18"/>
  <c r="G247" i="18"/>
  <c r="F247" i="18"/>
  <c r="J247" i="18"/>
  <c r="G283" i="18"/>
  <c r="F283" i="18"/>
  <c r="J283" i="18"/>
  <c r="F155" i="18"/>
  <c r="G155" i="18"/>
  <c r="J155" i="18"/>
  <c r="G161" i="18"/>
  <c r="J161" i="18"/>
  <c r="F161" i="18"/>
  <c r="F163" i="18"/>
  <c r="J163" i="18"/>
  <c r="G163" i="18"/>
  <c r="J117" i="18"/>
  <c r="G117" i="18"/>
  <c r="F117" i="18"/>
  <c r="J137" i="18"/>
  <c r="G137" i="18"/>
  <c r="F137" i="18"/>
  <c r="H137" i="18" s="1"/>
  <c r="F242" i="19"/>
  <c r="J178" i="18"/>
  <c r="G178" i="18"/>
  <c r="F178" i="18"/>
  <c r="H178" i="18" s="1"/>
  <c r="J148" i="18"/>
  <c r="G148" i="18"/>
  <c r="F148" i="18"/>
  <c r="F135" i="18"/>
  <c r="J135" i="18"/>
  <c r="G135" i="18"/>
  <c r="G298" i="17"/>
  <c r="J298" i="17"/>
  <c r="F298" i="17"/>
  <c r="F273" i="17"/>
  <c r="H273" i="17" s="1"/>
  <c r="G273" i="17"/>
  <c r="J273" i="17"/>
  <c r="G278" i="17"/>
  <c r="J278" i="17"/>
  <c r="F278" i="17"/>
  <c r="G232" i="17"/>
  <c r="F232" i="17"/>
  <c r="J232" i="17"/>
  <c r="G88" i="17"/>
  <c r="F88" i="17"/>
  <c r="J88" i="17"/>
  <c r="G34" i="18"/>
  <c r="J34" i="18"/>
  <c r="F34" i="18"/>
  <c r="J5" i="18"/>
  <c r="F5" i="18"/>
  <c r="G5" i="18"/>
  <c r="J35" i="18"/>
  <c r="G35" i="18"/>
  <c r="F35" i="18"/>
  <c r="F127" i="18"/>
  <c r="J127" i="18"/>
  <c r="G127" i="18"/>
  <c r="J75" i="18"/>
  <c r="G75" i="18"/>
  <c r="F75" i="18"/>
  <c r="J120" i="18"/>
  <c r="G120" i="18"/>
  <c r="F120" i="18"/>
  <c r="J293" i="18"/>
  <c r="G293" i="18"/>
  <c r="F293" i="18"/>
  <c r="F57" i="18"/>
  <c r="J57" i="18"/>
  <c r="G57" i="18"/>
  <c r="F116" i="18"/>
  <c r="J116" i="18"/>
  <c r="G116" i="18"/>
  <c r="J210" i="18"/>
  <c r="G210" i="18"/>
  <c r="F210" i="18"/>
  <c r="J242" i="18"/>
  <c r="G242" i="18"/>
  <c r="F242" i="18"/>
  <c r="J225" i="18"/>
  <c r="G225" i="18"/>
  <c r="F225" i="18"/>
  <c r="J280" i="17"/>
  <c r="G280" i="17"/>
  <c r="F280" i="17"/>
  <c r="G116" i="17"/>
  <c r="F116" i="17"/>
  <c r="J116" i="17"/>
  <c r="G216" i="17"/>
  <c r="F216" i="17"/>
  <c r="J216" i="17"/>
  <c r="G120" i="17"/>
  <c r="F120" i="17"/>
  <c r="J120" i="17"/>
  <c r="J24" i="18"/>
  <c r="F24" i="18"/>
  <c r="G24" i="18"/>
  <c r="F68" i="18"/>
  <c r="J58" i="17"/>
  <c r="G58" i="17"/>
  <c r="F58" i="17"/>
  <c r="F288" i="16"/>
  <c r="J288" i="16"/>
  <c r="G288" i="16"/>
  <c r="G150" i="18"/>
  <c r="F138" i="17"/>
  <c r="G138" i="17"/>
  <c r="J138" i="17"/>
  <c r="G132" i="17"/>
  <c r="F132" i="17"/>
  <c r="J132" i="17"/>
  <c r="G82" i="17"/>
  <c r="F82" i="17"/>
  <c r="J82" i="17"/>
  <c r="G228" i="17"/>
  <c r="F228" i="17"/>
  <c r="J228" i="17"/>
  <c r="J145" i="17"/>
  <c r="G145" i="17"/>
  <c r="F145" i="17"/>
  <c r="J271" i="16"/>
  <c r="F271" i="16"/>
  <c r="G271" i="16"/>
  <c r="J125" i="16"/>
  <c r="G125" i="16"/>
  <c r="F125" i="16"/>
  <c r="J225" i="16"/>
  <c r="G225" i="16"/>
  <c r="F225" i="16"/>
  <c r="F59" i="17"/>
  <c r="J59" i="17"/>
  <c r="G59" i="17"/>
  <c r="J291" i="16"/>
  <c r="G291" i="16"/>
  <c r="F291" i="16"/>
  <c r="F54" i="17"/>
  <c r="J54" i="17"/>
  <c r="G54" i="17"/>
  <c r="J189" i="16"/>
  <c r="F189" i="16"/>
  <c r="G189" i="16"/>
  <c r="G116" i="16"/>
  <c r="J116" i="16"/>
  <c r="F116" i="16"/>
  <c r="G136" i="16"/>
  <c r="F136" i="16"/>
  <c r="J136" i="16"/>
  <c r="G166" i="16"/>
  <c r="F166" i="16"/>
  <c r="J166" i="16"/>
  <c r="J105" i="16"/>
  <c r="F2" i="17"/>
  <c r="J2" i="17"/>
  <c r="M16" i="17"/>
  <c r="G2" i="17"/>
  <c r="J283" i="17"/>
  <c r="F283" i="17"/>
  <c r="G283" i="17"/>
  <c r="F226" i="17"/>
  <c r="G226" i="17"/>
  <c r="J226" i="17"/>
  <c r="J225" i="17"/>
  <c r="G225" i="17"/>
  <c r="F225" i="17"/>
  <c r="H225" i="17" s="1"/>
  <c r="F158" i="17"/>
  <c r="G158" i="17"/>
  <c r="J158" i="17"/>
  <c r="F293" i="17"/>
  <c r="J293" i="17"/>
  <c r="G293" i="17"/>
  <c r="J94" i="16"/>
  <c r="G94" i="16"/>
  <c r="F94" i="16"/>
  <c r="J106" i="15"/>
  <c r="F14" i="16"/>
  <c r="J180" i="15"/>
  <c r="J108" i="15"/>
  <c r="J93" i="16"/>
  <c r="G93" i="16"/>
  <c r="F93" i="16"/>
  <c r="J33" i="16"/>
  <c r="G33" i="16"/>
  <c r="F33" i="16"/>
  <c r="G26" i="16"/>
  <c r="F26" i="16"/>
  <c r="J26" i="16"/>
  <c r="J57" i="16"/>
  <c r="F57" i="16"/>
  <c r="G57" i="16"/>
  <c r="J71" i="16"/>
  <c r="J213" i="16"/>
  <c r="F213" i="16"/>
  <c r="G213" i="16"/>
  <c r="F155" i="16"/>
  <c r="J155" i="16"/>
  <c r="G155" i="16"/>
  <c r="F203" i="16"/>
  <c r="J203" i="16"/>
  <c r="G203" i="16"/>
  <c r="J186" i="15"/>
  <c r="G114" i="15"/>
  <c r="F114" i="15"/>
  <c r="J114" i="15"/>
  <c r="J248" i="15"/>
  <c r="J118" i="15"/>
  <c r="E230" i="15"/>
  <c r="G38" i="16"/>
  <c r="E144" i="15"/>
  <c r="E80" i="15"/>
  <c r="E167" i="15"/>
  <c r="J301" i="14"/>
  <c r="G301" i="14"/>
  <c r="F301" i="14"/>
  <c r="E16" i="15"/>
  <c r="E52" i="15"/>
  <c r="J261" i="12"/>
  <c r="G261" i="12"/>
  <c r="F261" i="12"/>
  <c r="G14" i="12"/>
  <c r="F14" i="12"/>
  <c r="J14" i="12"/>
  <c r="J122" i="12"/>
  <c r="G122" i="12"/>
  <c r="F122" i="12"/>
  <c r="F254" i="10"/>
  <c r="G133" i="10"/>
  <c r="G112" i="10"/>
  <c r="J265" i="7"/>
  <c r="M19" i="7"/>
  <c r="G99" i="22"/>
  <c r="J99" i="22"/>
  <c r="F99" i="22"/>
  <c r="H99" i="22" s="1"/>
  <c r="G208" i="21"/>
  <c r="F208" i="21"/>
  <c r="J208" i="21"/>
  <c r="J70" i="22"/>
  <c r="G70" i="22"/>
  <c r="F70" i="22"/>
  <c r="G200" i="22"/>
  <c r="J200" i="22"/>
  <c r="F200" i="22"/>
  <c r="H200" i="22" s="1"/>
  <c r="G228" i="22"/>
  <c r="J228" i="22"/>
  <c r="F228" i="22"/>
  <c r="F175" i="21"/>
  <c r="J175" i="21"/>
  <c r="G175" i="21"/>
  <c r="G74" i="21"/>
  <c r="F74" i="21"/>
  <c r="J74" i="21"/>
  <c r="J71" i="21"/>
  <c r="G71" i="21"/>
  <c r="F71" i="21"/>
  <c r="J209" i="21"/>
  <c r="G209" i="21"/>
  <c r="F209" i="21"/>
  <c r="F193" i="20"/>
  <c r="J193" i="20"/>
  <c r="G193" i="20"/>
  <c r="F201" i="20"/>
  <c r="J201" i="20"/>
  <c r="G201" i="20"/>
  <c r="J109" i="20"/>
  <c r="G109" i="20"/>
  <c r="F109" i="20"/>
  <c r="J101" i="20"/>
  <c r="F101" i="20"/>
  <c r="G101" i="20"/>
  <c r="G146" i="20"/>
  <c r="F146" i="20"/>
  <c r="J146" i="20"/>
  <c r="G205" i="19"/>
  <c r="J205" i="19"/>
  <c r="F205" i="19"/>
  <c r="G104" i="20"/>
  <c r="J104" i="20"/>
  <c r="F104" i="20"/>
  <c r="J232" i="20"/>
  <c r="G232" i="20"/>
  <c r="F232" i="20"/>
  <c r="F267" i="20"/>
  <c r="J267" i="20"/>
  <c r="G267" i="20"/>
  <c r="J193" i="19"/>
  <c r="G193" i="19"/>
  <c r="F193" i="19"/>
  <c r="F300" i="19"/>
  <c r="G300" i="19"/>
  <c r="J300" i="19"/>
  <c r="G161" i="19"/>
  <c r="F161" i="19"/>
  <c r="J161" i="19"/>
  <c r="G78" i="19"/>
  <c r="F78" i="19"/>
  <c r="J78" i="19"/>
  <c r="J290" i="19"/>
  <c r="F290" i="19"/>
  <c r="G290" i="19"/>
  <c r="J228" i="18"/>
  <c r="G228" i="18"/>
  <c r="F228" i="18"/>
  <c r="J156" i="18"/>
  <c r="G156" i="18"/>
  <c r="F156" i="18"/>
  <c r="G66" i="18"/>
  <c r="F66" i="18"/>
  <c r="J66" i="18"/>
  <c r="F147" i="17"/>
  <c r="G147" i="17"/>
  <c r="J147" i="17"/>
  <c r="J11" i="18"/>
  <c r="F11" i="18"/>
  <c r="G11" i="18"/>
  <c r="F85" i="18"/>
  <c r="J85" i="18"/>
  <c r="G85" i="18"/>
  <c r="F258" i="18"/>
  <c r="J258" i="18"/>
  <c r="G258" i="18"/>
  <c r="F186" i="17"/>
  <c r="G186" i="17"/>
  <c r="J186" i="17"/>
  <c r="G146" i="16"/>
  <c r="J146" i="16"/>
  <c r="F146" i="16"/>
  <c r="J252" i="17"/>
  <c r="G252" i="17"/>
  <c r="F252" i="17"/>
  <c r="J176" i="15"/>
  <c r="G198" i="16"/>
  <c r="J198" i="16"/>
  <c r="F198" i="16"/>
  <c r="F183" i="16"/>
  <c r="J183" i="16"/>
  <c r="G183" i="16"/>
  <c r="J188" i="15"/>
  <c r="J90" i="15"/>
  <c r="G119" i="22"/>
  <c r="J119" i="22"/>
  <c r="F119" i="22"/>
  <c r="H119" i="22" s="1"/>
  <c r="J96" i="22"/>
  <c r="G96" i="22"/>
  <c r="F96" i="22"/>
  <c r="F264" i="21"/>
  <c r="G264" i="21"/>
  <c r="J264" i="21"/>
  <c r="J212" i="21"/>
  <c r="G212" i="21"/>
  <c r="F212" i="21"/>
  <c r="J26" i="22"/>
  <c r="G26" i="22"/>
  <c r="F26" i="22"/>
  <c r="F154" i="22"/>
  <c r="J154" i="22"/>
  <c r="G154" i="22"/>
  <c r="F129" i="22"/>
  <c r="J129" i="22"/>
  <c r="G129" i="22"/>
  <c r="F80" i="22"/>
  <c r="J80" i="22"/>
  <c r="G80" i="22"/>
  <c r="G138" i="22"/>
  <c r="F138" i="22"/>
  <c r="J138" i="22"/>
  <c r="G240" i="22"/>
  <c r="J240" i="22"/>
  <c r="F240" i="22"/>
  <c r="H240" i="22" s="1"/>
  <c r="G300" i="22"/>
  <c r="J300" i="22"/>
  <c r="F300" i="22"/>
  <c r="H300" i="22" s="1"/>
  <c r="G224" i="22"/>
  <c r="J224" i="22"/>
  <c r="F224" i="22"/>
  <c r="H224" i="22" s="1"/>
  <c r="J286" i="22"/>
  <c r="G286" i="22"/>
  <c r="F286" i="22"/>
  <c r="H286" i="22" s="1"/>
  <c r="J281" i="22"/>
  <c r="G281" i="22"/>
  <c r="F281" i="22"/>
  <c r="J130" i="21"/>
  <c r="G130" i="21"/>
  <c r="F130" i="21"/>
  <c r="F222" i="21"/>
  <c r="J222" i="21"/>
  <c r="G222" i="21"/>
  <c r="J182" i="21"/>
  <c r="G182" i="21"/>
  <c r="F182" i="21"/>
  <c r="G196" i="21"/>
  <c r="F196" i="21"/>
  <c r="J196" i="21"/>
  <c r="F128" i="21"/>
  <c r="G128" i="21"/>
  <c r="J128" i="21"/>
  <c r="F146" i="21"/>
  <c r="J146" i="21"/>
  <c r="G146" i="21"/>
  <c r="J92" i="21"/>
  <c r="G92" i="21"/>
  <c r="F92" i="21"/>
  <c r="H92" i="21" s="1"/>
  <c r="J80" i="21"/>
  <c r="G80" i="21"/>
  <c r="F80" i="21"/>
  <c r="J282" i="20"/>
  <c r="G282" i="20"/>
  <c r="F282" i="20"/>
  <c r="J287" i="20"/>
  <c r="G287" i="20"/>
  <c r="F287" i="20"/>
  <c r="J245" i="20"/>
  <c r="F245" i="20"/>
  <c r="G245" i="20"/>
  <c r="G7" i="21"/>
  <c r="J7" i="21"/>
  <c r="F7" i="21"/>
  <c r="J91" i="21"/>
  <c r="G91" i="21"/>
  <c r="F91" i="21"/>
  <c r="F32" i="21"/>
  <c r="G32" i="21"/>
  <c r="J32" i="21"/>
  <c r="J107" i="21"/>
  <c r="G107" i="21"/>
  <c r="F107" i="21"/>
  <c r="F49" i="21"/>
  <c r="J49" i="21"/>
  <c r="G49" i="21"/>
  <c r="G97" i="21"/>
  <c r="F97" i="21"/>
  <c r="J97" i="21"/>
  <c r="J267" i="21"/>
  <c r="G267" i="21"/>
  <c r="F267" i="21"/>
  <c r="G213" i="21"/>
  <c r="F213" i="21"/>
  <c r="J213" i="21"/>
  <c r="G285" i="21"/>
  <c r="J285" i="21"/>
  <c r="F285" i="21"/>
  <c r="G261" i="20"/>
  <c r="F261" i="20"/>
  <c r="J261" i="20"/>
  <c r="J59" i="20"/>
  <c r="G59" i="20"/>
  <c r="F59" i="20"/>
  <c r="F81" i="20"/>
  <c r="G81" i="20"/>
  <c r="J81" i="20"/>
  <c r="G138" i="20"/>
  <c r="J138" i="20"/>
  <c r="F138" i="20"/>
  <c r="J71" i="20"/>
  <c r="G71" i="20"/>
  <c r="F71" i="20"/>
  <c r="J69" i="20"/>
  <c r="G69" i="20"/>
  <c r="F69" i="20"/>
  <c r="J55" i="20"/>
  <c r="G55" i="20"/>
  <c r="F55" i="20"/>
  <c r="F28" i="20"/>
  <c r="G28" i="20"/>
  <c r="J28" i="20"/>
  <c r="F185" i="19"/>
  <c r="J185" i="19"/>
  <c r="G185" i="19"/>
  <c r="G96" i="20"/>
  <c r="J96" i="20"/>
  <c r="F96" i="20"/>
  <c r="J124" i="20"/>
  <c r="G124" i="20"/>
  <c r="F124" i="20"/>
  <c r="G154" i="20"/>
  <c r="J154" i="20"/>
  <c r="F154" i="20"/>
  <c r="J144" i="20"/>
  <c r="G144" i="20"/>
  <c r="F144" i="20"/>
  <c r="J228" i="20"/>
  <c r="G228" i="20"/>
  <c r="F228" i="20"/>
  <c r="J172" i="20"/>
  <c r="G172" i="20"/>
  <c r="F172" i="20"/>
  <c r="J211" i="20"/>
  <c r="G211" i="20"/>
  <c r="F211" i="20"/>
  <c r="G174" i="20"/>
  <c r="J174" i="20"/>
  <c r="F174" i="20"/>
  <c r="G222" i="20"/>
  <c r="J222" i="20"/>
  <c r="F222" i="20"/>
  <c r="F229" i="20"/>
  <c r="J229" i="20"/>
  <c r="G229" i="20"/>
  <c r="J296" i="20"/>
  <c r="G296" i="20"/>
  <c r="F296" i="20"/>
  <c r="G221" i="19"/>
  <c r="F221" i="19"/>
  <c r="J221" i="19"/>
  <c r="J2" i="20"/>
  <c r="G2" i="20"/>
  <c r="F2" i="20"/>
  <c r="J31" i="20"/>
  <c r="F31" i="20"/>
  <c r="G31" i="20"/>
  <c r="J35" i="20"/>
  <c r="F35" i="20"/>
  <c r="G35" i="20"/>
  <c r="F291" i="19"/>
  <c r="J291" i="19"/>
  <c r="G291" i="19"/>
  <c r="J34" i="20"/>
  <c r="G34" i="20"/>
  <c r="F34" i="20"/>
  <c r="J177" i="19"/>
  <c r="G177" i="19"/>
  <c r="F177" i="19"/>
  <c r="J196" i="19"/>
  <c r="G196" i="19"/>
  <c r="F196" i="19"/>
  <c r="G117" i="19"/>
  <c r="F117" i="19"/>
  <c r="J117" i="19"/>
  <c r="J44" i="19"/>
  <c r="F44" i="19"/>
  <c r="G44" i="19"/>
  <c r="F87" i="19"/>
  <c r="J87" i="19"/>
  <c r="G87" i="19"/>
  <c r="G47" i="19"/>
  <c r="F47" i="19"/>
  <c r="H47" i="19" s="1"/>
  <c r="J47" i="19"/>
  <c r="J274" i="19"/>
  <c r="F274" i="19"/>
  <c r="G274" i="19"/>
  <c r="J76" i="19"/>
  <c r="G76" i="19"/>
  <c r="F76" i="19"/>
  <c r="J48" i="19"/>
  <c r="G48" i="19"/>
  <c r="F48" i="19"/>
  <c r="J156" i="19"/>
  <c r="F156" i="19"/>
  <c r="G156" i="19"/>
  <c r="J160" i="19"/>
  <c r="F160" i="19"/>
  <c r="G160" i="19"/>
  <c r="G279" i="18"/>
  <c r="F279" i="18"/>
  <c r="J279" i="18"/>
  <c r="J28" i="19"/>
  <c r="G28" i="19"/>
  <c r="F28" i="19"/>
  <c r="J222" i="19"/>
  <c r="G222" i="19"/>
  <c r="F222" i="19"/>
  <c r="J282" i="19"/>
  <c r="F282" i="19"/>
  <c r="G282" i="19"/>
  <c r="G267" i="18"/>
  <c r="F267" i="18"/>
  <c r="J267" i="18"/>
  <c r="G299" i="18"/>
  <c r="F299" i="18"/>
  <c r="J299" i="18"/>
  <c r="G235" i="18"/>
  <c r="F235" i="18"/>
  <c r="J235" i="18"/>
  <c r="J141" i="18"/>
  <c r="F141" i="18"/>
  <c r="G141" i="18"/>
  <c r="G133" i="18"/>
  <c r="F133" i="18"/>
  <c r="J133" i="18"/>
  <c r="J145" i="18"/>
  <c r="G145" i="18"/>
  <c r="F145" i="18"/>
  <c r="F102" i="19"/>
  <c r="G242" i="19"/>
  <c r="J170" i="18"/>
  <c r="G170" i="18"/>
  <c r="F170" i="18"/>
  <c r="G82" i="18"/>
  <c r="F82" i="18"/>
  <c r="J82" i="18"/>
  <c r="J130" i="18"/>
  <c r="F130" i="18"/>
  <c r="G130" i="18"/>
  <c r="G294" i="17"/>
  <c r="J294" i="17"/>
  <c r="F294" i="17"/>
  <c r="F249" i="17"/>
  <c r="G249" i="17"/>
  <c r="J249" i="17"/>
  <c r="J212" i="18"/>
  <c r="F212" i="18"/>
  <c r="G212" i="18"/>
  <c r="F167" i="18"/>
  <c r="J167" i="18"/>
  <c r="G167" i="18"/>
  <c r="F219" i="17"/>
  <c r="H219" i="17" s="1"/>
  <c r="G219" i="17"/>
  <c r="J219" i="17"/>
  <c r="G80" i="17"/>
  <c r="F80" i="17"/>
  <c r="J80" i="17"/>
  <c r="J6" i="18"/>
  <c r="F6" i="18"/>
  <c r="G6" i="18"/>
  <c r="J21" i="18"/>
  <c r="F21" i="18"/>
  <c r="G21" i="18"/>
  <c r="J39" i="18"/>
  <c r="G39" i="18"/>
  <c r="F39" i="18"/>
  <c r="G164" i="18"/>
  <c r="F164" i="18"/>
  <c r="J164" i="18"/>
  <c r="J79" i="18"/>
  <c r="G79" i="18"/>
  <c r="F79" i="18"/>
  <c r="F123" i="18"/>
  <c r="J123" i="18"/>
  <c r="G123" i="18"/>
  <c r="F7" i="18"/>
  <c r="J7" i="18"/>
  <c r="G7" i="18"/>
  <c r="F61" i="18"/>
  <c r="J61" i="18"/>
  <c r="G61" i="18"/>
  <c r="F119" i="18"/>
  <c r="G119" i="18"/>
  <c r="J119" i="18"/>
  <c r="J224" i="18"/>
  <c r="G224" i="18"/>
  <c r="F224" i="18"/>
  <c r="J265" i="18"/>
  <c r="G265" i="18"/>
  <c r="F265" i="18"/>
  <c r="J240" i="18"/>
  <c r="G240" i="18"/>
  <c r="F240" i="18"/>
  <c r="G250" i="17"/>
  <c r="J250" i="17"/>
  <c r="F250" i="17"/>
  <c r="F103" i="17"/>
  <c r="J103" i="17"/>
  <c r="G103" i="17"/>
  <c r="J264" i="18"/>
  <c r="G264" i="18"/>
  <c r="F264" i="18"/>
  <c r="F107" i="17"/>
  <c r="J107" i="17"/>
  <c r="G107" i="17"/>
  <c r="G274" i="17"/>
  <c r="J274" i="17"/>
  <c r="F274" i="17"/>
  <c r="F46" i="20"/>
  <c r="J244" i="17"/>
  <c r="F244" i="17"/>
  <c r="G244" i="17"/>
  <c r="G68" i="18"/>
  <c r="G240" i="17"/>
  <c r="F240" i="17"/>
  <c r="J240" i="17"/>
  <c r="G286" i="16"/>
  <c r="F286" i="16"/>
  <c r="J286" i="16"/>
  <c r="J74" i="17"/>
  <c r="G74" i="17"/>
  <c r="F74" i="17"/>
  <c r="G223" i="16"/>
  <c r="F223" i="16"/>
  <c r="J223" i="16"/>
  <c r="F46" i="18"/>
  <c r="F135" i="17"/>
  <c r="J135" i="17"/>
  <c r="G135" i="17"/>
  <c r="G104" i="17"/>
  <c r="F104" i="17"/>
  <c r="J104" i="17"/>
  <c r="F50" i="18"/>
  <c r="H50" i="18" s="1"/>
  <c r="J49" i="17"/>
  <c r="G49" i="17"/>
  <c r="F49" i="17"/>
  <c r="F35" i="17"/>
  <c r="J35" i="17"/>
  <c r="G35" i="17"/>
  <c r="G220" i="17"/>
  <c r="F220" i="17"/>
  <c r="H220" i="17" s="1"/>
  <c r="J220" i="17"/>
  <c r="J283" i="16"/>
  <c r="F283" i="16"/>
  <c r="G283" i="16"/>
  <c r="G124" i="17"/>
  <c r="F124" i="17"/>
  <c r="J124" i="17"/>
  <c r="J268" i="16"/>
  <c r="F268" i="16"/>
  <c r="G268" i="16"/>
  <c r="J201" i="16"/>
  <c r="G201" i="16"/>
  <c r="F201" i="16"/>
  <c r="F22" i="17"/>
  <c r="J22" i="17"/>
  <c r="G22" i="17"/>
  <c r="J13" i="17"/>
  <c r="F13" i="17"/>
  <c r="G13" i="17"/>
  <c r="J165" i="16"/>
  <c r="F165" i="16"/>
  <c r="G165" i="16"/>
  <c r="J113" i="16"/>
  <c r="G113" i="16"/>
  <c r="F113" i="16"/>
  <c r="G104" i="16"/>
  <c r="F104" i="16"/>
  <c r="J104" i="16"/>
  <c r="J112" i="16"/>
  <c r="G112" i="16"/>
  <c r="F112" i="16"/>
  <c r="J11" i="16"/>
  <c r="G158" i="16"/>
  <c r="J158" i="16"/>
  <c r="F158" i="16"/>
  <c r="G252" i="16"/>
  <c r="J252" i="16"/>
  <c r="F252" i="16"/>
  <c r="F122" i="17"/>
  <c r="J122" i="17"/>
  <c r="G122" i="17"/>
  <c r="G11" i="17"/>
  <c r="J11" i="17"/>
  <c r="F11" i="17"/>
  <c r="J6" i="17"/>
  <c r="F6" i="17"/>
  <c r="G6" i="17"/>
  <c r="J234" i="17"/>
  <c r="F234" i="17"/>
  <c r="G234" i="17"/>
  <c r="F182" i="17"/>
  <c r="G182" i="17"/>
  <c r="J182" i="17"/>
  <c r="F297" i="17"/>
  <c r="H297" i="17" s="1"/>
  <c r="J297" i="17"/>
  <c r="G297" i="17"/>
  <c r="G46" i="16"/>
  <c r="J46" i="16"/>
  <c r="F46" i="16"/>
  <c r="J104" i="15"/>
  <c r="J276" i="15"/>
  <c r="G70" i="16"/>
  <c r="G44" i="16"/>
  <c r="F44" i="16"/>
  <c r="J44" i="16"/>
  <c r="G176" i="16"/>
  <c r="F176" i="16"/>
  <c r="J176" i="16"/>
  <c r="J37" i="16"/>
  <c r="G37" i="16"/>
  <c r="F37" i="16"/>
  <c r="J49" i="16"/>
  <c r="J245" i="16"/>
  <c r="G245" i="16"/>
  <c r="F245" i="16"/>
  <c r="F27" i="16"/>
  <c r="J27" i="16"/>
  <c r="G27" i="16"/>
  <c r="F75" i="16"/>
  <c r="J75" i="16"/>
  <c r="G75" i="16"/>
  <c r="J217" i="16"/>
  <c r="G217" i="16"/>
  <c r="F217" i="16"/>
  <c r="F159" i="16"/>
  <c r="J159" i="16"/>
  <c r="G159" i="16"/>
  <c r="F207" i="16"/>
  <c r="J207" i="16"/>
  <c r="G207" i="16"/>
  <c r="J184" i="15"/>
  <c r="J112" i="15"/>
  <c r="J204" i="15"/>
  <c r="J116" i="15"/>
  <c r="F60" i="16"/>
  <c r="E201" i="15"/>
  <c r="E122" i="15"/>
  <c r="E78" i="15"/>
  <c r="G20" i="16"/>
  <c r="E150" i="15"/>
  <c r="J280" i="14"/>
  <c r="G280" i="14"/>
  <c r="F280" i="14"/>
  <c r="E268" i="15"/>
  <c r="E174" i="15"/>
  <c r="J158" i="14"/>
  <c r="G158" i="14"/>
  <c r="F158" i="14"/>
  <c r="G180" i="14"/>
  <c r="F180" i="14"/>
  <c r="J180" i="14"/>
  <c r="J39" i="14"/>
  <c r="G39" i="14"/>
  <c r="F39" i="14"/>
  <c r="G238" i="13"/>
  <c r="F238" i="13"/>
  <c r="J238" i="13"/>
  <c r="J174" i="14"/>
  <c r="F174" i="14"/>
  <c r="G174" i="14"/>
  <c r="J130" i="13"/>
  <c r="F130" i="13"/>
  <c r="G130" i="13"/>
  <c r="J62" i="13"/>
  <c r="G62" i="13"/>
  <c r="F62" i="13"/>
  <c r="G61" i="13"/>
  <c r="G258" i="13"/>
  <c r="F258" i="13"/>
  <c r="J258" i="13"/>
  <c r="J229" i="12"/>
  <c r="G229" i="12"/>
  <c r="F229" i="12"/>
  <c r="E152" i="11"/>
  <c r="E21" i="11"/>
  <c r="E288" i="11"/>
  <c r="E274" i="11"/>
  <c r="E272" i="11"/>
  <c r="E258" i="11"/>
  <c r="E256" i="11"/>
  <c r="E240" i="11"/>
  <c r="E224" i="11"/>
  <c r="E208" i="11"/>
  <c r="G207" i="11" s="1"/>
  <c r="E192" i="11"/>
  <c r="E160" i="11"/>
  <c r="E172" i="11"/>
  <c r="E292" i="11"/>
  <c r="E276" i="11"/>
  <c r="E260" i="11"/>
  <c r="E244" i="11"/>
  <c r="E228" i="11"/>
  <c r="E212" i="11"/>
  <c r="E196" i="11"/>
  <c r="E180" i="11"/>
  <c r="E252" i="11"/>
  <c r="E298" i="11"/>
  <c r="E238" i="11"/>
  <c r="E235" i="11"/>
  <c r="E232" i="11"/>
  <c r="E202" i="11"/>
  <c r="E141" i="11"/>
  <c r="E133" i="11"/>
  <c r="E125" i="11"/>
  <c r="E117" i="11"/>
  <c r="E109" i="11"/>
  <c r="E101" i="11"/>
  <c r="E93" i="11"/>
  <c r="E85" i="11"/>
  <c r="E77" i="11"/>
  <c r="E69" i="11"/>
  <c r="E61" i="11"/>
  <c r="E53" i="11"/>
  <c r="E45" i="11"/>
  <c r="E37" i="11"/>
  <c r="E29" i="11"/>
  <c r="E268" i="11"/>
  <c r="E162" i="11"/>
  <c r="E146" i="11"/>
  <c r="E138" i="11"/>
  <c r="E130" i="11"/>
  <c r="E122" i="11"/>
  <c r="E114" i="11"/>
  <c r="E106" i="11"/>
  <c r="E98" i="11"/>
  <c r="E90" i="11"/>
  <c r="E82" i="11"/>
  <c r="E74" i="11"/>
  <c r="E66" i="11"/>
  <c r="E58" i="11"/>
  <c r="E50" i="11"/>
  <c r="E42" i="11"/>
  <c r="E34" i="11"/>
  <c r="E9" i="11"/>
  <c r="E254" i="11"/>
  <c r="E251" i="11"/>
  <c r="E248" i="11"/>
  <c r="E218" i="11"/>
  <c r="E171" i="11"/>
  <c r="E168" i="11"/>
  <c r="E26" i="11"/>
  <c r="E12" i="11"/>
  <c r="E284" i="11"/>
  <c r="E188" i="11"/>
  <c r="E158" i="11"/>
  <c r="E19" i="11"/>
  <c r="E270" i="11"/>
  <c r="E267" i="11"/>
  <c r="E264" i="11"/>
  <c r="E234" i="11"/>
  <c r="E300" i="11"/>
  <c r="E204" i="11"/>
  <c r="E286" i="11"/>
  <c r="E283" i="11"/>
  <c r="E280" i="11"/>
  <c r="E250" i="11"/>
  <c r="E190" i="11"/>
  <c r="E187" i="11"/>
  <c r="E184" i="11"/>
  <c r="E167" i="11"/>
  <c r="E145" i="11"/>
  <c r="E137" i="11"/>
  <c r="E129" i="11"/>
  <c r="E121" i="11"/>
  <c r="E113" i="11"/>
  <c r="E105" i="11"/>
  <c r="E97" i="11"/>
  <c r="E89" i="11"/>
  <c r="E81" i="11"/>
  <c r="E73" i="11"/>
  <c r="E65" i="11"/>
  <c r="E57" i="11"/>
  <c r="E49" i="11"/>
  <c r="E41" i="11"/>
  <c r="E33" i="11"/>
  <c r="E23" i="11"/>
  <c r="E299" i="11"/>
  <c r="E296" i="11"/>
  <c r="E266" i="11"/>
  <c r="E206" i="11"/>
  <c r="E203" i="11"/>
  <c r="E200" i="11"/>
  <c r="E176" i="11"/>
  <c r="E18" i="11"/>
  <c r="E282" i="11"/>
  <c r="E222" i="11"/>
  <c r="E219" i="11"/>
  <c r="E216" i="11"/>
  <c r="E186" i="11"/>
  <c r="E166" i="11"/>
  <c r="E20" i="11"/>
  <c r="E6" i="11"/>
  <c r="E62" i="11"/>
  <c r="E15" i="11"/>
  <c r="E5" i="11"/>
  <c r="E126" i="11"/>
  <c r="E102" i="11"/>
  <c r="E70" i="11"/>
  <c r="E11" i="11"/>
  <c r="E8" i="11"/>
  <c r="E220" i="11"/>
  <c r="E78" i="11"/>
  <c r="E30" i="11"/>
  <c r="E236" i="11"/>
  <c r="E134" i="11"/>
  <c r="E110" i="11"/>
  <c r="E86" i="11"/>
  <c r="E38" i="11"/>
  <c r="E25" i="11"/>
  <c r="E46" i="11"/>
  <c r="E163" i="11"/>
  <c r="E142" i="11"/>
  <c r="E118" i="11"/>
  <c r="E94" i="11"/>
  <c r="E54" i="11"/>
  <c r="E3" i="11"/>
  <c r="E13" i="11"/>
  <c r="E164" i="11"/>
  <c r="E7" i="11"/>
  <c r="E83" i="11"/>
  <c r="E140" i="11"/>
  <c r="E181" i="11"/>
  <c r="E31" i="11"/>
  <c r="E127" i="11"/>
  <c r="E32" i="11"/>
  <c r="E128" i="11"/>
  <c r="E161" i="11"/>
  <c r="E205" i="11"/>
  <c r="E249" i="11"/>
  <c r="E51" i="11"/>
  <c r="E139" i="11"/>
  <c r="E10" i="11"/>
  <c r="E107" i="11"/>
  <c r="E148" i="11"/>
  <c r="E194" i="11"/>
  <c r="E39" i="11"/>
  <c r="E135" i="11"/>
  <c r="E175" i="11"/>
  <c r="E40" i="11"/>
  <c r="E136" i="11"/>
  <c r="E221" i="11"/>
  <c r="E265" i="11"/>
  <c r="E115" i="11"/>
  <c r="E17" i="11"/>
  <c r="E131" i="11"/>
  <c r="E231" i="11"/>
  <c r="E47" i="11"/>
  <c r="E143" i="11"/>
  <c r="E199" i="11"/>
  <c r="E48" i="11"/>
  <c r="E144" i="11"/>
  <c r="E237" i="11"/>
  <c r="E281" i="11"/>
  <c r="E59" i="11"/>
  <c r="E91" i="11"/>
  <c r="E60" i="11"/>
  <c r="E43" i="11"/>
  <c r="E150" i="11"/>
  <c r="E257" i="11"/>
  <c r="E55" i="11"/>
  <c r="E155" i="11"/>
  <c r="E178" i="11"/>
  <c r="E159" i="11"/>
  <c r="E225" i="11"/>
  <c r="E56" i="11"/>
  <c r="E179" i="11"/>
  <c r="E253" i="11"/>
  <c r="E297" i="11"/>
  <c r="E169" i="11"/>
  <c r="E16" i="11"/>
  <c r="E223" i="11"/>
  <c r="E14" i="11"/>
  <c r="E67" i="11"/>
  <c r="E193" i="11"/>
  <c r="E151" i="11"/>
  <c r="E214" i="11"/>
  <c r="E290" i="11"/>
  <c r="E71" i="11"/>
  <c r="E191" i="11"/>
  <c r="E241" i="11"/>
  <c r="E182" i="11"/>
  <c r="E295" i="11"/>
  <c r="E72" i="11"/>
  <c r="E262" i="11"/>
  <c r="E285" i="11"/>
  <c r="E157" i="11"/>
  <c r="E28" i="11"/>
  <c r="E52" i="11"/>
  <c r="E44" i="11"/>
  <c r="E99" i="11"/>
  <c r="E183" i="11"/>
  <c r="E213" i="11"/>
  <c r="E170" i="11"/>
  <c r="E92" i="11"/>
  <c r="E227" i="11"/>
  <c r="E79" i="11"/>
  <c r="E198" i="11"/>
  <c r="E261" i="11"/>
  <c r="E195" i="11"/>
  <c r="E80" i="11"/>
  <c r="E275" i="11"/>
  <c r="E76" i="11"/>
  <c r="E246" i="11"/>
  <c r="E123" i="11"/>
  <c r="E209" i="11"/>
  <c r="E226" i="11"/>
  <c r="E197" i="11"/>
  <c r="E100" i="11"/>
  <c r="E87" i="11"/>
  <c r="E211" i="11"/>
  <c r="E301" i="11"/>
  <c r="E271" i="11"/>
  <c r="E88" i="11"/>
  <c r="E165" i="11"/>
  <c r="E243" i="11"/>
  <c r="E147" i="11"/>
  <c r="E229" i="11"/>
  <c r="E263" i="11"/>
  <c r="E210" i="11"/>
  <c r="E108" i="11"/>
  <c r="E95" i="11"/>
  <c r="E287" i="11"/>
  <c r="E278" i="11"/>
  <c r="E96" i="11"/>
  <c r="E185" i="11"/>
  <c r="E239" i="11"/>
  <c r="E27" i="11"/>
  <c r="E36" i="11"/>
  <c r="E230" i="11"/>
  <c r="E242" i="11"/>
  <c r="E289" i="11"/>
  <c r="E247" i="11"/>
  <c r="E116" i="11"/>
  <c r="E103" i="11"/>
  <c r="E294" i="11"/>
  <c r="E291" i="11"/>
  <c r="E104" i="11"/>
  <c r="E201" i="11"/>
  <c r="E75" i="11"/>
  <c r="E84" i="11"/>
  <c r="E279" i="11"/>
  <c r="E273" i="11"/>
  <c r="E124" i="11"/>
  <c r="E111" i="11"/>
  <c r="E4" i="11"/>
  <c r="E156" i="11"/>
  <c r="E112" i="11"/>
  <c r="E153" i="11"/>
  <c r="E217" i="11"/>
  <c r="E149" i="11"/>
  <c r="E277" i="11"/>
  <c r="J26" i="12"/>
  <c r="G26" i="12"/>
  <c r="F26" i="12"/>
  <c r="M19" i="10"/>
  <c r="J281" i="10"/>
  <c r="F281" i="10"/>
  <c r="G281" i="10"/>
  <c r="J31" i="10"/>
  <c r="F31" i="10"/>
  <c r="G31" i="10"/>
  <c r="F30" i="10"/>
  <c r="G30" i="10"/>
  <c r="E35" i="11"/>
  <c r="J177" i="10"/>
  <c r="F177" i="10"/>
  <c r="G177" i="10"/>
  <c r="G176" i="10"/>
  <c r="F176" i="10"/>
  <c r="E2" i="11"/>
  <c r="G222" i="12"/>
  <c r="J222" i="12"/>
  <c r="F222" i="12"/>
  <c r="J82" i="12"/>
  <c r="G82" i="12"/>
  <c r="F82" i="12"/>
  <c r="J67" i="12"/>
  <c r="F67" i="12"/>
  <c r="G67" i="12"/>
  <c r="J15" i="12"/>
  <c r="G15" i="12"/>
  <c r="F15" i="12"/>
  <c r="G236" i="12"/>
  <c r="F236" i="12"/>
  <c r="J236" i="12"/>
  <c r="J22" i="12"/>
  <c r="G22" i="12"/>
  <c r="F22" i="12"/>
  <c r="G218" i="12"/>
  <c r="F218" i="12"/>
  <c r="J218" i="12"/>
  <c r="J183" i="12"/>
  <c r="G183" i="12"/>
  <c r="F183" i="12"/>
  <c r="G258" i="12"/>
  <c r="J258" i="12"/>
  <c r="F258" i="12"/>
  <c r="J251" i="12"/>
  <c r="G251" i="12"/>
  <c r="F251" i="12"/>
  <c r="F84" i="12"/>
  <c r="G84" i="12"/>
  <c r="J84" i="12"/>
  <c r="F132" i="12"/>
  <c r="G132" i="12"/>
  <c r="J132" i="12"/>
  <c r="J283" i="12"/>
  <c r="F283" i="12"/>
  <c r="H283" i="12" s="1"/>
  <c r="G283" i="12"/>
  <c r="J292" i="12"/>
  <c r="G292" i="12"/>
  <c r="F292" i="12"/>
  <c r="F100" i="10"/>
  <c r="J207" i="8"/>
  <c r="J279" i="21"/>
  <c r="F279" i="21"/>
  <c r="G279" i="21"/>
  <c r="G277" i="20"/>
  <c r="J277" i="20"/>
  <c r="F277" i="20"/>
  <c r="J20" i="19"/>
  <c r="G20" i="19"/>
  <c r="F20" i="19"/>
  <c r="G231" i="22"/>
  <c r="F231" i="22"/>
  <c r="H231" i="22" s="1"/>
  <c r="J231" i="22"/>
  <c r="J214" i="22"/>
  <c r="G214" i="22"/>
  <c r="F214" i="22"/>
  <c r="G61" i="22"/>
  <c r="F61" i="22"/>
  <c r="J61" i="22"/>
  <c r="J63" i="22"/>
  <c r="G63" i="22"/>
  <c r="F63" i="22"/>
  <c r="G234" i="21"/>
  <c r="F234" i="21"/>
  <c r="J234" i="21"/>
  <c r="G291" i="22"/>
  <c r="J291" i="22"/>
  <c r="F291" i="22"/>
  <c r="H291" i="22" s="1"/>
  <c r="G287" i="22"/>
  <c r="J287" i="22"/>
  <c r="F287" i="22"/>
  <c r="J222" i="22"/>
  <c r="G222" i="22"/>
  <c r="F222" i="22"/>
  <c r="J285" i="22"/>
  <c r="G285" i="22"/>
  <c r="F285" i="22"/>
  <c r="H285" i="22" s="1"/>
  <c r="F114" i="22"/>
  <c r="H114" i="22" s="1"/>
  <c r="J114" i="22"/>
  <c r="G114" i="22"/>
  <c r="G111" i="22"/>
  <c r="J111" i="22"/>
  <c r="F111" i="22"/>
  <c r="G123" i="22"/>
  <c r="J123" i="22"/>
  <c r="F123" i="22"/>
  <c r="H123" i="22" s="1"/>
  <c r="F28" i="22"/>
  <c r="G28" i="22"/>
  <c r="J28" i="22"/>
  <c r="F81" i="22"/>
  <c r="J81" i="22"/>
  <c r="G81" i="22"/>
  <c r="F44" i="22"/>
  <c r="J44" i="22"/>
  <c r="G44" i="22"/>
  <c r="F76" i="22"/>
  <c r="H76" i="22" s="1"/>
  <c r="J76" i="22"/>
  <c r="G76" i="22"/>
  <c r="J22" i="22"/>
  <c r="G22" i="22"/>
  <c r="F22" i="22"/>
  <c r="J39" i="22"/>
  <c r="G39" i="22"/>
  <c r="F39" i="22"/>
  <c r="H39" i="22" s="1"/>
  <c r="J216" i="21"/>
  <c r="G216" i="21"/>
  <c r="F216" i="21"/>
  <c r="F226" i="21"/>
  <c r="J226" i="21"/>
  <c r="G226" i="21"/>
  <c r="J59" i="22"/>
  <c r="G59" i="22"/>
  <c r="F59" i="22"/>
  <c r="H59" i="22" s="1"/>
  <c r="J170" i="22"/>
  <c r="F170" i="22"/>
  <c r="H170" i="22" s="1"/>
  <c r="G170" i="22"/>
  <c r="J158" i="22"/>
  <c r="F158" i="22"/>
  <c r="H158" i="22" s="1"/>
  <c r="G158" i="22"/>
  <c r="F117" i="22"/>
  <c r="H117" i="22" s="1"/>
  <c r="G117" i="22"/>
  <c r="J117" i="22"/>
  <c r="G142" i="22"/>
  <c r="F142" i="22"/>
  <c r="H142" i="22" s="1"/>
  <c r="J142" i="22"/>
  <c r="G260" i="22"/>
  <c r="J260" i="22"/>
  <c r="F260" i="22"/>
  <c r="H260" i="22" s="1"/>
  <c r="G204" i="22"/>
  <c r="F204" i="22"/>
  <c r="J204" i="22"/>
  <c r="J229" i="22"/>
  <c r="G229" i="22"/>
  <c r="F229" i="22"/>
  <c r="J293" i="22"/>
  <c r="G293" i="22"/>
  <c r="F293" i="22"/>
  <c r="G288" i="22"/>
  <c r="J288" i="22"/>
  <c r="F288" i="22"/>
  <c r="F120" i="21"/>
  <c r="G120" i="21"/>
  <c r="J120" i="21"/>
  <c r="J251" i="21"/>
  <c r="G251" i="21"/>
  <c r="F251" i="21"/>
  <c r="G139" i="21"/>
  <c r="F139" i="21"/>
  <c r="J139" i="21"/>
  <c r="G203" i="21"/>
  <c r="F203" i="21"/>
  <c r="J203" i="21"/>
  <c r="J263" i="21"/>
  <c r="G263" i="21"/>
  <c r="F263" i="21"/>
  <c r="J271" i="21"/>
  <c r="G271" i="21"/>
  <c r="F271" i="21"/>
  <c r="J177" i="21"/>
  <c r="G177" i="21"/>
  <c r="F177" i="21"/>
  <c r="F148" i="21"/>
  <c r="J148" i="21"/>
  <c r="G148" i="21"/>
  <c r="J121" i="21"/>
  <c r="G121" i="21"/>
  <c r="F121" i="21"/>
  <c r="G78" i="21"/>
  <c r="F78" i="21"/>
  <c r="J78" i="21"/>
  <c r="J72" i="21"/>
  <c r="F72" i="21"/>
  <c r="G72" i="21"/>
  <c r="J274" i="20"/>
  <c r="F274" i="20"/>
  <c r="G274" i="20"/>
  <c r="G66" i="21"/>
  <c r="F66" i="21"/>
  <c r="J66" i="21"/>
  <c r="J39" i="21"/>
  <c r="G39" i="21"/>
  <c r="F39" i="21"/>
  <c r="J95" i="21"/>
  <c r="G95" i="21"/>
  <c r="F95" i="21"/>
  <c r="J5" i="21"/>
  <c r="G5" i="21"/>
  <c r="F5" i="21"/>
  <c r="F36" i="21"/>
  <c r="J36" i="21"/>
  <c r="G36" i="21"/>
  <c r="F40" i="21"/>
  <c r="G40" i="21"/>
  <c r="J40" i="21"/>
  <c r="J239" i="21"/>
  <c r="G239" i="21"/>
  <c r="F239" i="21"/>
  <c r="J53" i="21"/>
  <c r="G53" i="21"/>
  <c r="F53" i="21"/>
  <c r="G101" i="21"/>
  <c r="F101" i="21"/>
  <c r="J101" i="21"/>
  <c r="F269" i="21"/>
  <c r="J269" i="21"/>
  <c r="G269" i="21"/>
  <c r="F225" i="21"/>
  <c r="G225" i="21"/>
  <c r="J225" i="21"/>
  <c r="J290" i="21"/>
  <c r="G290" i="21"/>
  <c r="F290" i="21"/>
  <c r="J231" i="21"/>
  <c r="G231" i="21"/>
  <c r="F231" i="21"/>
  <c r="G50" i="21"/>
  <c r="F50" i="21"/>
  <c r="J50" i="21"/>
  <c r="J259" i="20"/>
  <c r="G259" i="20"/>
  <c r="F259" i="20"/>
  <c r="H259" i="20" s="1"/>
  <c r="J133" i="20"/>
  <c r="G133" i="20"/>
  <c r="F133" i="20"/>
  <c r="G170" i="20"/>
  <c r="J170" i="20"/>
  <c r="F170" i="20"/>
  <c r="F213" i="20"/>
  <c r="J213" i="20"/>
  <c r="G213" i="20"/>
  <c r="G162" i="20"/>
  <c r="J162" i="20"/>
  <c r="F162" i="20"/>
  <c r="G73" i="20"/>
  <c r="F73" i="20"/>
  <c r="J73" i="20"/>
  <c r="G134" i="20"/>
  <c r="J134" i="20"/>
  <c r="F134" i="20"/>
  <c r="J63" i="20"/>
  <c r="G63" i="20"/>
  <c r="F63" i="20"/>
  <c r="J61" i="20"/>
  <c r="G61" i="20"/>
  <c r="F61" i="20"/>
  <c r="J50" i="20"/>
  <c r="G50" i="20"/>
  <c r="F50" i="20"/>
  <c r="G237" i="19"/>
  <c r="F237" i="19"/>
  <c r="J237" i="19"/>
  <c r="G19" i="20"/>
  <c r="F19" i="20"/>
  <c r="J19" i="20"/>
  <c r="G217" i="19"/>
  <c r="F217" i="19"/>
  <c r="J217" i="19"/>
  <c r="J74" i="20"/>
  <c r="G74" i="20"/>
  <c r="F74" i="20"/>
  <c r="G24" i="20"/>
  <c r="F24" i="20"/>
  <c r="J24" i="20"/>
  <c r="J175" i="20"/>
  <c r="G175" i="20"/>
  <c r="F175" i="20"/>
  <c r="J147" i="20"/>
  <c r="G147" i="20"/>
  <c r="F147" i="20"/>
  <c r="G160" i="20"/>
  <c r="F160" i="20"/>
  <c r="J160" i="20"/>
  <c r="J240" i="20"/>
  <c r="G240" i="20"/>
  <c r="F240" i="20"/>
  <c r="J215" i="20"/>
  <c r="G215" i="20"/>
  <c r="F215" i="20"/>
  <c r="G178" i="20"/>
  <c r="J178" i="20"/>
  <c r="F178" i="20"/>
  <c r="G226" i="20"/>
  <c r="J226" i="20"/>
  <c r="F226" i="20"/>
  <c r="F233" i="20"/>
  <c r="J233" i="20"/>
  <c r="G233" i="20"/>
  <c r="J300" i="20"/>
  <c r="G300" i="20"/>
  <c r="F300" i="20"/>
  <c r="J298" i="19"/>
  <c r="G298" i="19"/>
  <c r="F298" i="19"/>
  <c r="J26" i="20"/>
  <c r="G26" i="20"/>
  <c r="F26" i="20"/>
  <c r="J223" i="19"/>
  <c r="G223" i="19"/>
  <c r="F223" i="19"/>
  <c r="F288" i="19"/>
  <c r="J288" i="19"/>
  <c r="G288" i="19"/>
  <c r="G25" i="20"/>
  <c r="F25" i="20"/>
  <c r="J25" i="20"/>
  <c r="J169" i="19"/>
  <c r="G169" i="19"/>
  <c r="F169" i="19"/>
  <c r="G233" i="19"/>
  <c r="F233" i="19"/>
  <c r="J233" i="19"/>
  <c r="J76" i="20"/>
  <c r="G76" i="20"/>
  <c r="F76" i="20"/>
  <c r="F115" i="19"/>
  <c r="J115" i="19"/>
  <c r="G115" i="19"/>
  <c r="J220" i="19"/>
  <c r="G220" i="19"/>
  <c r="F220" i="19"/>
  <c r="J250" i="19"/>
  <c r="G250" i="19"/>
  <c r="F250" i="19"/>
  <c r="J71" i="19"/>
  <c r="G71" i="19"/>
  <c r="F71" i="19"/>
  <c r="F9" i="20"/>
  <c r="F139" i="19"/>
  <c r="J139" i="19"/>
  <c r="G139" i="19"/>
  <c r="J155" i="19"/>
  <c r="G155" i="19"/>
  <c r="F155" i="19"/>
  <c r="G231" i="18"/>
  <c r="F231" i="18"/>
  <c r="J231" i="18"/>
  <c r="J74" i="19"/>
  <c r="G74" i="19"/>
  <c r="F74" i="19"/>
  <c r="J166" i="19"/>
  <c r="G166" i="19"/>
  <c r="F166" i="19"/>
  <c r="G199" i="18"/>
  <c r="F199" i="18"/>
  <c r="J199" i="18"/>
  <c r="G207" i="18"/>
  <c r="F207" i="18"/>
  <c r="J207" i="18"/>
  <c r="G183" i="18"/>
  <c r="J183" i="18"/>
  <c r="F183" i="18"/>
  <c r="G251" i="18"/>
  <c r="F251" i="18"/>
  <c r="J251" i="18"/>
  <c r="G215" i="18"/>
  <c r="F215" i="18"/>
  <c r="J215" i="18"/>
  <c r="F42" i="19"/>
  <c r="J169" i="18"/>
  <c r="G169" i="18"/>
  <c r="F169" i="18"/>
  <c r="G102" i="19"/>
  <c r="J109" i="18"/>
  <c r="G109" i="18"/>
  <c r="F109" i="18"/>
  <c r="J129" i="18"/>
  <c r="G129" i="18"/>
  <c r="F129" i="18"/>
  <c r="J104" i="18"/>
  <c r="F104" i="18"/>
  <c r="G104" i="18"/>
  <c r="G290" i="17"/>
  <c r="J290" i="17"/>
  <c r="F290" i="17"/>
  <c r="J238" i="17"/>
  <c r="G238" i="17"/>
  <c r="F238" i="17"/>
  <c r="J128" i="18"/>
  <c r="G128" i="18"/>
  <c r="F128" i="18"/>
  <c r="J144" i="18"/>
  <c r="F144" i="18"/>
  <c r="G144" i="18"/>
  <c r="G84" i="17"/>
  <c r="F84" i="17"/>
  <c r="J84" i="17"/>
  <c r="G208" i="17"/>
  <c r="F208" i="17"/>
  <c r="J208" i="17"/>
  <c r="G56" i="18"/>
  <c r="F56" i="18"/>
  <c r="J56" i="18"/>
  <c r="J4" i="18"/>
  <c r="G4" i="18"/>
  <c r="F4" i="18"/>
  <c r="J80" i="18"/>
  <c r="G80" i="18"/>
  <c r="F80" i="18"/>
  <c r="J43" i="18"/>
  <c r="G43" i="18"/>
  <c r="F43" i="18"/>
  <c r="J198" i="18"/>
  <c r="G198" i="18"/>
  <c r="F198" i="18"/>
  <c r="J83" i="18"/>
  <c r="G83" i="18"/>
  <c r="F83" i="18"/>
  <c r="J260" i="18"/>
  <c r="G260" i="18"/>
  <c r="F260" i="18"/>
  <c r="F13" i="18"/>
  <c r="J13" i="18"/>
  <c r="G13" i="18"/>
  <c r="F65" i="18"/>
  <c r="J65" i="18"/>
  <c r="G65" i="18"/>
  <c r="J270" i="18"/>
  <c r="G270" i="18"/>
  <c r="F270" i="18"/>
  <c r="J234" i="18"/>
  <c r="G234" i="18"/>
  <c r="F234" i="18"/>
  <c r="J280" i="18"/>
  <c r="G280" i="18"/>
  <c r="F280" i="18"/>
  <c r="G250" i="18"/>
  <c r="F250" i="18"/>
  <c r="J250" i="18"/>
  <c r="G246" i="17"/>
  <c r="F246" i="17"/>
  <c r="J246" i="17"/>
  <c r="G92" i="17"/>
  <c r="F92" i="17"/>
  <c r="J92" i="17"/>
  <c r="J100" i="18"/>
  <c r="G100" i="18"/>
  <c r="F100" i="18"/>
  <c r="F203" i="17"/>
  <c r="J203" i="17"/>
  <c r="G203" i="17"/>
  <c r="G96" i="17"/>
  <c r="F96" i="17"/>
  <c r="J96" i="17"/>
  <c r="G270" i="17"/>
  <c r="F270" i="17"/>
  <c r="J270" i="17"/>
  <c r="G46" i="20"/>
  <c r="G224" i="17"/>
  <c r="F224" i="17"/>
  <c r="J224" i="17"/>
  <c r="G40" i="18"/>
  <c r="F210" i="17"/>
  <c r="G210" i="17"/>
  <c r="J210" i="17"/>
  <c r="J279" i="17"/>
  <c r="F279" i="17"/>
  <c r="G279" i="17"/>
  <c r="G280" i="16"/>
  <c r="F280" i="16"/>
  <c r="J280" i="16"/>
  <c r="J113" i="17"/>
  <c r="G113" i="17"/>
  <c r="F113" i="17"/>
  <c r="F91" i="17"/>
  <c r="G91" i="17"/>
  <c r="J91" i="17"/>
  <c r="J193" i="17"/>
  <c r="G193" i="17"/>
  <c r="F193" i="17"/>
  <c r="G56" i="17"/>
  <c r="J56" i="17"/>
  <c r="F56" i="17"/>
  <c r="J251" i="16"/>
  <c r="G251" i="16"/>
  <c r="F251" i="16"/>
  <c r="J177" i="16"/>
  <c r="G177" i="16"/>
  <c r="F177" i="16"/>
  <c r="J276" i="16"/>
  <c r="G276" i="16"/>
  <c r="F276" i="16"/>
  <c r="G298" i="16"/>
  <c r="J298" i="16"/>
  <c r="F298" i="16"/>
  <c r="F143" i="16"/>
  <c r="J143" i="16"/>
  <c r="G143" i="16"/>
  <c r="J20" i="17"/>
  <c r="F20" i="17"/>
  <c r="G20" i="17"/>
  <c r="G210" i="16"/>
  <c r="F210" i="16"/>
  <c r="J210" i="16"/>
  <c r="G92" i="16"/>
  <c r="F92" i="16"/>
  <c r="J92" i="16"/>
  <c r="E251" i="15"/>
  <c r="E243" i="15"/>
  <c r="G154" i="16"/>
  <c r="J154" i="16"/>
  <c r="F154" i="16"/>
  <c r="G196" i="16"/>
  <c r="F196" i="16"/>
  <c r="J196" i="16"/>
  <c r="G5" i="16"/>
  <c r="F5" i="16"/>
  <c r="J5" i="16"/>
  <c r="J29" i="17"/>
  <c r="G29" i="17"/>
  <c r="F29" i="17"/>
  <c r="J157" i="17"/>
  <c r="G157" i="17"/>
  <c r="F157" i="17"/>
  <c r="F23" i="17"/>
  <c r="J23" i="17"/>
  <c r="G23" i="17"/>
  <c r="F42" i="17"/>
  <c r="G42" i="17"/>
  <c r="J42" i="17"/>
  <c r="J263" i="17"/>
  <c r="G263" i="17"/>
  <c r="F263" i="17"/>
  <c r="F206" i="17"/>
  <c r="G206" i="17"/>
  <c r="J206" i="17"/>
  <c r="F301" i="17"/>
  <c r="J301" i="17"/>
  <c r="G301" i="17"/>
  <c r="G36" i="16"/>
  <c r="F36" i="16"/>
  <c r="J36" i="16"/>
  <c r="F32" i="16"/>
  <c r="E250" i="15"/>
  <c r="G18" i="16"/>
  <c r="J3" i="16"/>
  <c r="G3" i="16"/>
  <c r="F3" i="16"/>
  <c r="F2" i="16"/>
  <c r="J2" i="16"/>
  <c r="G2" i="16"/>
  <c r="J73" i="16"/>
  <c r="G73" i="16"/>
  <c r="F73" i="16"/>
  <c r="J69" i="16"/>
  <c r="G69" i="16"/>
  <c r="F69" i="16"/>
  <c r="J249" i="16"/>
  <c r="G249" i="16"/>
  <c r="F249" i="16"/>
  <c r="F31" i="16"/>
  <c r="J31" i="16"/>
  <c r="G31" i="16"/>
  <c r="F79" i="16"/>
  <c r="J79" i="16"/>
  <c r="G79" i="16"/>
  <c r="J221" i="16"/>
  <c r="G221" i="16"/>
  <c r="F221" i="16"/>
  <c r="F163" i="16"/>
  <c r="J163" i="16"/>
  <c r="G163" i="16"/>
  <c r="F211" i="16"/>
  <c r="J211" i="16"/>
  <c r="G211" i="16"/>
  <c r="E26" i="15"/>
  <c r="E58" i="15"/>
  <c r="F30" i="16"/>
  <c r="E120" i="15"/>
  <c r="E76" i="15"/>
  <c r="J273" i="14"/>
  <c r="G273" i="14"/>
  <c r="F273" i="14"/>
  <c r="E44" i="15"/>
  <c r="E51" i="15"/>
  <c r="J195" i="13"/>
  <c r="F195" i="13"/>
  <c r="G195" i="13"/>
  <c r="J142" i="13"/>
  <c r="G142" i="13"/>
  <c r="F142" i="13"/>
  <c r="G141" i="13"/>
  <c r="F141" i="13"/>
  <c r="F158" i="10"/>
  <c r="G218" i="10"/>
  <c r="F115" i="10"/>
  <c r="J115" i="10"/>
  <c r="G115" i="10"/>
  <c r="G17" i="10"/>
  <c r="F5" i="10"/>
  <c r="J277" i="9"/>
  <c r="F277" i="9"/>
  <c r="J113" i="9"/>
  <c r="G113" i="9"/>
  <c r="F113" i="9"/>
  <c r="G112" i="9"/>
  <c r="J263" i="8"/>
  <c r="G263" i="8"/>
  <c r="F263" i="8"/>
  <c r="J119" i="8"/>
  <c r="G119" i="8"/>
  <c r="F119" i="8"/>
  <c r="J223" i="7"/>
  <c r="J75" i="7"/>
  <c r="J227" i="22"/>
  <c r="G227" i="22"/>
  <c r="F227" i="22"/>
  <c r="H227" i="22" s="1"/>
  <c r="F284" i="21"/>
  <c r="J284" i="21"/>
  <c r="G284" i="21"/>
  <c r="J98" i="21"/>
  <c r="G98" i="21"/>
  <c r="F98" i="21"/>
  <c r="G295" i="22"/>
  <c r="J295" i="22"/>
  <c r="F295" i="22"/>
  <c r="H295" i="22" s="1"/>
  <c r="J255" i="22"/>
  <c r="G255" i="22"/>
  <c r="F255" i="22"/>
  <c r="J189" i="22"/>
  <c r="G189" i="22"/>
  <c r="F189" i="22"/>
  <c r="G107" i="22"/>
  <c r="F107" i="22"/>
  <c r="H107" i="22" s="1"/>
  <c r="J107" i="22"/>
  <c r="J132" i="22"/>
  <c r="F132" i="22"/>
  <c r="H132" i="22" s="1"/>
  <c r="G132" i="22"/>
  <c r="G279" i="22"/>
  <c r="F279" i="22"/>
  <c r="H279" i="22" s="1"/>
  <c r="J279" i="22"/>
  <c r="J207" i="22"/>
  <c r="G207" i="22"/>
  <c r="F207" i="22"/>
  <c r="H207" i="22" s="1"/>
  <c r="F102" i="22"/>
  <c r="G102" i="22"/>
  <c r="J102" i="22"/>
  <c r="J202" i="22"/>
  <c r="F202" i="22"/>
  <c r="H202" i="22" s="1"/>
  <c r="G202" i="22"/>
  <c r="F56" i="22"/>
  <c r="J56" i="22"/>
  <c r="G56" i="22"/>
  <c r="J228" i="21"/>
  <c r="G228" i="21"/>
  <c r="F228" i="21"/>
  <c r="G263" i="22"/>
  <c r="F263" i="22"/>
  <c r="H263" i="22" s="1"/>
  <c r="J263" i="22"/>
  <c r="G271" i="22"/>
  <c r="J271" i="22"/>
  <c r="F271" i="22"/>
  <c r="H271" i="22" s="1"/>
  <c r="F183" i="22"/>
  <c r="G183" i="22"/>
  <c r="J183" i="22"/>
  <c r="J206" i="22"/>
  <c r="F206" i="22"/>
  <c r="H206" i="22" s="1"/>
  <c r="G206" i="22"/>
  <c r="J193" i="22"/>
  <c r="G193" i="22"/>
  <c r="F193" i="22"/>
  <c r="H193" i="22" s="1"/>
  <c r="F90" i="22"/>
  <c r="H90" i="22" s="1"/>
  <c r="J90" i="22"/>
  <c r="G90" i="22"/>
  <c r="J144" i="22"/>
  <c r="F144" i="22"/>
  <c r="H144" i="22" s="1"/>
  <c r="G144" i="22"/>
  <c r="G95" i="22"/>
  <c r="J95" i="22"/>
  <c r="F95" i="22"/>
  <c r="H95" i="22" s="1"/>
  <c r="F106" i="22"/>
  <c r="H106" i="22" s="1"/>
  <c r="J106" i="22"/>
  <c r="G106" i="22"/>
  <c r="F118" i="22"/>
  <c r="H118" i="22" s="1"/>
  <c r="J118" i="22"/>
  <c r="G118" i="22"/>
  <c r="G25" i="22"/>
  <c r="F25" i="22"/>
  <c r="J25" i="22"/>
  <c r="F64" i="22"/>
  <c r="H64" i="22" s="1"/>
  <c r="J64" i="22"/>
  <c r="G64" i="22"/>
  <c r="F32" i="22"/>
  <c r="J32" i="22"/>
  <c r="G32" i="22"/>
  <c r="G41" i="22"/>
  <c r="F41" i="22"/>
  <c r="J41" i="22"/>
  <c r="F280" i="21"/>
  <c r="J280" i="21"/>
  <c r="G280" i="21"/>
  <c r="F218" i="21"/>
  <c r="G218" i="21"/>
  <c r="J218" i="21"/>
  <c r="G274" i="21"/>
  <c r="F274" i="21"/>
  <c r="J274" i="21"/>
  <c r="J204" i="21"/>
  <c r="G204" i="21"/>
  <c r="F204" i="21"/>
  <c r="J92" i="22"/>
  <c r="G92" i="22"/>
  <c r="F92" i="22"/>
  <c r="F137" i="22"/>
  <c r="J137" i="22"/>
  <c r="G137" i="22"/>
  <c r="J182" i="22"/>
  <c r="F182" i="22"/>
  <c r="H182" i="22" s="1"/>
  <c r="G182" i="22"/>
  <c r="F133" i="22"/>
  <c r="G133" i="22"/>
  <c r="J133" i="22"/>
  <c r="G149" i="22"/>
  <c r="F149" i="22"/>
  <c r="J149" i="22"/>
  <c r="J262" i="22"/>
  <c r="G262" i="22"/>
  <c r="F262" i="22"/>
  <c r="J209" i="22"/>
  <c r="G209" i="22"/>
  <c r="F209" i="22"/>
  <c r="G196" i="22"/>
  <c r="J196" i="22"/>
  <c r="F196" i="22"/>
  <c r="H196" i="22" s="1"/>
  <c r="G236" i="22"/>
  <c r="F236" i="22"/>
  <c r="H236" i="22" s="1"/>
  <c r="J236" i="22"/>
  <c r="J290" i="22"/>
  <c r="G290" i="22"/>
  <c r="F290" i="22"/>
  <c r="F124" i="21"/>
  <c r="J124" i="21"/>
  <c r="G124" i="21"/>
  <c r="J247" i="21"/>
  <c r="F247" i="21"/>
  <c r="G247" i="21"/>
  <c r="J223" i="21"/>
  <c r="G223" i="21"/>
  <c r="F223" i="21"/>
  <c r="G118" i="21"/>
  <c r="F118" i="21"/>
  <c r="J118" i="21"/>
  <c r="J198" i="21"/>
  <c r="G198" i="21"/>
  <c r="F198" i="21"/>
  <c r="J259" i="21"/>
  <c r="G259" i="21"/>
  <c r="F259" i="21"/>
  <c r="J217" i="21"/>
  <c r="G217" i="21"/>
  <c r="F217" i="21"/>
  <c r="J173" i="21"/>
  <c r="G173" i="21"/>
  <c r="F173" i="21"/>
  <c r="J90" i="21"/>
  <c r="G90" i="21"/>
  <c r="F90" i="21"/>
  <c r="J76" i="21"/>
  <c r="G76" i="21"/>
  <c r="F76" i="21"/>
  <c r="G70" i="21"/>
  <c r="F70" i="21"/>
  <c r="J70" i="21"/>
  <c r="J129" i="21"/>
  <c r="G129" i="21"/>
  <c r="F129" i="21"/>
  <c r="J43" i="21"/>
  <c r="G43" i="21"/>
  <c r="F43" i="21"/>
  <c r="J26" i="21"/>
  <c r="G26" i="21"/>
  <c r="F26" i="21"/>
  <c r="F52" i="21"/>
  <c r="J52" i="21"/>
  <c r="G52" i="21"/>
  <c r="J11" i="21"/>
  <c r="G11" i="21"/>
  <c r="F11" i="21"/>
  <c r="G46" i="21"/>
  <c r="F46" i="21"/>
  <c r="J46" i="21"/>
  <c r="J47" i="21"/>
  <c r="G47" i="21"/>
  <c r="F47" i="21"/>
  <c r="J113" i="21"/>
  <c r="G113" i="21"/>
  <c r="F113" i="21"/>
  <c r="J57" i="21"/>
  <c r="G57" i="21"/>
  <c r="F57" i="21"/>
  <c r="G141" i="21"/>
  <c r="F141" i="21"/>
  <c r="J141" i="21"/>
  <c r="F281" i="21"/>
  <c r="G281" i="21"/>
  <c r="J281" i="21"/>
  <c r="G227" i="21"/>
  <c r="F227" i="21"/>
  <c r="J227" i="21"/>
  <c r="F296" i="21"/>
  <c r="J296" i="21"/>
  <c r="G296" i="21"/>
  <c r="F18" i="21"/>
  <c r="G18" i="21"/>
  <c r="J18" i="21"/>
  <c r="G301" i="20"/>
  <c r="J301" i="20"/>
  <c r="F301" i="20"/>
  <c r="F205" i="20"/>
  <c r="J205" i="20"/>
  <c r="G205" i="20"/>
  <c r="J145" i="20"/>
  <c r="G145" i="20"/>
  <c r="F145" i="20"/>
  <c r="F197" i="20"/>
  <c r="J197" i="20"/>
  <c r="G197" i="20"/>
  <c r="J156" i="20"/>
  <c r="G156" i="20"/>
  <c r="F156" i="20"/>
  <c r="G65" i="20"/>
  <c r="F65" i="20"/>
  <c r="J65" i="20"/>
  <c r="G132" i="20"/>
  <c r="F132" i="20"/>
  <c r="J132" i="20"/>
  <c r="G41" i="20"/>
  <c r="F41" i="20"/>
  <c r="J41" i="20"/>
  <c r="F235" i="19"/>
  <c r="J235" i="19"/>
  <c r="G235" i="19"/>
  <c r="J15" i="20"/>
  <c r="G15" i="20"/>
  <c r="F15" i="20"/>
  <c r="J64" i="20"/>
  <c r="G64" i="20"/>
  <c r="F64" i="20"/>
  <c r="G108" i="20"/>
  <c r="F108" i="20"/>
  <c r="J108" i="20"/>
  <c r="J184" i="20"/>
  <c r="G184" i="20"/>
  <c r="F184" i="20"/>
  <c r="G150" i="20"/>
  <c r="J150" i="20"/>
  <c r="F150" i="20"/>
  <c r="J163" i="20"/>
  <c r="G163" i="20"/>
  <c r="F163" i="20"/>
  <c r="J280" i="20"/>
  <c r="G280" i="20"/>
  <c r="F280" i="20"/>
  <c r="J219" i="20"/>
  <c r="G219" i="20"/>
  <c r="F219" i="20"/>
  <c r="G182" i="20"/>
  <c r="J182" i="20"/>
  <c r="F182" i="20"/>
  <c r="G230" i="20"/>
  <c r="J230" i="20"/>
  <c r="F230" i="20"/>
  <c r="F237" i="20"/>
  <c r="J237" i="20"/>
  <c r="G237" i="20"/>
  <c r="J295" i="19"/>
  <c r="F295" i="19"/>
  <c r="G295" i="19"/>
  <c r="G211" i="19"/>
  <c r="F211" i="19"/>
  <c r="J211" i="19"/>
  <c r="F255" i="19"/>
  <c r="J255" i="19"/>
  <c r="G255" i="19"/>
  <c r="F283" i="19"/>
  <c r="J283" i="19"/>
  <c r="G283" i="19"/>
  <c r="G13" i="20"/>
  <c r="F13" i="20"/>
  <c r="J13" i="20"/>
  <c r="G285" i="19"/>
  <c r="F285" i="19"/>
  <c r="J285" i="19"/>
  <c r="J21" i="20"/>
  <c r="G21" i="20"/>
  <c r="F21" i="20"/>
  <c r="J38" i="20"/>
  <c r="G38" i="20"/>
  <c r="F38" i="20"/>
  <c r="F231" i="19"/>
  <c r="J231" i="19"/>
  <c r="G231" i="19"/>
  <c r="G37" i="20"/>
  <c r="F37" i="20"/>
  <c r="J37" i="20"/>
  <c r="J108" i="19"/>
  <c r="F108" i="19"/>
  <c r="G108" i="19"/>
  <c r="F276" i="19"/>
  <c r="J276" i="19"/>
  <c r="G276" i="19"/>
  <c r="F80" i="19"/>
  <c r="J80" i="19"/>
  <c r="G80" i="19"/>
  <c r="J172" i="19"/>
  <c r="G172" i="19"/>
  <c r="F172" i="19"/>
  <c r="J162" i="19"/>
  <c r="G162" i="19"/>
  <c r="F162" i="19"/>
  <c r="J132" i="19"/>
  <c r="G132" i="19"/>
  <c r="F132" i="19"/>
  <c r="G9" i="20"/>
  <c r="J258" i="19"/>
  <c r="F258" i="19"/>
  <c r="G258" i="19"/>
  <c r="G129" i="19"/>
  <c r="F129" i="19"/>
  <c r="J129" i="19"/>
  <c r="G141" i="19"/>
  <c r="F141" i="19"/>
  <c r="J141" i="19"/>
  <c r="J136" i="19"/>
  <c r="G136" i="19"/>
  <c r="F136" i="19"/>
  <c r="G16" i="19"/>
  <c r="F16" i="19"/>
  <c r="J16" i="19"/>
  <c r="J86" i="19"/>
  <c r="G86" i="19"/>
  <c r="F86" i="19"/>
  <c r="J202" i="19"/>
  <c r="G202" i="19"/>
  <c r="F202" i="19"/>
  <c r="J262" i="19"/>
  <c r="F262" i="19"/>
  <c r="G262" i="19"/>
  <c r="G179" i="18"/>
  <c r="F179" i="18"/>
  <c r="J179" i="18"/>
  <c r="G191" i="18"/>
  <c r="F191" i="18"/>
  <c r="J191" i="18"/>
  <c r="G219" i="18"/>
  <c r="F219" i="18"/>
  <c r="J219" i="18"/>
  <c r="G94" i="19"/>
  <c r="G42" i="19"/>
  <c r="G211" i="18"/>
  <c r="F211" i="18"/>
  <c r="J211" i="18"/>
  <c r="F57" i="19"/>
  <c r="H57" i="19" s="1"/>
  <c r="G125" i="18"/>
  <c r="F125" i="18"/>
  <c r="J125" i="18"/>
  <c r="J300" i="18"/>
  <c r="G300" i="18"/>
  <c r="F300" i="18"/>
  <c r="G86" i="18"/>
  <c r="F86" i="18"/>
  <c r="J86" i="18"/>
  <c r="G286" i="17"/>
  <c r="J286" i="17"/>
  <c r="F286" i="17"/>
  <c r="J102" i="18"/>
  <c r="G102" i="18"/>
  <c r="F102" i="18"/>
  <c r="G254" i="17"/>
  <c r="J254" i="17"/>
  <c r="F254" i="17"/>
  <c r="G136" i="18"/>
  <c r="F136" i="18"/>
  <c r="J136" i="18"/>
  <c r="F71" i="17"/>
  <c r="J71" i="17"/>
  <c r="G71" i="17"/>
  <c r="F195" i="17"/>
  <c r="G195" i="17"/>
  <c r="J195" i="17"/>
  <c r="G30" i="18"/>
  <c r="J30" i="18"/>
  <c r="F30" i="18"/>
  <c r="G20" i="18"/>
  <c r="F20" i="18"/>
  <c r="J20" i="18"/>
  <c r="J59" i="18"/>
  <c r="G59" i="18"/>
  <c r="F59" i="18"/>
  <c r="J47" i="18"/>
  <c r="G47" i="18"/>
  <c r="F47" i="18"/>
  <c r="J201" i="18"/>
  <c r="F201" i="18"/>
  <c r="G201" i="18"/>
  <c r="J87" i="18"/>
  <c r="G87" i="18"/>
  <c r="F87" i="18"/>
  <c r="G168" i="18"/>
  <c r="F168" i="18"/>
  <c r="J168" i="18"/>
  <c r="F19" i="18"/>
  <c r="J19" i="18"/>
  <c r="G19" i="18"/>
  <c r="F69" i="18"/>
  <c r="J69" i="18"/>
  <c r="G69" i="18"/>
  <c r="J274" i="18"/>
  <c r="G274" i="18"/>
  <c r="F274" i="18"/>
  <c r="J257" i="18"/>
  <c r="G257" i="18"/>
  <c r="F257" i="18"/>
  <c r="J290" i="18"/>
  <c r="G290" i="18"/>
  <c r="F290" i="18"/>
  <c r="J273" i="18"/>
  <c r="G273" i="18"/>
  <c r="F273" i="18"/>
  <c r="F223" i="17"/>
  <c r="J223" i="17"/>
  <c r="G223" i="17"/>
  <c r="G76" i="17"/>
  <c r="J76" i="17"/>
  <c r="F76" i="17"/>
  <c r="J64" i="18"/>
  <c r="G64" i="18"/>
  <c r="F64" i="18"/>
  <c r="G192" i="17"/>
  <c r="F192" i="17"/>
  <c r="J192" i="17"/>
  <c r="F79" i="17"/>
  <c r="J79" i="17"/>
  <c r="G79" i="17"/>
  <c r="F211" i="17"/>
  <c r="G211" i="17"/>
  <c r="J211" i="17"/>
  <c r="F15" i="18"/>
  <c r="J292" i="16"/>
  <c r="G292" i="16"/>
  <c r="F292" i="16"/>
  <c r="F191" i="17"/>
  <c r="J191" i="17"/>
  <c r="G191" i="17"/>
  <c r="J263" i="16"/>
  <c r="F263" i="16"/>
  <c r="G263" i="16"/>
  <c r="F47" i="17"/>
  <c r="G47" i="17"/>
  <c r="J47" i="17"/>
  <c r="F222" i="17"/>
  <c r="J222" i="17"/>
  <c r="G222" i="17"/>
  <c r="G278" i="16"/>
  <c r="F278" i="16"/>
  <c r="J278" i="16"/>
  <c r="G46" i="18"/>
  <c r="F95" i="17"/>
  <c r="J95" i="17"/>
  <c r="G95" i="17"/>
  <c r="G68" i="17"/>
  <c r="J68" i="17"/>
  <c r="F68" i="17"/>
  <c r="J217" i="17"/>
  <c r="G217" i="17"/>
  <c r="F217" i="17"/>
  <c r="J7" i="17"/>
  <c r="G7" i="17"/>
  <c r="F7" i="17"/>
  <c r="J149" i="17"/>
  <c r="G149" i="17"/>
  <c r="F149" i="17"/>
  <c r="J45" i="17"/>
  <c r="G45" i="17"/>
  <c r="F45" i="17"/>
  <c r="G128" i="17"/>
  <c r="F128" i="17"/>
  <c r="J128" i="17"/>
  <c r="F118" i="17"/>
  <c r="J118" i="17"/>
  <c r="G118" i="17"/>
  <c r="J153" i="16"/>
  <c r="G153" i="16"/>
  <c r="F153" i="16"/>
  <c r="G250" i="16"/>
  <c r="J250" i="16"/>
  <c r="F250" i="16"/>
  <c r="G246" i="16"/>
  <c r="J246" i="16"/>
  <c r="F246" i="16"/>
  <c r="G294" i="16"/>
  <c r="J294" i="16"/>
  <c r="F294" i="16"/>
  <c r="J141" i="16"/>
  <c r="F141" i="16"/>
  <c r="G141" i="16"/>
  <c r="J137" i="16"/>
  <c r="G137" i="16"/>
  <c r="F137" i="16"/>
  <c r="E255" i="15"/>
  <c r="E247" i="15"/>
  <c r="E227" i="15"/>
  <c r="F139" i="16"/>
  <c r="J139" i="16"/>
  <c r="G139" i="16"/>
  <c r="J81" i="17"/>
  <c r="G81" i="17"/>
  <c r="F81" i="17"/>
  <c r="G25" i="17"/>
  <c r="J25" i="17"/>
  <c r="F25" i="17"/>
  <c r="J41" i="17"/>
  <c r="G41" i="17"/>
  <c r="F41" i="17"/>
  <c r="J105" i="17"/>
  <c r="G105" i="17"/>
  <c r="F105" i="17"/>
  <c r="J272" i="17"/>
  <c r="F272" i="17"/>
  <c r="G272" i="17"/>
  <c r="F230" i="17"/>
  <c r="H230" i="17" s="1"/>
  <c r="G230" i="17"/>
  <c r="J230" i="17"/>
  <c r="J275" i="16"/>
  <c r="G275" i="16"/>
  <c r="F275" i="16"/>
  <c r="E66" i="15"/>
  <c r="G32" i="16"/>
  <c r="E239" i="15"/>
  <c r="E158" i="15"/>
  <c r="E244" i="15"/>
  <c r="J21" i="16"/>
  <c r="G21" i="16"/>
  <c r="F21" i="16"/>
  <c r="J9" i="16"/>
  <c r="G9" i="16"/>
  <c r="F9" i="16"/>
  <c r="J89" i="16"/>
  <c r="J85" i="16"/>
  <c r="G85" i="16"/>
  <c r="F85" i="16"/>
  <c r="G76" i="16"/>
  <c r="F76" i="16"/>
  <c r="J76" i="16"/>
  <c r="F35" i="16"/>
  <c r="J35" i="16"/>
  <c r="G35" i="16"/>
  <c r="F83" i="16"/>
  <c r="J83" i="16"/>
  <c r="G83" i="16"/>
  <c r="J237" i="16"/>
  <c r="G237" i="16"/>
  <c r="F237" i="16"/>
  <c r="F167" i="16"/>
  <c r="J167" i="16"/>
  <c r="G167" i="16"/>
  <c r="F215" i="16"/>
  <c r="J215" i="16"/>
  <c r="G215" i="16"/>
  <c r="E296" i="15"/>
  <c r="E42" i="15"/>
  <c r="G30" i="16"/>
  <c r="E98" i="15"/>
  <c r="E74" i="15"/>
  <c r="J277" i="14"/>
  <c r="G277" i="14"/>
  <c r="F277" i="14"/>
  <c r="J264" i="14"/>
  <c r="G264" i="14"/>
  <c r="F264" i="14"/>
  <c r="G97" i="14"/>
  <c r="J97" i="14"/>
  <c r="F97" i="14"/>
  <c r="J90" i="14"/>
  <c r="G90" i="14"/>
  <c r="F90" i="14"/>
  <c r="J134" i="14"/>
  <c r="G134" i="14"/>
  <c r="F134" i="14"/>
  <c r="J209" i="14"/>
  <c r="F209" i="14"/>
  <c r="G209" i="14"/>
  <c r="G298" i="13"/>
  <c r="F298" i="13"/>
  <c r="J298" i="13"/>
  <c r="G190" i="13"/>
  <c r="F190" i="13"/>
  <c r="J190" i="13"/>
  <c r="J283" i="13"/>
  <c r="F283" i="13"/>
  <c r="G283" i="13"/>
  <c r="J183" i="13"/>
  <c r="F183" i="13"/>
  <c r="G183" i="13"/>
  <c r="G182" i="13"/>
  <c r="F182" i="13"/>
  <c r="J295" i="13"/>
  <c r="F295" i="13"/>
  <c r="G295" i="13"/>
  <c r="G286" i="13"/>
  <c r="F286" i="13"/>
  <c r="J286" i="13"/>
  <c r="G210" i="13"/>
  <c r="F210" i="13"/>
  <c r="J210" i="13"/>
  <c r="J217" i="12"/>
  <c r="G217" i="12"/>
  <c r="F217" i="12"/>
  <c r="J219" i="13"/>
  <c r="F219" i="13"/>
  <c r="G219" i="13"/>
  <c r="G81" i="12"/>
  <c r="F81" i="12"/>
  <c r="J81" i="12"/>
  <c r="E245" i="11"/>
  <c r="E293" i="11"/>
  <c r="G3" i="10"/>
  <c r="G220" i="10"/>
  <c r="F220" i="10"/>
  <c r="J220" i="10"/>
  <c r="G110" i="10"/>
  <c r="G49" i="10"/>
  <c r="G259" i="10"/>
  <c r="F78" i="10"/>
  <c r="G197" i="10"/>
  <c r="F151" i="10"/>
  <c r="G129" i="10"/>
  <c r="J297" i="7"/>
  <c r="G297" i="20"/>
  <c r="J297" i="20"/>
  <c r="F297" i="20"/>
  <c r="J24" i="19"/>
  <c r="G24" i="19"/>
  <c r="F24" i="19"/>
  <c r="J237" i="22"/>
  <c r="G237" i="22"/>
  <c r="F237" i="22"/>
  <c r="J165" i="22"/>
  <c r="G165" i="22"/>
  <c r="F165" i="22"/>
  <c r="H165" i="22" s="1"/>
  <c r="J297" i="22"/>
  <c r="G297" i="22"/>
  <c r="F297" i="22"/>
  <c r="H297" i="22" s="1"/>
  <c r="J116" i="22"/>
  <c r="F116" i="22"/>
  <c r="H116" i="22" s="1"/>
  <c r="G116" i="22"/>
  <c r="F121" i="22"/>
  <c r="J121" i="22"/>
  <c r="G121" i="22"/>
  <c r="F230" i="21"/>
  <c r="J230" i="21"/>
  <c r="G230" i="21"/>
  <c r="G275" i="22"/>
  <c r="J275" i="22"/>
  <c r="F275" i="22"/>
  <c r="H275" i="22" s="1"/>
  <c r="J247" i="22"/>
  <c r="G247" i="22"/>
  <c r="F247" i="22"/>
  <c r="H247" i="22" s="1"/>
  <c r="G203" i="22"/>
  <c r="F203" i="22"/>
  <c r="H203" i="22" s="1"/>
  <c r="J203" i="22"/>
  <c r="J241" i="22"/>
  <c r="G241" i="22"/>
  <c r="F241" i="22"/>
  <c r="J139" i="22"/>
  <c r="G139" i="22"/>
  <c r="F139" i="22"/>
  <c r="H139" i="22" s="1"/>
  <c r="J127" i="22"/>
  <c r="G127" i="22"/>
  <c r="F127" i="22"/>
  <c r="J249" i="22"/>
  <c r="G249" i="22"/>
  <c r="F249" i="22"/>
  <c r="G91" i="22"/>
  <c r="J91" i="22"/>
  <c r="F91" i="22"/>
  <c r="H91" i="22" s="1"/>
  <c r="G87" i="22"/>
  <c r="J87" i="22"/>
  <c r="F87" i="22"/>
  <c r="G23" i="22"/>
  <c r="F23" i="22"/>
  <c r="H23" i="22" s="1"/>
  <c r="J23" i="22"/>
  <c r="F48" i="22"/>
  <c r="J48" i="22"/>
  <c r="G48" i="22"/>
  <c r="J128" i="22"/>
  <c r="F128" i="22"/>
  <c r="H128" i="22" s="1"/>
  <c r="G128" i="22"/>
  <c r="J298" i="21"/>
  <c r="G298" i="21"/>
  <c r="F298" i="21"/>
  <c r="G266" i="21"/>
  <c r="F266" i="21"/>
  <c r="J266" i="21"/>
  <c r="F272" i="21"/>
  <c r="J272" i="21"/>
  <c r="G272" i="21"/>
  <c r="J47" i="22"/>
  <c r="G47" i="22"/>
  <c r="F47" i="22"/>
  <c r="J51" i="22"/>
  <c r="G51" i="22"/>
  <c r="F51" i="22"/>
  <c r="H51" i="22" s="1"/>
  <c r="J38" i="22"/>
  <c r="G38" i="22"/>
  <c r="F38" i="22"/>
  <c r="J58" i="22"/>
  <c r="G58" i="22"/>
  <c r="F58" i="22"/>
  <c r="J194" i="22"/>
  <c r="F194" i="22"/>
  <c r="G194" i="22"/>
  <c r="J150" i="22"/>
  <c r="F150" i="22"/>
  <c r="H150" i="22" s="1"/>
  <c r="G150" i="22"/>
  <c r="J152" i="22"/>
  <c r="G152" i="22"/>
  <c r="F152" i="22"/>
  <c r="G276" i="22"/>
  <c r="J276" i="22"/>
  <c r="F276" i="22"/>
  <c r="H276" i="22" s="1"/>
  <c r="J234" i="22"/>
  <c r="G234" i="22"/>
  <c r="F234" i="22"/>
  <c r="G244" i="22"/>
  <c r="J244" i="22"/>
  <c r="F244" i="22"/>
  <c r="H244" i="22" s="1"/>
  <c r="G208" i="22"/>
  <c r="F208" i="22"/>
  <c r="J208" i="22"/>
  <c r="F210" i="21"/>
  <c r="J210" i="21"/>
  <c r="G210" i="21"/>
  <c r="F229" i="21"/>
  <c r="J229" i="21"/>
  <c r="G229" i="21"/>
  <c r="G180" i="21"/>
  <c r="F180" i="21"/>
  <c r="J180" i="21"/>
  <c r="F199" i="21"/>
  <c r="J199" i="21"/>
  <c r="G199" i="21"/>
  <c r="J193" i="21"/>
  <c r="G193" i="21"/>
  <c r="F193" i="21"/>
  <c r="G188" i="21"/>
  <c r="F188" i="21"/>
  <c r="J188" i="21"/>
  <c r="J202" i="21"/>
  <c r="G202" i="21"/>
  <c r="F202" i="21"/>
  <c r="G168" i="21"/>
  <c r="F168" i="21"/>
  <c r="J168" i="21"/>
  <c r="J86" i="21"/>
  <c r="G86" i="21"/>
  <c r="F86" i="21"/>
  <c r="J161" i="21"/>
  <c r="F161" i="21"/>
  <c r="G161" i="21"/>
  <c r="F68" i="21"/>
  <c r="J68" i="21"/>
  <c r="G68" i="21"/>
  <c r="J100" i="21"/>
  <c r="G100" i="21"/>
  <c r="F100" i="21"/>
  <c r="J31" i="21"/>
  <c r="G31" i="21"/>
  <c r="F31" i="21"/>
  <c r="J16" i="21"/>
  <c r="G16" i="21"/>
  <c r="F16" i="21"/>
  <c r="G34" i="21"/>
  <c r="F34" i="21"/>
  <c r="J34" i="21"/>
  <c r="J17" i="21"/>
  <c r="G17" i="21"/>
  <c r="F17" i="21"/>
  <c r="F48" i="21"/>
  <c r="J48" i="21"/>
  <c r="G48" i="21"/>
  <c r="G54" i="21"/>
  <c r="F54" i="21"/>
  <c r="J54" i="21"/>
  <c r="J235" i="21"/>
  <c r="G235" i="21"/>
  <c r="F235" i="21"/>
  <c r="J61" i="21"/>
  <c r="G61" i="21"/>
  <c r="F61" i="21"/>
  <c r="G149" i="21"/>
  <c r="F149" i="21"/>
  <c r="J149" i="21"/>
  <c r="J295" i="21"/>
  <c r="G295" i="21"/>
  <c r="F295" i="21"/>
  <c r="F249" i="21"/>
  <c r="G249" i="21"/>
  <c r="J249" i="21"/>
  <c r="F300" i="21"/>
  <c r="G300" i="21"/>
  <c r="J300" i="21"/>
  <c r="F25" i="21"/>
  <c r="H25" i="21" s="1"/>
  <c r="G4" i="21"/>
  <c r="G293" i="20"/>
  <c r="J293" i="20"/>
  <c r="F293" i="20"/>
  <c r="J141" i="20"/>
  <c r="G141" i="20"/>
  <c r="F141" i="20"/>
  <c r="J271" i="20"/>
  <c r="G271" i="20"/>
  <c r="F271" i="20"/>
  <c r="F181" i="20"/>
  <c r="J181" i="20"/>
  <c r="G181" i="20"/>
  <c r="J131" i="20"/>
  <c r="G131" i="20"/>
  <c r="F131" i="20"/>
  <c r="J139" i="20"/>
  <c r="F139" i="20"/>
  <c r="G139" i="20"/>
  <c r="J159" i="20"/>
  <c r="G159" i="20"/>
  <c r="F159" i="20"/>
  <c r="J127" i="20"/>
  <c r="G127" i="20"/>
  <c r="F127" i="20"/>
  <c r="J228" i="19"/>
  <c r="F228" i="19"/>
  <c r="G228" i="19"/>
  <c r="F267" i="19"/>
  <c r="G267" i="19"/>
  <c r="J267" i="19"/>
  <c r="G102" i="20"/>
  <c r="J102" i="20"/>
  <c r="F102" i="20"/>
  <c r="G207" i="19"/>
  <c r="F207" i="19"/>
  <c r="J207" i="19"/>
  <c r="G49" i="20"/>
  <c r="F49" i="20"/>
  <c r="J49" i="20"/>
  <c r="F52" i="20"/>
  <c r="J52" i="20"/>
  <c r="G52" i="20"/>
  <c r="J200" i="20"/>
  <c r="G200" i="20"/>
  <c r="F200" i="20"/>
  <c r="J168" i="20"/>
  <c r="G168" i="20"/>
  <c r="F168" i="20"/>
  <c r="J180" i="20"/>
  <c r="G180" i="20"/>
  <c r="F180" i="20"/>
  <c r="G243" i="20"/>
  <c r="F243" i="20"/>
  <c r="J243" i="20"/>
  <c r="J223" i="20"/>
  <c r="G223" i="20"/>
  <c r="F223" i="20"/>
  <c r="G186" i="20"/>
  <c r="J186" i="20"/>
  <c r="F186" i="20"/>
  <c r="G234" i="20"/>
  <c r="J234" i="20"/>
  <c r="F234" i="20"/>
  <c r="F241" i="20"/>
  <c r="J241" i="20"/>
  <c r="G241" i="20"/>
  <c r="F275" i="19"/>
  <c r="J275" i="19"/>
  <c r="G275" i="19"/>
  <c r="G199" i="19"/>
  <c r="F199" i="19"/>
  <c r="J199" i="19"/>
  <c r="G225" i="19"/>
  <c r="F225" i="19"/>
  <c r="J225" i="19"/>
  <c r="F280" i="19"/>
  <c r="J280" i="19"/>
  <c r="G280" i="19"/>
  <c r="J294" i="19"/>
  <c r="F294" i="19"/>
  <c r="G294" i="19"/>
  <c r="J195" i="19"/>
  <c r="G195" i="19"/>
  <c r="F195" i="19"/>
  <c r="J227" i="19"/>
  <c r="G227" i="19"/>
  <c r="F227" i="19"/>
  <c r="F271" i="19"/>
  <c r="J271" i="19"/>
  <c r="G271" i="19"/>
  <c r="G29" i="20"/>
  <c r="F29" i="20"/>
  <c r="J29" i="20"/>
  <c r="J216" i="19"/>
  <c r="G216" i="19"/>
  <c r="F216" i="19"/>
  <c r="J20" i="20"/>
  <c r="G20" i="20"/>
  <c r="F20" i="20"/>
  <c r="J180" i="19"/>
  <c r="G180" i="19"/>
  <c r="F180" i="19"/>
  <c r="J266" i="19"/>
  <c r="F266" i="19"/>
  <c r="G266" i="19"/>
  <c r="F75" i="19"/>
  <c r="J75" i="19"/>
  <c r="G75" i="19"/>
  <c r="J163" i="19"/>
  <c r="G163" i="19"/>
  <c r="F163" i="19"/>
  <c r="J146" i="19"/>
  <c r="F146" i="19"/>
  <c r="G146" i="19"/>
  <c r="G125" i="19"/>
  <c r="F125" i="19"/>
  <c r="J125" i="19"/>
  <c r="J59" i="19"/>
  <c r="G59" i="19"/>
  <c r="F59" i="19"/>
  <c r="F127" i="19"/>
  <c r="J127" i="19"/>
  <c r="G127" i="19"/>
  <c r="J104" i="19"/>
  <c r="G104" i="19"/>
  <c r="F104" i="19"/>
  <c r="F73" i="19"/>
  <c r="G73" i="19"/>
  <c r="J73" i="19"/>
  <c r="G10" i="19"/>
  <c r="F10" i="19"/>
  <c r="J10" i="19"/>
  <c r="J118" i="19"/>
  <c r="G118" i="19"/>
  <c r="F118" i="19"/>
  <c r="J210" i="19"/>
  <c r="G210" i="19"/>
  <c r="F210" i="19"/>
  <c r="J178" i="19"/>
  <c r="F178" i="19"/>
  <c r="G178" i="19"/>
  <c r="J130" i="19"/>
  <c r="G130" i="19"/>
  <c r="F130" i="19"/>
  <c r="J134" i="19"/>
  <c r="G134" i="19"/>
  <c r="F134" i="19"/>
  <c r="F89" i="19"/>
  <c r="J89" i="19"/>
  <c r="G89" i="19"/>
  <c r="G187" i="18"/>
  <c r="J187" i="18"/>
  <c r="F187" i="18"/>
  <c r="G23" i="19"/>
  <c r="J296" i="18"/>
  <c r="G296" i="18"/>
  <c r="F296" i="18"/>
  <c r="G291" i="18"/>
  <c r="F291" i="18"/>
  <c r="J291" i="18"/>
  <c r="F46" i="19"/>
  <c r="G266" i="17"/>
  <c r="F266" i="17"/>
  <c r="J266" i="17"/>
  <c r="G62" i="18"/>
  <c r="F62" i="18"/>
  <c r="J62" i="18"/>
  <c r="G98" i="18"/>
  <c r="F98" i="18"/>
  <c r="J98" i="18"/>
  <c r="F269" i="17"/>
  <c r="J269" i="17"/>
  <c r="G269" i="17"/>
  <c r="G122" i="18"/>
  <c r="F122" i="18"/>
  <c r="J122" i="18"/>
  <c r="G300" i="17"/>
  <c r="F300" i="17"/>
  <c r="J300" i="17"/>
  <c r="J28" i="17"/>
  <c r="G28" i="17"/>
  <c r="F28" i="17"/>
  <c r="G184" i="17"/>
  <c r="F184" i="17"/>
  <c r="J184" i="17"/>
  <c r="F289" i="17"/>
  <c r="J289" i="17"/>
  <c r="G289" i="17"/>
  <c r="J96" i="18"/>
  <c r="G96" i="18"/>
  <c r="F96" i="18"/>
  <c r="J76" i="18"/>
  <c r="G76" i="18"/>
  <c r="F76" i="18"/>
  <c r="J51" i="18"/>
  <c r="G51" i="18"/>
  <c r="F51" i="18"/>
  <c r="G172" i="18"/>
  <c r="F172" i="18"/>
  <c r="J172" i="18"/>
  <c r="J91" i="18"/>
  <c r="G91" i="18"/>
  <c r="F91" i="18"/>
  <c r="J245" i="18"/>
  <c r="G245" i="18"/>
  <c r="F245" i="18"/>
  <c r="F25" i="18"/>
  <c r="J25" i="18"/>
  <c r="G25" i="18"/>
  <c r="F73" i="18"/>
  <c r="J73" i="18"/>
  <c r="G73" i="18"/>
  <c r="J241" i="18"/>
  <c r="G241" i="18"/>
  <c r="F241" i="18"/>
  <c r="J272" i="18"/>
  <c r="G272" i="18"/>
  <c r="F272" i="18"/>
  <c r="G214" i="18"/>
  <c r="F214" i="18"/>
  <c r="J214" i="18"/>
  <c r="G298" i="18"/>
  <c r="F298" i="18"/>
  <c r="J298" i="18"/>
  <c r="G212" i="17"/>
  <c r="F212" i="17"/>
  <c r="J212" i="17"/>
  <c r="G42" i="18"/>
  <c r="J42" i="18"/>
  <c r="F42" i="18"/>
  <c r="G72" i="17"/>
  <c r="J72" i="17"/>
  <c r="F72" i="17"/>
  <c r="J27" i="17"/>
  <c r="G27" i="17"/>
  <c r="F27" i="17"/>
  <c r="G200" i="17"/>
  <c r="F200" i="17"/>
  <c r="J200" i="17"/>
  <c r="F215" i="17"/>
  <c r="J215" i="17"/>
  <c r="G215" i="17"/>
  <c r="G290" i="16"/>
  <c r="J290" i="16"/>
  <c r="F290" i="16"/>
  <c r="F183" i="17"/>
  <c r="J183" i="17"/>
  <c r="G183" i="17"/>
  <c r="F240" i="16"/>
  <c r="G240" i="16"/>
  <c r="J240" i="16"/>
  <c r="F190" i="17"/>
  <c r="J190" i="17"/>
  <c r="G190" i="17"/>
  <c r="J255" i="16"/>
  <c r="G255" i="16"/>
  <c r="F255" i="16"/>
  <c r="G19" i="17"/>
  <c r="F19" i="17"/>
  <c r="J19" i="17"/>
  <c r="J57" i="17"/>
  <c r="G57" i="17"/>
  <c r="F57" i="17"/>
  <c r="J173" i="17"/>
  <c r="G173" i="17"/>
  <c r="F173" i="17"/>
  <c r="J137" i="17"/>
  <c r="G137" i="17"/>
  <c r="F137" i="17"/>
  <c r="F260" i="16"/>
  <c r="J260" i="16"/>
  <c r="G260" i="16"/>
  <c r="J40" i="17"/>
  <c r="G40" i="17"/>
  <c r="F40" i="17"/>
  <c r="J37" i="17"/>
  <c r="F37" i="17"/>
  <c r="G37" i="17"/>
  <c r="J300" i="16"/>
  <c r="G300" i="16"/>
  <c r="F300" i="16"/>
  <c r="F131" i="16"/>
  <c r="J131" i="16"/>
  <c r="G131" i="16"/>
  <c r="J181" i="16"/>
  <c r="G181" i="16"/>
  <c r="F181" i="16"/>
  <c r="J227" i="16"/>
  <c r="G227" i="16"/>
  <c r="F227" i="16"/>
  <c r="J279" i="16"/>
  <c r="G279" i="16"/>
  <c r="F279" i="16"/>
  <c r="F119" i="16"/>
  <c r="J119" i="16"/>
  <c r="G119" i="16"/>
  <c r="J248" i="16"/>
  <c r="G248" i="16"/>
  <c r="F248" i="16"/>
  <c r="G130" i="16"/>
  <c r="J130" i="16"/>
  <c r="F130" i="16"/>
  <c r="E231" i="15"/>
  <c r="G216" i="16"/>
  <c r="F216" i="16"/>
  <c r="J216" i="16"/>
  <c r="E211" i="15"/>
  <c r="G188" i="16"/>
  <c r="F188" i="16"/>
  <c r="J188" i="16"/>
  <c r="J53" i="17"/>
  <c r="G53" i="17"/>
  <c r="F53" i="17"/>
  <c r="F30" i="17"/>
  <c r="J30" i="17"/>
  <c r="G30" i="17"/>
  <c r="J85" i="17"/>
  <c r="G85" i="17"/>
  <c r="F85" i="17"/>
  <c r="J239" i="17"/>
  <c r="G239" i="17"/>
  <c r="F239" i="17"/>
  <c r="J276" i="17"/>
  <c r="G276" i="17"/>
  <c r="F276" i="17"/>
  <c r="J259" i="17"/>
  <c r="F259" i="17"/>
  <c r="G259" i="17"/>
  <c r="G218" i="16"/>
  <c r="J218" i="16"/>
  <c r="F218" i="16"/>
  <c r="G138" i="16"/>
  <c r="J138" i="16"/>
  <c r="F138" i="16"/>
  <c r="E156" i="15"/>
  <c r="G128" i="16"/>
  <c r="F128" i="16"/>
  <c r="J128" i="16"/>
  <c r="E236" i="15"/>
  <c r="J61" i="16"/>
  <c r="G61" i="16"/>
  <c r="F61" i="16"/>
  <c r="J29" i="16"/>
  <c r="G29" i="16"/>
  <c r="F29" i="16"/>
  <c r="G200" i="16"/>
  <c r="F200" i="16"/>
  <c r="J200" i="16"/>
  <c r="G126" i="16"/>
  <c r="J126" i="16"/>
  <c r="F126" i="16"/>
  <c r="G80" i="16"/>
  <c r="F80" i="16"/>
  <c r="J80" i="16"/>
  <c r="F39" i="16"/>
  <c r="J39" i="16"/>
  <c r="G39" i="16"/>
  <c r="F87" i="16"/>
  <c r="J87" i="16"/>
  <c r="G87" i="16"/>
  <c r="J285" i="16"/>
  <c r="G285" i="16"/>
  <c r="F285" i="16"/>
  <c r="F171" i="16"/>
  <c r="J171" i="16"/>
  <c r="G171" i="16"/>
  <c r="F219" i="16"/>
  <c r="J219" i="16"/>
  <c r="G219" i="16"/>
  <c r="E162" i="15"/>
  <c r="F56" i="16"/>
  <c r="F38" i="16"/>
  <c r="H38" i="16" s="1"/>
  <c r="E264" i="15"/>
  <c r="E96" i="15"/>
  <c r="E72" i="15"/>
  <c r="F20" i="16"/>
  <c r="J261" i="14"/>
  <c r="G261" i="14"/>
  <c r="F261" i="14"/>
  <c r="H261" i="14" s="1"/>
  <c r="J269" i="14"/>
  <c r="G269" i="14"/>
  <c r="F269" i="14"/>
  <c r="J249" i="14"/>
  <c r="G249" i="14"/>
  <c r="F249" i="14"/>
  <c r="G85" i="14"/>
  <c r="J85" i="14"/>
  <c r="F85" i="14"/>
  <c r="G196" i="14"/>
  <c r="J196" i="14"/>
  <c r="F196" i="14"/>
  <c r="J150" i="14"/>
  <c r="G150" i="14"/>
  <c r="F150" i="14"/>
  <c r="J156" i="13"/>
  <c r="G156" i="13"/>
  <c r="F156" i="13"/>
  <c r="F59" i="13"/>
  <c r="J59" i="13"/>
  <c r="G59" i="13"/>
  <c r="H107" i="13"/>
  <c r="J32" i="14"/>
  <c r="F32" i="14"/>
  <c r="G32" i="14"/>
  <c r="F31" i="14"/>
  <c r="H31" i="14" s="1"/>
  <c r="J116" i="14"/>
  <c r="G116" i="14"/>
  <c r="F116" i="14"/>
  <c r="G172" i="14"/>
  <c r="J172" i="14"/>
  <c r="F172" i="14"/>
  <c r="J107" i="14"/>
  <c r="G107" i="14"/>
  <c r="F107" i="14"/>
  <c r="G64" i="14"/>
  <c r="F64" i="14"/>
  <c r="J64" i="14"/>
  <c r="J127" i="14"/>
  <c r="G127" i="14"/>
  <c r="F127" i="14"/>
  <c r="J75" i="14"/>
  <c r="F75" i="14"/>
  <c r="G75" i="14"/>
  <c r="J250" i="14"/>
  <c r="G250" i="14"/>
  <c r="F250" i="14"/>
  <c r="J286" i="14"/>
  <c r="G286" i="14"/>
  <c r="F286" i="14"/>
  <c r="G190" i="14"/>
  <c r="F190" i="14"/>
  <c r="J190" i="14"/>
  <c r="J207" i="14"/>
  <c r="G207" i="14"/>
  <c r="F207" i="14"/>
  <c r="G255" i="14"/>
  <c r="J255" i="14"/>
  <c r="F255" i="14"/>
  <c r="E177" i="11"/>
  <c r="E269" i="11"/>
  <c r="F147" i="10"/>
  <c r="G147" i="10"/>
  <c r="J147" i="10"/>
  <c r="G146" i="10"/>
  <c r="F146" i="10"/>
  <c r="J70" i="12"/>
  <c r="G70" i="12"/>
  <c r="F70" i="12"/>
  <c r="F187" i="10"/>
  <c r="J187" i="10"/>
  <c r="G187" i="10"/>
  <c r="G186" i="10"/>
  <c r="F186" i="10"/>
  <c r="H186" i="10" s="1"/>
  <c r="M19" i="11"/>
  <c r="M7" i="10"/>
  <c r="F48" i="10"/>
  <c r="F57" i="10"/>
  <c r="F200" i="10"/>
  <c r="G99" i="10"/>
  <c r="G150" i="10"/>
  <c r="F225" i="10"/>
  <c r="F193" i="10"/>
  <c r="G143" i="10"/>
  <c r="G151" i="10"/>
  <c r="F197" i="10"/>
  <c r="H197" i="10" s="1"/>
  <c r="G258" i="10"/>
  <c r="F129" i="10"/>
  <c r="G275" i="10"/>
  <c r="G80" i="10"/>
  <c r="F161" i="10"/>
  <c r="G89" i="10"/>
  <c r="F150" i="10"/>
  <c r="G225" i="10"/>
  <c r="G42" i="10"/>
  <c r="G193" i="10"/>
  <c r="F258" i="10"/>
  <c r="G284" i="10"/>
  <c r="G153" i="10"/>
  <c r="G185" i="10"/>
  <c r="F80" i="10"/>
  <c r="G161" i="10"/>
  <c r="F89" i="10"/>
  <c r="F16" i="10"/>
  <c r="F42" i="10"/>
  <c r="G74" i="10"/>
  <c r="G19" i="10"/>
  <c r="F284" i="10"/>
  <c r="G300" i="10"/>
  <c r="G16" i="10"/>
  <c r="F74" i="10"/>
  <c r="F19" i="10"/>
  <c r="G160" i="10"/>
  <c r="G192" i="10"/>
  <c r="F300" i="10"/>
  <c r="F67" i="10"/>
  <c r="F112" i="10"/>
  <c r="H112" i="10" s="1"/>
  <c r="F51" i="10"/>
  <c r="G208" i="10"/>
  <c r="F160" i="10"/>
  <c r="F192" i="10"/>
  <c r="G67" i="10"/>
  <c r="G90" i="10"/>
  <c r="G51" i="10"/>
  <c r="G73" i="10"/>
  <c r="F136" i="10"/>
  <c r="G232" i="10"/>
  <c r="F90" i="10"/>
  <c r="F73" i="10"/>
  <c r="G105" i="10"/>
  <c r="G32" i="10"/>
  <c r="F133" i="10"/>
  <c r="H133" i="10" s="1"/>
  <c r="F148" i="10"/>
  <c r="F105" i="10"/>
  <c r="G178" i="10"/>
  <c r="F232" i="10"/>
  <c r="G58" i="10"/>
  <c r="F32" i="10"/>
  <c r="G41" i="10"/>
  <c r="F143" i="10"/>
  <c r="F259" i="10"/>
  <c r="H259" i="10" s="1"/>
  <c r="F178" i="10"/>
  <c r="G106" i="10"/>
  <c r="F58" i="10"/>
  <c r="G200" i="10"/>
  <c r="F41" i="10"/>
  <c r="G13" i="10"/>
  <c r="F275" i="10"/>
  <c r="G48" i="10"/>
  <c r="F185" i="10"/>
  <c r="G126" i="10"/>
  <c r="F75" i="10"/>
  <c r="G100" i="10"/>
  <c r="G5" i="10"/>
  <c r="G40" i="10"/>
  <c r="F40" i="10"/>
  <c r="J40" i="10"/>
  <c r="F252" i="9"/>
  <c r="J252" i="9"/>
  <c r="G252" i="9"/>
  <c r="F228" i="9"/>
  <c r="J228" i="9"/>
  <c r="G228" i="9"/>
  <c r="F204" i="9"/>
  <c r="J204" i="9"/>
  <c r="G204" i="9"/>
  <c r="J180" i="9"/>
  <c r="G156" i="9"/>
  <c r="E68" i="11"/>
  <c r="J29" i="10"/>
  <c r="G29" i="10"/>
  <c r="F29" i="10"/>
  <c r="J298" i="10"/>
  <c r="G298" i="10"/>
  <c r="F298" i="10"/>
  <c r="F297" i="10"/>
  <c r="G297" i="10"/>
  <c r="J205" i="10"/>
  <c r="F205" i="10"/>
  <c r="G205" i="10"/>
  <c r="J269" i="10"/>
  <c r="F269" i="10"/>
  <c r="G269" i="10"/>
  <c r="G268" i="10"/>
  <c r="J43" i="8"/>
  <c r="E5" i="22"/>
  <c r="E7" i="22"/>
  <c r="J143" i="22"/>
  <c r="G143" i="22"/>
  <c r="F143" i="22"/>
  <c r="G29" i="22"/>
  <c r="F29" i="22"/>
  <c r="J29" i="22"/>
  <c r="G73" i="22"/>
  <c r="F73" i="22"/>
  <c r="J73" i="22"/>
  <c r="J246" i="22"/>
  <c r="G246" i="22"/>
  <c r="F246" i="22"/>
  <c r="H246" i="22" s="1"/>
  <c r="J190" i="21"/>
  <c r="G190" i="21"/>
  <c r="F190" i="21"/>
  <c r="G152" i="21"/>
  <c r="F152" i="21"/>
  <c r="J152" i="21"/>
  <c r="J28" i="21"/>
  <c r="F28" i="21"/>
  <c r="G28" i="21"/>
  <c r="J73" i="21"/>
  <c r="G73" i="21"/>
  <c r="F73" i="21"/>
  <c r="J215" i="21"/>
  <c r="G215" i="21"/>
  <c r="F215" i="21"/>
  <c r="J299" i="20"/>
  <c r="G299" i="20"/>
  <c r="F299" i="20"/>
  <c r="G106" i="20"/>
  <c r="F106" i="20"/>
  <c r="J106" i="20"/>
  <c r="J128" i="20"/>
  <c r="G128" i="20"/>
  <c r="F128" i="20"/>
  <c r="J5" i="20"/>
  <c r="G5" i="20"/>
  <c r="F5" i="20"/>
  <c r="J187" i="20"/>
  <c r="G187" i="20"/>
  <c r="F187" i="20"/>
  <c r="G260" i="20"/>
  <c r="F260" i="20"/>
  <c r="J260" i="20"/>
  <c r="J181" i="19"/>
  <c r="G181" i="19"/>
  <c r="F181" i="19"/>
  <c r="F151" i="19"/>
  <c r="G151" i="19"/>
  <c r="J151" i="19"/>
  <c r="J159" i="19"/>
  <c r="G159" i="19"/>
  <c r="F159" i="19"/>
  <c r="F279" i="19"/>
  <c r="J279" i="19"/>
  <c r="G279" i="19"/>
  <c r="J218" i="19"/>
  <c r="G218" i="19"/>
  <c r="F218" i="19"/>
  <c r="G227" i="18"/>
  <c r="F227" i="18"/>
  <c r="J227" i="18"/>
  <c r="J277" i="18"/>
  <c r="G277" i="18"/>
  <c r="F277" i="18"/>
  <c r="G264" i="17"/>
  <c r="F264" i="17"/>
  <c r="J264" i="17"/>
  <c r="F55" i="17"/>
  <c r="G55" i="17"/>
  <c r="J55" i="17"/>
  <c r="J106" i="18"/>
  <c r="G106" i="18"/>
  <c r="F106" i="18"/>
  <c r="J289" i="18"/>
  <c r="G289" i="18"/>
  <c r="F289" i="18"/>
  <c r="F175" i="17"/>
  <c r="J175" i="17"/>
  <c r="G175" i="17"/>
  <c r="J154" i="18"/>
  <c r="G154" i="18"/>
  <c r="F154" i="18"/>
  <c r="F114" i="17"/>
  <c r="G114" i="17"/>
  <c r="J114" i="17"/>
  <c r="G282" i="16"/>
  <c r="F282" i="16"/>
  <c r="J282" i="16"/>
  <c r="J165" i="17"/>
  <c r="G165" i="17"/>
  <c r="F165" i="17"/>
  <c r="F90" i="17"/>
  <c r="G90" i="17"/>
  <c r="J90" i="17"/>
  <c r="H60" i="18"/>
  <c r="G190" i="16"/>
  <c r="F190" i="16"/>
  <c r="J190" i="16"/>
  <c r="J226" i="16"/>
  <c r="G226" i="16"/>
  <c r="F226" i="16"/>
  <c r="G17" i="17"/>
  <c r="J17" i="17"/>
  <c r="F17" i="17"/>
  <c r="J243" i="17"/>
  <c r="G243" i="17"/>
  <c r="F243" i="17"/>
  <c r="J97" i="16"/>
  <c r="G97" i="16"/>
  <c r="F97" i="16"/>
  <c r="J51" i="16"/>
  <c r="J187" i="14"/>
  <c r="G187" i="14"/>
  <c r="F187" i="14"/>
  <c r="G104" i="10"/>
  <c r="F104" i="10"/>
  <c r="J104" i="10"/>
  <c r="F154" i="11"/>
  <c r="J154" i="11"/>
  <c r="G154" i="11"/>
  <c r="J259" i="7"/>
  <c r="J100" i="7"/>
  <c r="G223" i="22"/>
  <c r="F223" i="22"/>
  <c r="J223" i="22"/>
  <c r="J190" i="22"/>
  <c r="F190" i="22"/>
  <c r="G190" i="22"/>
  <c r="J254" i="22"/>
  <c r="G254" i="22"/>
  <c r="F254" i="22"/>
  <c r="J213" i="22"/>
  <c r="G213" i="22"/>
  <c r="F213" i="22"/>
  <c r="G172" i="22"/>
  <c r="J172" i="22"/>
  <c r="F172" i="22"/>
  <c r="H172" i="22" s="1"/>
  <c r="G155" i="22"/>
  <c r="F155" i="22"/>
  <c r="J155" i="22"/>
  <c r="G178" i="22"/>
  <c r="J178" i="22"/>
  <c r="F178" i="22"/>
  <c r="G65" i="22"/>
  <c r="F65" i="22"/>
  <c r="H65" i="22" s="1"/>
  <c r="J65" i="22"/>
  <c r="J131" i="22"/>
  <c r="G131" i="22"/>
  <c r="F131" i="22"/>
  <c r="F36" i="22"/>
  <c r="H36" i="22" s="1"/>
  <c r="J36" i="22"/>
  <c r="G36" i="22"/>
  <c r="G115" i="22"/>
  <c r="J115" i="22"/>
  <c r="F115" i="22"/>
  <c r="H115" i="22" s="1"/>
  <c r="G258" i="21"/>
  <c r="F258" i="21"/>
  <c r="J258" i="21"/>
  <c r="F260" i="21"/>
  <c r="G260" i="21"/>
  <c r="J260" i="21"/>
  <c r="J67" i="22"/>
  <c r="G67" i="22"/>
  <c r="F67" i="22"/>
  <c r="H67" i="22" s="1"/>
  <c r="J206" i="21"/>
  <c r="G206" i="21"/>
  <c r="F206" i="21"/>
  <c r="J43" i="22"/>
  <c r="G43" i="22"/>
  <c r="F43" i="22"/>
  <c r="J299" i="21"/>
  <c r="G299" i="21"/>
  <c r="F299" i="21"/>
  <c r="J50" i="22"/>
  <c r="G50" i="22"/>
  <c r="F50" i="22"/>
  <c r="J62" i="22"/>
  <c r="G62" i="22"/>
  <c r="F62" i="22"/>
  <c r="J294" i="22"/>
  <c r="G294" i="22"/>
  <c r="F294" i="22"/>
  <c r="H294" i="22" s="1"/>
  <c r="F85" i="22"/>
  <c r="H85" i="22" s="1"/>
  <c r="J85" i="22"/>
  <c r="G85" i="22"/>
  <c r="J162" i="22"/>
  <c r="G162" i="22"/>
  <c r="F162" i="22"/>
  <c r="J278" i="22"/>
  <c r="G278" i="22"/>
  <c r="F278" i="22"/>
  <c r="G252" i="22"/>
  <c r="J252" i="22"/>
  <c r="F252" i="22"/>
  <c r="G216" i="22"/>
  <c r="J216" i="22"/>
  <c r="F216" i="22"/>
  <c r="G256" i="22"/>
  <c r="F256" i="22"/>
  <c r="H256" i="22" s="1"/>
  <c r="J256" i="22"/>
  <c r="G200" i="21"/>
  <c r="F200" i="21"/>
  <c r="J200" i="21"/>
  <c r="J219" i="21"/>
  <c r="G219" i="21"/>
  <c r="F219" i="21"/>
  <c r="J194" i="21"/>
  <c r="G194" i="21"/>
  <c r="F194" i="21"/>
  <c r="F112" i="21"/>
  <c r="J112" i="21"/>
  <c r="G112" i="21"/>
  <c r="F179" i="21"/>
  <c r="J179" i="21"/>
  <c r="G179" i="21"/>
  <c r="J174" i="21"/>
  <c r="G174" i="21"/>
  <c r="F174" i="21"/>
  <c r="J197" i="21"/>
  <c r="G197" i="21"/>
  <c r="F197" i="21"/>
  <c r="F166" i="21"/>
  <c r="J166" i="21"/>
  <c r="G166" i="21"/>
  <c r="J138" i="21"/>
  <c r="F138" i="21"/>
  <c r="G138" i="21"/>
  <c r="F140" i="21"/>
  <c r="J140" i="21"/>
  <c r="G140" i="21"/>
  <c r="J275" i="21"/>
  <c r="F275" i="21"/>
  <c r="G275" i="21"/>
  <c r="J262" i="20"/>
  <c r="F262" i="20"/>
  <c r="G262" i="20"/>
  <c r="J8" i="21"/>
  <c r="G8" i="21"/>
  <c r="F8" i="21"/>
  <c r="F23" i="21"/>
  <c r="J23" i="21"/>
  <c r="G23" i="21"/>
  <c r="G13" i="21"/>
  <c r="J13" i="21"/>
  <c r="F13" i="21"/>
  <c r="G42" i="21"/>
  <c r="F42" i="21"/>
  <c r="J42" i="21"/>
  <c r="J55" i="21"/>
  <c r="G55" i="21"/>
  <c r="F55" i="21"/>
  <c r="F56" i="21"/>
  <c r="G56" i="21"/>
  <c r="J56" i="21"/>
  <c r="F245" i="21"/>
  <c r="J245" i="21"/>
  <c r="G245" i="21"/>
  <c r="F65" i="21"/>
  <c r="J65" i="21"/>
  <c r="G65" i="21"/>
  <c r="F145" i="21"/>
  <c r="J145" i="21"/>
  <c r="G145" i="21"/>
  <c r="J201" i="21"/>
  <c r="G201" i="21"/>
  <c r="F201" i="21"/>
  <c r="F277" i="21"/>
  <c r="G277" i="21"/>
  <c r="J277" i="21"/>
  <c r="G289" i="21"/>
  <c r="J289" i="21"/>
  <c r="F289" i="21"/>
  <c r="G285" i="20"/>
  <c r="J285" i="20"/>
  <c r="F285" i="20"/>
  <c r="J137" i="20"/>
  <c r="G137" i="20"/>
  <c r="F137" i="20"/>
  <c r="J263" i="20"/>
  <c r="F263" i="20"/>
  <c r="G263" i="20"/>
  <c r="G250" i="20"/>
  <c r="F250" i="20"/>
  <c r="J250" i="20"/>
  <c r="J135" i="20"/>
  <c r="G135" i="20"/>
  <c r="F135" i="20"/>
  <c r="F111" i="20"/>
  <c r="J111" i="20"/>
  <c r="G111" i="20"/>
  <c r="J3" i="20"/>
  <c r="G3" i="20"/>
  <c r="F3" i="20"/>
  <c r="F264" i="19"/>
  <c r="G264" i="19"/>
  <c r="J264" i="19"/>
  <c r="J54" i="20"/>
  <c r="G54" i="20"/>
  <c r="F54" i="20"/>
  <c r="G203" i="19"/>
  <c r="F203" i="19"/>
  <c r="J203" i="19"/>
  <c r="F36" i="20"/>
  <c r="G36" i="20"/>
  <c r="J36" i="20"/>
  <c r="F56" i="20"/>
  <c r="J56" i="20"/>
  <c r="G56" i="20"/>
  <c r="J216" i="20"/>
  <c r="G216" i="20"/>
  <c r="F216" i="20"/>
  <c r="J176" i="20"/>
  <c r="G176" i="20"/>
  <c r="F176" i="20"/>
  <c r="J196" i="20"/>
  <c r="G196" i="20"/>
  <c r="F196" i="20"/>
  <c r="J179" i="20"/>
  <c r="G179" i="20"/>
  <c r="F179" i="20"/>
  <c r="J227" i="20"/>
  <c r="G227" i="20"/>
  <c r="F227" i="20"/>
  <c r="G190" i="20"/>
  <c r="J190" i="20"/>
  <c r="F190" i="20"/>
  <c r="G238" i="20"/>
  <c r="J238" i="20"/>
  <c r="F238" i="20"/>
  <c r="F247" i="20"/>
  <c r="J247" i="20"/>
  <c r="G247" i="20"/>
  <c r="F272" i="19"/>
  <c r="J272" i="19"/>
  <c r="G272" i="19"/>
  <c r="G183" i="19"/>
  <c r="F183" i="19"/>
  <c r="J183" i="19"/>
  <c r="G215" i="19"/>
  <c r="F215" i="19"/>
  <c r="J215" i="19"/>
  <c r="G277" i="19"/>
  <c r="F277" i="19"/>
  <c r="J277" i="19"/>
  <c r="F263" i="19"/>
  <c r="J263" i="19"/>
  <c r="G263" i="19"/>
  <c r="J208" i="19"/>
  <c r="G208" i="19"/>
  <c r="F208" i="19"/>
  <c r="F268" i="19"/>
  <c r="J268" i="19"/>
  <c r="G268" i="19"/>
  <c r="G12" i="20"/>
  <c r="F12" i="20"/>
  <c r="J12" i="20"/>
  <c r="J16" i="20"/>
  <c r="F16" i="20"/>
  <c r="G16" i="20"/>
  <c r="J206" i="19"/>
  <c r="G206" i="19"/>
  <c r="F206" i="19"/>
  <c r="J96" i="19"/>
  <c r="F96" i="19"/>
  <c r="G96" i="19"/>
  <c r="J186" i="19"/>
  <c r="G186" i="19"/>
  <c r="F186" i="19"/>
  <c r="J158" i="19"/>
  <c r="G158" i="19"/>
  <c r="F158" i="19"/>
  <c r="F33" i="20"/>
  <c r="G137" i="19"/>
  <c r="F137" i="19"/>
  <c r="J137" i="19"/>
  <c r="F123" i="19"/>
  <c r="J123" i="19"/>
  <c r="G123" i="19"/>
  <c r="J120" i="19"/>
  <c r="G120" i="19"/>
  <c r="F120" i="19"/>
  <c r="J100" i="19"/>
  <c r="G100" i="19"/>
  <c r="F100" i="19"/>
  <c r="J54" i="19"/>
  <c r="G54" i="19"/>
  <c r="F54" i="19"/>
  <c r="F26" i="19"/>
  <c r="G26" i="19"/>
  <c r="J26" i="19"/>
  <c r="G31" i="19"/>
  <c r="F31" i="19"/>
  <c r="J31" i="19"/>
  <c r="J238" i="19"/>
  <c r="G238" i="19"/>
  <c r="F238" i="19"/>
  <c r="G58" i="19"/>
  <c r="F58" i="19"/>
  <c r="J58" i="19"/>
  <c r="J62" i="19"/>
  <c r="G62" i="19"/>
  <c r="F62" i="19"/>
  <c r="F81" i="19"/>
  <c r="J81" i="19"/>
  <c r="G81" i="19"/>
  <c r="J114" i="19"/>
  <c r="G114" i="19"/>
  <c r="F114" i="19"/>
  <c r="F85" i="19"/>
  <c r="G85" i="19"/>
  <c r="J85" i="19"/>
  <c r="J65" i="19"/>
  <c r="G65" i="19"/>
  <c r="F65" i="19"/>
  <c r="G122" i="19"/>
  <c r="H122" i="19" s="1"/>
  <c r="M16" i="19"/>
  <c r="F113" i="18"/>
  <c r="J113" i="18"/>
  <c r="G113" i="18"/>
  <c r="G105" i="18"/>
  <c r="F105" i="18"/>
  <c r="J105" i="18"/>
  <c r="J292" i="18"/>
  <c r="G292" i="18"/>
  <c r="F292" i="18"/>
  <c r="J276" i="18"/>
  <c r="G276" i="18"/>
  <c r="F276" i="18"/>
  <c r="G287" i="18"/>
  <c r="F287" i="18"/>
  <c r="J287" i="18"/>
  <c r="G46" i="19"/>
  <c r="J180" i="18"/>
  <c r="G180" i="18"/>
  <c r="F180" i="18"/>
  <c r="G242" i="17"/>
  <c r="F242" i="17"/>
  <c r="J242" i="17"/>
  <c r="F22" i="18"/>
  <c r="J22" i="18"/>
  <c r="G22" i="18"/>
  <c r="G262" i="17"/>
  <c r="J262" i="17"/>
  <c r="F262" i="17"/>
  <c r="F245" i="17"/>
  <c r="J245" i="17"/>
  <c r="G245" i="17"/>
  <c r="J118" i="18"/>
  <c r="G118" i="18"/>
  <c r="F118" i="18"/>
  <c r="J92" i="18"/>
  <c r="G92" i="18"/>
  <c r="F92" i="18"/>
  <c r="F171" i="17"/>
  <c r="G171" i="17"/>
  <c r="J171" i="17"/>
  <c r="J268" i="17"/>
  <c r="F268" i="17"/>
  <c r="G268" i="17"/>
  <c r="G8" i="18"/>
  <c r="F8" i="18"/>
  <c r="J8" i="18"/>
  <c r="J138" i="18"/>
  <c r="G138" i="18"/>
  <c r="F138" i="18"/>
  <c r="J55" i="18"/>
  <c r="G55" i="18"/>
  <c r="F55" i="18"/>
  <c r="J184" i="18"/>
  <c r="G184" i="18"/>
  <c r="F184" i="18"/>
  <c r="J95" i="18"/>
  <c r="G95" i="18"/>
  <c r="F95" i="18"/>
  <c r="G108" i="18"/>
  <c r="F108" i="18"/>
  <c r="J108" i="18"/>
  <c r="F29" i="18"/>
  <c r="J29" i="18"/>
  <c r="G29" i="18"/>
  <c r="F77" i="18"/>
  <c r="J77" i="18"/>
  <c r="G77" i="18"/>
  <c r="J256" i="18"/>
  <c r="G256" i="18"/>
  <c r="F256" i="18"/>
  <c r="J282" i="18"/>
  <c r="G282" i="18"/>
  <c r="F282" i="18"/>
  <c r="J236" i="18"/>
  <c r="G236" i="18"/>
  <c r="F236" i="18"/>
  <c r="G254" i="18"/>
  <c r="F254" i="18"/>
  <c r="J254" i="18"/>
  <c r="F199" i="17"/>
  <c r="J199" i="17"/>
  <c r="G199" i="17"/>
  <c r="J60" i="17"/>
  <c r="G60" i="17"/>
  <c r="F60" i="17"/>
  <c r="J17" i="18"/>
  <c r="F17" i="18"/>
  <c r="G17" i="18"/>
  <c r="F179" i="17"/>
  <c r="J179" i="17"/>
  <c r="G179" i="17"/>
  <c r="F66" i="20"/>
  <c r="F36" i="18"/>
  <c r="H36" i="18" s="1"/>
  <c r="F187" i="17"/>
  <c r="G187" i="17"/>
  <c r="J187" i="17"/>
  <c r="F207" i="17"/>
  <c r="J207" i="17"/>
  <c r="G207" i="17"/>
  <c r="G108" i="17"/>
  <c r="F108" i="17"/>
  <c r="J108" i="17"/>
  <c r="G238" i="16"/>
  <c r="F238" i="16"/>
  <c r="J238" i="16"/>
  <c r="F162" i="17"/>
  <c r="G162" i="17"/>
  <c r="J162" i="17"/>
  <c r="F28" i="18"/>
  <c r="H28" i="18" s="1"/>
  <c r="J4" i="17"/>
  <c r="G4" i="17"/>
  <c r="F4" i="17"/>
  <c r="J52" i="17"/>
  <c r="G52" i="17"/>
  <c r="F52" i="17"/>
  <c r="J197" i="17"/>
  <c r="G197" i="17"/>
  <c r="F197" i="17"/>
  <c r="J161" i="17"/>
  <c r="G161" i="17"/>
  <c r="F161" i="17"/>
  <c r="J287" i="16"/>
  <c r="G287" i="16"/>
  <c r="F287" i="16"/>
  <c r="F119" i="17"/>
  <c r="J119" i="17"/>
  <c r="G119" i="17"/>
  <c r="G258" i="16"/>
  <c r="F258" i="16"/>
  <c r="J258" i="16"/>
  <c r="J34" i="17"/>
  <c r="G34" i="17"/>
  <c r="F34" i="17"/>
  <c r="J296" i="16"/>
  <c r="G296" i="16"/>
  <c r="F296" i="16"/>
  <c r="J129" i="16"/>
  <c r="G129" i="16"/>
  <c r="F129" i="16"/>
  <c r="J157" i="16"/>
  <c r="G157" i="16"/>
  <c r="F157" i="16"/>
  <c r="J272" i="16"/>
  <c r="G272" i="16"/>
  <c r="F272" i="16"/>
  <c r="F115" i="16"/>
  <c r="J115" i="16"/>
  <c r="G115" i="16"/>
  <c r="J193" i="16"/>
  <c r="G193" i="16"/>
  <c r="F193" i="16"/>
  <c r="J17" i="16"/>
  <c r="J215" i="15"/>
  <c r="G204" i="16"/>
  <c r="F204" i="16"/>
  <c r="J204" i="16"/>
  <c r="J169" i="17"/>
  <c r="G169" i="17"/>
  <c r="F169" i="17"/>
  <c r="G184" i="16"/>
  <c r="F184" i="16"/>
  <c r="J184" i="16"/>
  <c r="J199" i="15"/>
  <c r="F3" i="17"/>
  <c r="J3" i="17"/>
  <c r="G3" i="17"/>
  <c r="J65" i="17"/>
  <c r="G65" i="17"/>
  <c r="F65" i="17"/>
  <c r="F178" i="17"/>
  <c r="G178" i="17"/>
  <c r="J178" i="17"/>
  <c r="F198" i="17"/>
  <c r="J198" i="17"/>
  <c r="G198" i="17"/>
  <c r="F15" i="17"/>
  <c r="J15" i="17"/>
  <c r="G15" i="17"/>
  <c r="J299" i="17"/>
  <c r="G299" i="17"/>
  <c r="F299" i="17"/>
  <c r="H299" i="17" s="1"/>
  <c r="G214" i="16"/>
  <c r="F214" i="16"/>
  <c r="J214" i="16"/>
  <c r="J50" i="15"/>
  <c r="F23" i="16"/>
  <c r="F62" i="16"/>
  <c r="J298" i="15"/>
  <c r="J228" i="15"/>
  <c r="J65" i="16"/>
  <c r="G65" i="16"/>
  <c r="F65" i="16"/>
  <c r="G48" i="16"/>
  <c r="F48" i="16"/>
  <c r="J48" i="16"/>
  <c r="J13" i="16"/>
  <c r="G13" i="16"/>
  <c r="F13" i="16"/>
  <c r="G229" i="16"/>
  <c r="F229" i="16"/>
  <c r="J229" i="16"/>
  <c r="G84" i="16"/>
  <c r="F84" i="16"/>
  <c r="J84" i="16"/>
  <c r="F43" i="16"/>
  <c r="J43" i="16"/>
  <c r="G43" i="16"/>
  <c r="F91" i="16"/>
  <c r="J91" i="16"/>
  <c r="G91" i="16"/>
  <c r="J293" i="16"/>
  <c r="G293" i="16"/>
  <c r="F293" i="16"/>
  <c r="F175" i="16"/>
  <c r="J175" i="16"/>
  <c r="G175" i="16"/>
  <c r="F261" i="16"/>
  <c r="G261" i="16"/>
  <c r="J261" i="16"/>
  <c r="J160" i="15"/>
  <c r="G56" i="16"/>
  <c r="E299" i="15"/>
  <c r="F298" i="15" s="1"/>
  <c r="E295" i="15"/>
  <c r="E291" i="15"/>
  <c r="E287" i="15"/>
  <c r="E283" i="15"/>
  <c r="E279" i="15"/>
  <c r="E275" i="15"/>
  <c r="E271" i="15"/>
  <c r="E267" i="15"/>
  <c r="E263" i="15"/>
  <c r="E286" i="15"/>
  <c r="E280" i="15"/>
  <c r="E261" i="15"/>
  <c r="E257" i="15"/>
  <c r="E301" i="15"/>
  <c r="E278" i="15"/>
  <c r="E272" i="15"/>
  <c r="E253" i="15"/>
  <c r="E238" i="15"/>
  <c r="E222" i="15"/>
  <c r="E206" i="15"/>
  <c r="E297" i="15"/>
  <c r="E249" i="15"/>
  <c r="E229" i="15"/>
  <c r="E213" i="15"/>
  <c r="E293" i="15"/>
  <c r="E245" i="15"/>
  <c r="E289" i="15"/>
  <c r="E266" i="15"/>
  <c r="E285" i="15"/>
  <c r="E300" i="15"/>
  <c r="E281" i="15"/>
  <c r="E258" i="15"/>
  <c r="E252" i="15"/>
  <c r="E277" i="15"/>
  <c r="E273" i="15"/>
  <c r="E237" i="15"/>
  <c r="E221" i="15"/>
  <c r="E205" i="15"/>
  <c r="E284" i="15"/>
  <c r="E265" i="15"/>
  <c r="E189" i="15"/>
  <c r="E165" i="15"/>
  <c r="E141" i="15"/>
  <c r="E117" i="15"/>
  <c r="E28" i="15"/>
  <c r="E25" i="15"/>
  <c r="E18" i="15"/>
  <c r="E14" i="15"/>
  <c r="E202" i="15"/>
  <c r="E95" i="15"/>
  <c r="E91" i="15"/>
  <c r="E87" i="15"/>
  <c r="E83" i="15"/>
  <c r="E79" i="15"/>
  <c r="E75" i="15"/>
  <c r="E71" i="15"/>
  <c r="E64" i="15"/>
  <c r="E57" i="15"/>
  <c r="E55" i="15"/>
  <c r="E48" i="15"/>
  <c r="E41" i="15"/>
  <c r="E39" i="15"/>
  <c r="E31" i="15"/>
  <c r="E288" i="15"/>
  <c r="E241" i="15"/>
  <c r="E193" i="15"/>
  <c r="E169" i="15"/>
  <c r="E145" i="15"/>
  <c r="E121" i="15"/>
  <c r="E97" i="15"/>
  <c r="E93" i="15"/>
  <c r="E89" i="15"/>
  <c r="E85" i="15"/>
  <c r="E81" i="15"/>
  <c r="E77" i="15"/>
  <c r="E73" i="15"/>
  <c r="E22" i="15"/>
  <c r="E15" i="15"/>
  <c r="E10" i="15"/>
  <c r="E233" i="15"/>
  <c r="E225" i="15"/>
  <c r="E217" i="15"/>
  <c r="E209" i="15"/>
  <c r="E197" i="15"/>
  <c r="E173" i="15"/>
  <c r="E149" i="15"/>
  <c r="E125" i="15"/>
  <c r="E101" i="15"/>
  <c r="E69" i="15"/>
  <c r="E53" i="15"/>
  <c r="E179" i="15"/>
  <c r="G178" i="15" s="1"/>
  <c r="E177" i="15"/>
  <c r="E155" i="15"/>
  <c r="E153" i="15"/>
  <c r="E131" i="15"/>
  <c r="E129" i="15"/>
  <c r="E107" i="15"/>
  <c r="E105" i="15"/>
  <c r="E35" i="15"/>
  <c r="E23" i="15"/>
  <c r="E6" i="15"/>
  <c r="E269" i="15"/>
  <c r="E65" i="15"/>
  <c r="E49" i="15"/>
  <c r="E20" i="15"/>
  <c r="E240" i="15"/>
  <c r="E216" i="15"/>
  <c r="G215" i="15" s="1"/>
  <c r="E183" i="15"/>
  <c r="E181" i="15"/>
  <c r="E159" i="15"/>
  <c r="E157" i="15"/>
  <c r="E135" i="15"/>
  <c r="E133" i="15"/>
  <c r="E111" i="15"/>
  <c r="E109" i="15"/>
  <c r="E27" i="15"/>
  <c r="E224" i="15"/>
  <c r="E185" i="15"/>
  <c r="E137" i="15"/>
  <c r="E61" i="15"/>
  <c r="E45" i="15"/>
  <c r="E226" i="15"/>
  <c r="E218" i="15"/>
  <c r="E161" i="15"/>
  <c r="F160" i="15" s="1"/>
  <c r="E113" i="15"/>
  <c r="E36" i="15"/>
  <c r="E242" i="15"/>
  <c r="E2" i="15"/>
  <c r="E246" i="15"/>
  <c r="E294" i="15"/>
  <c r="E43" i="15"/>
  <c r="E208" i="15"/>
  <c r="F207" i="15" s="1"/>
  <c r="E13" i="15"/>
  <c r="E234" i="15"/>
  <c r="E187" i="15"/>
  <c r="E11" i="15"/>
  <c r="E191" i="15"/>
  <c r="E67" i="15"/>
  <c r="E100" i="15"/>
  <c r="E21" i="15"/>
  <c r="E195" i="15"/>
  <c r="E68" i="15"/>
  <c r="E200" i="15"/>
  <c r="E148" i="15"/>
  <c r="E30" i="15"/>
  <c r="E198" i="15"/>
  <c r="E7" i="15"/>
  <c r="E151" i="15"/>
  <c r="E59" i="15"/>
  <c r="E5" i="15"/>
  <c r="E40" i="15"/>
  <c r="E175" i="15"/>
  <c r="E37" i="15"/>
  <c r="E17" i="15"/>
  <c r="E103" i="15"/>
  <c r="E124" i="15"/>
  <c r="E232" i="15"/>
  <c r="E163" i="15"/>
  <c r="E282" i="15"/>
  <c r="E139" i="15"/>
  <c r="E24" i="15"/>
  <c r="E99" i="15"/>
  <c r="E19" i="15"/>
  <c r="E32" i="15"/>
  <c r="E47" i="15"/>
  <c r="E126" i="15"/>
  <c r="E38" i="15"/>
  <c r="E102" i="15"/>
  <c r="E203" i="15"/>
  <c r="E143" i="15"/>
  <c r="E9" i="15"/>
  <c r="E119" i="15"/>
  <c r="E3" i="15"/>
  <c r="E147" i="15"/>
  <c r="E29" i="15"/>
  <c r="E123" i="15"/>
  <c r="E219" i="15"/>
  <c r="E94" i="15"/>
  <c r="E4" i="15"/>
  <c r="J297" i="14"/>
  <c r="G297" i="14"/>
  <c r="F297" i="14"/>
  <c r="J66" i="14"/>
  <c r="G66" i="14"/>
  <c r="F66" i="14"/>
  <c r="H66" i="14" s="1"/>
  <c r="J110" i="14"/>
  <c r="G110" i="14"/>
  <c r="F110" i="14"/>
  <c r="J28" i="13"/>
  <c r="G28" i="13"/>
  <c r="F28" i="13"/>
  <c r="G27" i="13"/>
  <c r="H27" i="13" s="1"/>
  <c r="G208" i="13"/>
  <c r="F208" i="13"/>
  <c r="J208" i="13"/>
  <c r="G52" i="13"/>
  <c r="F52" i="13"/>
  <c r="J52" i="13"/>
  <c r="J168" i="13"/>
  <c r="F168" i="13"/>
  <c r="G168" i="13"/>
  <c r="G167" i="13"/>
  <c r="H167" i="13" s="1"/>
  <c r="J20" i="13"/>
  <c r="G20" i="13"/>
  <c r="F20" i="13"/>
  <c r="G19" i="13"/>
  <c r="F19" i="13"/>
  <c r="F56" i="13"/>
  <c r="G56" i="13"/>
  <c r="J56" i="13"/>
  <c r="F296" i="13"/>
  <c r="G296" i="13"/>
  <c r="J296" i="13"/>
  <c r="J267" i="13"/>
  <c r="F267" i="13"/>
  <c r="G267" i="13"/>
  <c r="J118" i="13"/>
  <c r="G118" i="13"/>
  <c r="F118" i="13"/>
  <c r="F117" i="13"/>
  <c r="G117" i="13"/>
  <c r="G37" i="13"/>
  <c r="F37" i="13"/>
  <c r="H37" i="13" s="1"/>
  <c r="J37" i="13"/>
  <c r="F36" i="13"/>
  <c r="F61" i="13"/>
  <c r="H61" i="13" s="1"/>
  <c r="J193" i="12"/>
  <c r="G193" i="12"/>
  <c r="F193" i="12"/>
  <c r="E189" i="11"/>
  <c r="J238" i="10"/>
  <c r="F238" i="10"/>
  <c r="G238" i="10"/>
  <c r="J70" i="10"/>
  <c r="J294" i="9"/>
  <c r="J299" i="9"/>
  <c r="F299" i="9"/>
  <c r="G299" i="9"/>
  <c r="F298" i="9"/>
  <c r="F68" i="10"/>
  <c r="J175" i="9"/>
  <c r="G175" i="9"/>
  <c r="F175" i="9"/>
  <c r="J127" i="9"/>
  <c r="G127" i="9"/>
  <c r="F127" i="9"/>
  <c r="F265" i="10"/>
  <c r="J296" i="7"/>
  <c r="J179" i="22"/>
  <c r="G179" i="22"/>
  <c r="F179" i="22"/>
  <c r="H179" i="22" s="1"/>
  <c r="F159" i="22"/>
  <c r="J159" i="22"/>
  <c r="G159" i="22"/>
  <c r="G37" i="22"/>
  <c r="F37" i="22"/>
  <c r="H37" i="22" s="1"/>
  <c r="J37" i="22"/>
  <c r="J298" i="22"/>
  <c r="G298" i="22"/>
  <c r="F298" i="22"/>
  <c r="H298" i="22" s="1"/>
  <c r="J178" i="21"/>
  <c r="G178" i="21"/>
  <c r="F178" i="21"/>
  <c r="F64" i="21"/>
  <c r="J64" i="21"/>
  <c r="G64" i="21"/>
  <c r="G23" i="20"/>
  <c r="F23" i="20"/>
  <c r="J23" i="20"/>
  <c r="J192" i="20"/>
  <c r="G192" i="20"/>
  <c r="F192" i="20"/>
  <c r="G198" i="20"/>
  <c r="J198" i="20"/>
  <c r="F198" i="20"/>
  <c r="J84" i="20"/>
  <c r="G84" i="20"/>
  <c r="F84" i="20"/>
  <c r="G57" i="20"/>
  <c r="F57" i="20"/>
  <c r="J57" i="20"/>
  <c r="J191" i="19"/>
  <c r="G191" i="19"/>
  <c r="F191" i="19"/>
  <c r="F135" i="19"/>
  <c r="J135" i="19"/>
  <c r="G135" i="19"/>
  <c r="J286" i="19"/>
  <c r="F286" i="19"/>
  <c r="G286" i="19"/>
  <c r="J285" i="18"/>
  <c r="F285" i="18"/>
  <c r="G285" i="18"/>
  <c r="J253" i="18"/>
  <c r="G253" i="18"/>
  <c r="F253" i="18"/>
  <c r="J252" i="18"/>
  <c r="G252" i="18"/>
  <c r="F252" i="18"/>
  <c r="F277" i="17"/>
  <c r="G277" i="17"/>
  <c r="J277" i="17"/>
  <c r="F265" i="17"/>
  <c r="J265" i="17"/>
  <c r="G265" i="17"/>
  <c r="J88" i="18"/>
  <c r="G88" i="18"/>
  <c r="F88" i="18"/>
  <c r="G142" i="18"/>
  <c r="F142" i="18"/>
  <c r="J142" i="18"/>
  <c r="J286" i="18"/>
  <c r="G286" i="18"/>
  <c r="F286" i="18"/>
  <c r="J275" i="17"/>
  <c r="G275" i="17"/>
  <c r="F275" i="17"/>
  <c r="F163" i="17"/>
  <c r="G163" i="17"/>
  <c r="J163" i="17"/>
  <c r="J101" i="17"/>
  <c r="G101" i="17"/>
  <c r="F101" i="17"/>
  <c r="J9" i="17"/>
  <c r="G9" i="17"/>
  <c r="F9" i="17"/>
  <c r="G148" i="17"/>
  <c r="F148" i="17"/>
  <c r="J148" i="17"/>
  <c r="G99" i="16"/>
  <c r="F99" i="16"/>
  <c r="J99" i="16"/>
  <c r="J133" i="16"/>
  <c r="G133" i="16"/>
  <c r="F133" i="16"/>
  <c r="J145" i="16"/>
  <c r="G145" i="16"/>
  <c r="F145" i="16"/>
  <c r="G220" i="16"/>
  <c r="F220" i="16"/>
  <c r="J220" i="16"/>
  <c r="F18" i="17"/>
  <c r="J18" i="17"/>
  <c r="G18" i="17"/>
  <c r="F50" i="17"/>
  <c r="J50" i="17"/>
  <c r="G50" i="17"/>
  <c r="G254" i="15"/>
  <c r="J254" i="15"/>
  <c r="F254" i="15"/>
  <c r="J66" i="16"/>
  <c r="G66" i="16"/>
  <c r="F66" i="16"/>
  <c r="J241" i="16"/>
  <c r="G241" i="16"/>
  <c r="F241" i="16"/>
  <c r="G253" i="16"/>
  <c r="F253" i="16"/>
  <c r="J253" i="16"/>
  <c r="J117" i="16"/>
  <c r="F117" i="16"/>
  <c r="G117" i="16"/>
  <c r="J232" i="14"/>
  <c r="G232" i="14"/>
  <c r="F232" i="14"/>
  <c r="J268" i="14"/>
  <c r="G268" i="14"/>
  <c r="F268" i="14"/>
  <c r="J120" i="11"/>
  <c r="G120" i="11"/>
  <c r="F120" i="11"/>
  <c r="J207" i="11"/>
  <c r="F207" i="11"/>
  <c r="J203" i="8"/>
  <c r="G203" i="8"/>
  <c r="F203" i="8"/>
  <c r="J150" i="7"/>
  <c r="G299" i="22"/>
  <c r="F299" i="22"/>
  <c r="H299" i="22" s="1"/>
  <c r="J299" i="22"/>
  <c r="G259" i="22"/>
  <c r="J259" i="22"/>
  <c r="F259" i="22"/>
  <c r="H259" i="22" s="1"/>
  <c r="J218" i="22"/>
  <c r="G218" i="22"/>
  <c r="F218" i="22"/>
  <c r="H218" i="22" s="1"/>
  <c r="J197" i="22"/>
  <c r="G197" i="22"/>
  <c r="F197" i="22"/>
  <c r="J269" i="22"/>
  <c r="G269" i="22"/>
  <c r="F269" i="22"/>
  <c r="H269" i="22" s="1"/>
  <c r="J100" i="22"/>
  <c r="G100" i="22"/>
  <c r="F100" i="22"/>
  <c r="J104" i="22"/>
  <c r="F104" i="22"/>
  <c r="H104" i="22" s="1"/>
  <c r="G104" i="22"/>
  <c r="J135" i="22"/>
  <c r="G135" i="22"/>
  <c r="F135" i="22"/>
  <c r="H135" i="22" s="1"/>
  <c r="J161" i="22"/>
  <c r="G161" i="22"/>
  <c r="F161" i="22"/>
  <c r="G49" i="22"/>
  <c r="F49" i="22"/>
  <c r="J49" i="22"/>
  <c r="G160" i="22"/>
  <c r="J160" i="22"/>
  <c r="F160" i="22"/>
  <c r="H160" i="22" s="1"/>
  <c r="F101" i="22"/>
  <c r="H101" i="22" s="1"/>
  <c r="J101" i="22"/>
  <c r="G101" i="22"/>
  <c r="F256" i="21"/>
  <c r="J256" i="21"/>
  <c r="G256" i="21"/>
  <c r="G220" i="21"/>
  <c r="F220" i="21"/>
  <c r="J220" i="21"/>
  <c r="G53" i="22"/>
  <c r="F53" i="22"/>
  <c r="H53" i="22" s="1"/>
  <c r="J53" i="22"/>
  <c r="J71" i="22"/>
  <c r="G71" i="22"/>
  <c r="F71" i="22"/>
  <c r="F214" i="21"/>
  <c r="J214" i="21"/>
  <c r="G214" i="21"/>
  <c r="G278" i="21"/>
  <c r="F278" i="21"/>
  <c r="J278" i="21"/>
  <c r="J27" i="22"/>
  <c r="F27" i="22"/>
  <c r="H27" i="22" s="1"/>
  <c r="G27" i="22"/>
  <c r="J66" i="22"/>
  <c r="G66" i="22"/>
  <c r="F66" i="22"/>
  <c r="H66" i="22" s="1"/>
  <c r="G69" i="22"/>
  <c r="F69" i="22"/>
  <c r="H69" i="22" s="1"/>
  <c r="J69" i="22"/>
  <c r="G248" i="22"/>
  <c r="J248" i="22"/>
  <c r="F248" i="22"/>
  <c r="H248" i="22" s="1"/>
  <c r="J174" i="22"/>
  <c r="G174" i="22"/>
  <c r="F174" i="22"/>
  <c r="H174" i="22" s="1"/>
  <c r="G292" i="22"/>
  <c r="J292" i="22"/>
  <c r="F292" i="22"/>
  <c r="J257" i="22"/>
  <c r="G257" i="22"/>
  <c r="F257" i="22"/>
  <c r="H257" i="22" s="1"/>
  <c r="J221" i="22"/>
  <c r="G221" i="22"/>
  <c r="F221" i="22"/>
  <c r="H221" i="22" s="1"/>
  <c r="J210" i="22"/>
  <c r="G210" i="22"/>
  <c r="F210" i="22"/>
  <c r="G176" i="21"/>
  <c r="F176" i="21"/>
  <c r="J176" i="21"/>
  <c r="F195" i="21"/>
  <c r="J195" i="21"/>
  <c r="G195" i="21"/>
  <c r="J189" i="21"/>
  <c r="G189" i="21"/>
  <c r="F189" i="21"/>
  <c r="G184" i="21"/>
  <c r="F184" i="21"/>
  <c r="J184" i="21"/>
  <c r="J171" i="21"/>
  <c r="G171" i="21"/>
  <c r="F171" i="21"/>
  <c r="F183" i="21"/>
  <c r="J183" i="21"/>
  <c r="G183" i="21"/>
  <c r="J159" i="21"/>
  <c r="G159" i="21"/>
  <c r="F159" i="21"/>
  <c r="F132" i="21"/>
  <c r="J132" i="21"/>
  <c r="G132" i="21"/>
  <c r="J106" i="21"/>
  <c r="G106" i="21"/>
  <c r="F106" i="21"/>
  <c r="J125" i="21"/>
  <c r="G125" i="21"/>
  <c r="F125" i="21"/>
  <c r="J109" i="21"/>
  <c r="F109" i="21"/>
  <c r="G109" i="21"/>
  <c r="G19" i="21"/>
  <c r="F19" i="21"/>
  <c r="J19" i="21"/>
  <c r="J2" i="21"/>
  <c r="M16" i="21"/>
  <c r="G2" i="21"/>
  <c r="F2" i="21"/>
  <c r="J294" i="20"/>
  <c r="G294" i="20"/>
  <c r="F294" i="20"/>
  <c r="F44" i="21"/>
  <c r="J44" i="21"/>
  <c r="G44" i="21"/>
  <c r="G62" i="21"/>
  <c r="F62" i="21"/>
  <c r="J62" i="21"/>
  <c r="J63" i="21"/>
  <c r="G63" i="21"/>
  <c r="F63" i="21"/>
  <c r="J94" i="21"/>
  <c r="G94" i="21"/>
  <c r="F94" i="21"/>
  <c r="F69" i="21"/>
  <c r="G69" i="21"/>
  <c r="J69" i="21"/>
  <c r="J165" i="21"/>
  <c r="F165" i="21"/>
  <c r="G165" i="21"/>
  <c r="F265" i="21"/>
  <c r="J265" i="21"/>
  <c r="G265" i="21"/>
  <c r="J205" i="21"/>
  <c r="G205" i="21"/>
  <c r="F205" i="21"/>
  <c r="G293" i="21"/>
  <c r="J293" i="21"/>
  <c r="F293" i="21"/>
  <c r="H15" i="21"/>
  <c r="G269" i="20"/>
  <c r="J269" i="20"/>
  <c r="F269" i="20"/>
  <c r="F209" i="20"/>
  <c r="J209" i="20"/>
  <c r="G209" i="20"/>
  <c r="G149" i="20"/>
  <c r="F149" i="20"/>
  <c r="J149" i="20"/>
  <c r="H29" i="21"/>
  <c r="J136" i="20"/>
  <c r="F136" i="20"/>
  <c r="G136" i="20"/>
  <c r="F115" i="20"/>
  <c r="J115" i="20"/>
  <c r="G115" i="20"/>
  <c r="J121" i="20"/>
  <c r="G121" i="20"/>
  <c r="F121" i="20"/>
  <c r="F103" i="20"/>
  <c r="J103" i="20"/>
  <c r="G103" i="20"/>
  <c r="F296" i="19"/>
  <c r="G296" i="19"/>
  <c r="J296" i="19"/>
  <c r="G209" i="19"/>
  <c r="F209" i="19"/>
  <c r="J209" i="19"/>
  <c r="G261" i="19"/>
  <c r="F261" i="19"/>
  <c r="J261" i="19"/>
  <c r="F32" i="20"/>
  <c r="G32" i="20"/>
  <c r="J32" i="20"/>
  <c r="J22" i="20"/>
  <c r="G22" i="20"/>
  <c r="F22" i="20"/>
  <c r="F62" i="20"/>
  <c r="J62" i="20"/>
  <c r="G62" i="20"/>
  <c r="J125" i="20"/>
  <c r="G125" i="20"/>
  <c r="F125" i="20"/>
  <c r="J171" i="20"/>
  <c r="G171" i="20"/>
  <c r="F171" i="20"/>
  <c r="J212" i="20"/>
  <c r="G212" i="20"/>
  <c r="F212" i="20"/>
  <c r="J183" i="20"/>
  <c r="G183" i="20"/>
  <c r="F183" i="20"/>
  <c r="J231" i="20"/>
  <c r="G231" i="20"/>
  <c r="F231" i="20"/>
  <c r="G194" i="20"/>
  <c r="J194" i="20"/>
  <c r="F194" i="20"/>
  <c r="J242" i="20"/>
  <c r="G242" i="20"/>
  <c r="F242" i="20"/>
  <c r="F255" i="20"/>
  <c r="J255" i="20"/>
  <c r="G255" i="20"/>
  <c r="G269" i="19"/>
  <c r="F269" i="19"/>
  <c r="J269" i="19"/>
  <c r="G90" i="20"/>
  <c r="J90" i="20"/>
  <c r="F90" i="20"/>
  <c r="J197" i="19"/>
  <c r="G197" i="19"/>
  <c r="F197" i="19"/>
  <c r="J219" i="19"/>
  <c r="G219" i="19"/>
  <c r="F219" i="19"/>
  <c r="F260" i="19"/>
  <c r="J260" i="19"/>
  <c r="G260" i="19"/>
  <c r="J179" i="19"/>
  <c r="G179" i="19"/>
  <c r="F179" i="19"/>
  <c r="J204" i="19"/>
  <c r="G204" i="19"/>
  <c r="F204" i="19"/>
  <c r="G265" i="19"/>
  <c r="F265" i="19"/>
  <c r="J265" i="19"/>
  <c r="J8" i="20"/>
  <c r="G8" i="20"/>
  <c r="F8" i="20"/>
  <c r="G7" i="20"/>
  <c r="F7" i="20"/>
  <c r="J7" i="20"/>
  <c r="J182" i="19"/>
  <c r="G182" i="19"/>
  <c r="F182" i="19"/>
  <c r="J164" i="19"/>
  <c r="F164" i="19"/>
  <c r="G164" i="19"/>
  <c r="F68" i="19"/>
  <c r="J68" i="19"/>
  <c r="G68" i="19"/>
  <c r="J150" i="19"/>
  <c r="F150" i="19"/>
  <c r="G150" i="19"/>
  <c r="G33" i="20"/>
  <c r="F105" i="19"/>
  <c r="J105" i="19"/>
  <c r="G105" i="19"/>
  <c r="J116" i="19"/>
  <c r="G116" i="19"/>
  <c r="F116" i="19"/>
  <c r="G273" i="19"/>
  <c r="F273" i="19"/>
  <c r="J273" i="19"/>
  <c r="J170" i="19"/>
  <c r="F170" i="19"/>
  <c r="G170" i="19"/>
  <c r="J51" i="19"/>
  <c r="G51" i="19"/>
  <c r="F51" i="19"/>
  <c r="G113" i="19"/>
  <c r="F113" i="19"/>
  <c r="J113" i="19"/>
  <c r="J126" i="19"/>
  <c r="F126" i="19"/>
  <c r="G126" i="19"/>
  <c r="G275" i="18"/>
  <c r="F275" i="18"/>
  <c r="J275" i="18"/>
  <c r="J30" i="19"/>
  <c r="G30" i="19"/>
  <c r="F30" i="19"/>
  <c r="G35" i="19"/>
  <c r="F35" i="19"/>
  <c r="J35" i="19"/>
  <c r="J171" i="19"/>
  <c r="G171" i="19"/>
  <c r="F171" i="19"/>
  <c r="J53" i="19"/>
  <c r="G53" i="19"/>
  <c r="F53" i="19"/>
  <c r="J36" i="19"/>
  <c r="G36" i="19"/>
  <c r="F36" i="19"/>
  <c r="G90" i="19"/>
  <c r="F90" i="19"/>
  <c r="J90" i="19"/>
  <c r="J33" i="19"/>
  <c r="G33" i="19"/>
  <c r="F33" i="19"/>
  <c r="J301" i="18"/>
  <c r="G301" i="18"/>
  <c r="F301" i="18"/>
  <c r="J288" i="18"/>
  <c r="G288" i="18"/>
  <c r="F288" i="18"/>
  <c r="J268" i="18"/>
  <c r="G268" i="18"/>
  <c r="F268" i="18"/>
  <c r="J244" i="18"/>
  <c r="G244" i="18"/>
  <c r="F244" i="18"/>
  <c r="J177" i="18"/>
  <c r="G177" i="18"/>
  <c r="F177" i="18"/>
  <c r="J146" i="18"/>
  <c r="G146" i="18"/>
  <c r="F146" i="18"/>
  <c r="G78" i="18"/>
  <c r="F78" i="18"/>
  <c r="J78" i="18"/>
  <c r="G48" i="18"/>
  <c r="J48" i="18"/>
  <c r="F48" i="18"/>
  <c r="J132" i="18"/>
  <c r="G132" i="18"/>
  <c r="F132" i="18"/>
  <c r="G160" i="17"/>
  <c r="F160" i="17"/>
  <c r="J160" i="17"/>
  <c r="F67" i="17"/>
  <c r="G67" i="17"/>
  <c r="J67" i="17"/>
  <c r="J10" i="18"/>
  <c r="G10" i="18"/>
  <c r="F10" i="18"/>
  <c r="G14" i="18"/>
  <c r="F14" i="18"/>
  <c r="J14" i="18"/>
  <c r="J9" i="18"/>
  <c r="F9" i="18"/>
  <c r="G9" i="18"/>
  <c r="F160" i="18"/>
  <c r="J160" i="18"/>
  <c r="G160" i="18"/>
  <c r="J99" i="18"/>
  <c r="G99" i="18"/>
  <c r="F99" i="18"/>
  <c r="F111" i="18"/>
  <c r="G111" i="18"/>
  <c r="J111" i="18"/>
  <c r="F33" i="18"/>
  <c r="J33" i="18"/>
  <c r="G33" i="18"/>
  <c r="F81" i="18"/>
  <c r="J81" i="18"/>
  <c r="G81" i="18"/>
  <c r="J266" i="18"/>
  <c r="F266" i="18"/>
  <c r="G266" i="18"/>
  <c r="J238" i="18"/>
  <c r="G238" i="18"/>
  <c r="F238" i="18"/>
  <c r="G246" i="18"/>
  <c r="F246" i="18"/>
  <c r="J246" i="18"/>
  <c r="F218" i="18"/>
  <c r="J218" i="18"/>
  <c r="G218" i="18"/>
  <c r="G188" i="17"/>
  <c r="F188" i="17"/>
  <c r="J188" i="17"/>
  <c r="G288" i="17"/>
  <c r="F288" i="17"/>
  <c r="J288" i="17"/>
  <c r="G168" i="17"/>
  <c r="F168" i="17"/>
  <c r="J168" i="17"/>
  <c r="J16" i="17"/>
  <c r="G16" i="17"/>
  <c r="F16" i="17"/>
  <c r="G66" i="20"/>
  <c r="G176" i="17"/>
  <c r="F176" i="17"/>
  <c r="J176" i="17"/>
  <c r="G260" i="17"/>
  <c r="F260" i="17"/>
  <c r="J260" i="17"/>
  <c r="J121" i="17"/>
  <c r="G121" i="17"/>
  <c r="F121" i="17"/>
  <c r="J267" i="16"/>
  <c r="G267" i="16"/>
  <c r="F267" i="16"/>
  <c r="G86" i="17"/>
  <c r="F86" i="17"/>
  <c r="J86" i="17"/>
  <c r="F214" i="17"/>
  <c r="J214" i="17"/>
  <c r="G214" i="17"/>
  <c r="G284" i="16"/>
  <c r="F284" i="16"/>
  <c r="J284" i="16"/>
  <c r="F143" i="17"/>
  <c r="J143" i="17"/>
  <c r="G143" i="17"/>
  <c r="J299" i="16"/>
  <c r="G299" i="16"/>
  <c r="F299" i="16"/>
  <c r="J46" i="17"/>
  <c r="G46" i="17"/>
  <c r="F46" i="17"/>
  <c r="J185" i="17"/>
  <c r="G185" i="17"/>
  <c r="F185" i="17"/>
  <c r="J141" i="17"/>
  <c r="G141" i="17"/>
  <c r="F141" i="17"/>
  <c r="J97" i="17"/>
  <c r="G97" i="17"/>
  <c r="F97" i="17"/>
  <c r="F12" i="17"/>
  <c r="H12" i="17" s="1"/>
  <c r="G12" i="17"/>
  <c r="J12" i="17"/>
  <c r="J247" i="16"/>
  <c r="G247" i="16"/>
  <c r="F247" i="16"/>
  <c r="G109" i="16"/>
  <c r="F109" i="16"/>
  <c r="J109" i="16"/>
  <c r="F135" i="16"/>
  <c r="J135" i="16"/>
  <c r="G135" i="16"/>
  <c r="G134" i="16"/>
  <c r="G256" i="16"/>
  <c r="F256" i="16"/>
  <c r="J256" i="16"/>
  <c r="J103" i="16"/>
  <c r="G103" i="16"/>
  <c r="F103" i="16"/>
  <c r="J169" i="16"/>
  <c r="G169" i="16"/>
  <c r="F169" i="16"/>
  <c r="G168" i="16"/>
  <c r="F168" i="16"/>
  <c r="G194" i="16"/>
  <c r="J194" i="16"/>
  <c r="F194" i="16"/>
  <c r="J243" i="16"/>
  <c r="G243" i="16"/>
  <c r="F243" i="16"/>
  <c r="G132" i="16"/>
  <c r="F132" i="16"/>
  <c r="J132" i="16"/>
  <c r="F21" i="17"/>
  <c r="J21" i="17"/>
  <c r="G21" i="17"/>
  <c r="G192" i="16"/>
  <c r="F192" i="16"/>
  <c r="J192" i="16"/>
  <c r="J161" i="16"/>
  <c r="G161" i="16"/>
  <c r="F161" i="16"/>
  <c r="J24" i="17"/>
  <c r="G24" i="17"/>
  <c r="F24" i="17"/>
  <c r="J14" i="17"/>
  <c r="G14" i="17"/>
  <c r="F14" i="17"/>
  <c r="J73" i="17"/>
  <c r="G73" i="17"/>
  <c r="F73" i="17"/>
  <c r="F194" i="17"/>
  <c r="J194" i="17"/>
  <c r="G194" i="17"/>
  <c r="J248" i="17"/>
  <c r="F248" i="17"/>
  <c r="G248" i="17"/>
  <c r="F38" i="17"/>
  <c r="J38" i="17"/>
  <c r="G38" i="17"/>
  <c r="J295" i="17"/>
  <c r="G295" i="17"/>
  <c r="F295" i="17"/>
  <c r="G206" i="16"/>
  <c r="J206" i="16"/>
  <c r="F206" i="16"/>
  <c r="J178" i="15"/>
  <c r="F58" i="16"/>
  <c r="H58" i="16" s="1"/>
  <c r="G23" i="16"/>
  <c r="J262" i="15"/>
  <c r="F262" i="15"/>
  <c r="J207" i="15"/>
  <c r="J81" i="16"/>
  <c r="G81" i="16"/>
  <c r="F81" i="16"/>
  <c r="G54" i="16"/>
  <c r="J54" i="16"/>
  <c r="F54" i="16"/>
  <c r="J41" i="16"/>
  <c r="G41" i="16"/>
  <c r="F41" i="16"/>
  <c r="J53" i="16"/>
  <c r="F53" i="16"/>
  <c r="G53" i="16"/>
  <c r="G88" i="16"/>
  <c r="F88" i="16"/>
  <c r="J88" i="16"/>
  <c r="F47" i="16"/>
  <c r="J47" i="16"/>
  <c r="G47" i="16"/>
  <c r="F95" i="16"/>
  <c r="J95" i="16"/>
  <c r="G95" i="16"/>
  <c r="J297" i="16"/>
  <c r="G297" i="16"/>
  <c r="F297" i="16"/>
  <c r="F179" i="16"/>
  <c r="J179" i="16"/>
  <c r="G179" i="16"/>
  <c r="J265" i="16"/>
  <c r="G265" i="16"/>
  <c r="F265" i="16"/>
  <c r="G156" i="16"/>
  <c r="F156" i="16"/>
  <c r="J156" i="16"/>
  <c r="G190" i="15"/>
  <c r="F190" i="15"/>
  <c r="J190" i="15"/>
  <c r="F86" i="16"/>
  <c r="E214" i="15"/>
  <c r="E92" i="15"/>
  <c r="E63" i="15"/>
  <c r="G57" i="14"/>
  <c r="F57" i="14"/>
  <c r="J57" i="14"/>
  <c r="G105" i="14"/>
  <c r="J105" i="14"/>
  <c r="F105" i="14"/>
  <c r="J169" i="14"/>
  <c r="F169" i="14"/>
  <c r="G169" i="14"/>
  <c r="F135" i="13"/>
  <c r="J135" i="13"/>
  <c r="G135" i="13"/>
  <c r="F31" i="13"/>
  <c r="J31" i="13"/>
  <c r="G31" i="13"/>
  <c r="F30" i="13"/>
  <c r="G30" i="13"/>
  <c r="E173" i="11"/>
  <c r="G121" i="12"/>
  <c r="F121" i="12"/>
  <c r="J121" i="12"/>
  <c r="E255" i="11"/>
  <c r="E174" i="11"/>
  <c r="J114" i="12"/>
  <c r="G114" i="12"/>
  <c r="F114" i="12"/>
  <c r="J85" i="10"/>
  <c r="G85" i="10"/>
  <c r="F85" i="10"/>
  <c r="G84" i="10"/>
  <c r="J228" i="8"/>
  <c r="J99" i="8"/>
  <c r="J190" i="7"/>
  <c r="J169" i="7"/>
  <c r="J224" i="8"/>
  <c r="J203" i="7"/>
  <c r="J259" i="8"/>
  <c r="G259" i="8"/>
  <c r="F259" i="8"/>
  <c r="J115" i="8"/>
  <c r="G115" i="8"/>
  <c r="F115" i="8"/>
  <c r="J213" i="7"/>
  <c r="J199" i="7"/>
  <c r="J291" i="8"/>
  <c r="J147" i="8"/>
  <c r="J255" i="7"/>
  <c r="J224" i="7"/>
  <c r="J85" i="7"/>
  <c r="J72" i="7"/>
  <c r="J120" i="7"/>
  <c r="J210" i="7"/>
  <c r="J136" i="8"/>
  <c r="J62" i="8"/>
  <c r="J205" i="8"/>
  <c r="J244" i="8"/>
  <c r="E10" i="22"/>
  <c r="E17" i="22"/>
  <c r="J184" i="8"/>
  <c r="J213" i="8"/>
  <c r="J196" i="7"/>
  <c r="J55" i="8"/>
  <c r="G195" i="14"/>
  <c r="F195" i="14"/>
  <c r="J195" i="14"/>
  <c r="J257" i="14"/>
  <c r="G257" i="14"/>
  <c r="F257" i="14"/>
  <c r="J272" i="14"/>
  <c r="G272" i="14"/>
  <c r="F272" i="14"/>
  <c r="J233" i="14"/>
  <c r="G233" i="14"/>
  <c r="F233" i="14"/>
  <c r="J86" i="14"/>
  <c r="G86" i="14"/>
  <c r="F86" i="14"/>
  <c r="J146" i="14"/>
  <c r="G146" i="14"/>
  <c r="F146" i="14"/>
  <c r="J201" i="14"/>
  <c r="F201" i="14"/>
  <c r="G201" i="14"/>
  <c r="J284" i="14"/>
  <c r="G284" i="14"/>
  <c r="F284" i="14"/>
  <c r="J62" i="14"/>
  <c r="F62" i="14"/>
  <c r="G62" i="14"/>
  <c r="J74" i="14"/>
  <c r="G74" i="14"/>
  <c r="F74" i="14"/>
  <c r="G65" i="14"/>
  <c r="J65" i="14"/>
  <c r="F65" i="14"/>
  <c r="J106" i="14"/>
  <c r="G106" i="14"/>
  <c r="F106" i="14"/>
  <c r="J12" i="14"/>
  <c r="F12" i="14"/>
  <c r="G12" i="14"/>
  <c r="G26" i="14"/>
  <c r="F26" i="14"/>
  <c r="J26" i="14"/>
  <c r="J46" i="13"/>
  <c r="G46" i="13"/>
  <c r="F46" i="13"/>
  <c r="G198" i="13"/>
  <c r="F198" i="13"/>
  <c r="J198" i="13"/>
  <c r="J158" i="13"/>
  <c r="G158" i="13"/>
  <c r="F158" i="13"/>
  <c r="J10" i="14"/>
  <c r="F10" i="14"/>
  <c r="G10" i="14"/>
  <c r="G129" i="13"/>
  <c r="F129" i="13"/>
  <c r="J129" i="13"/>
  <c r="F267" i="12"/>
  <c r="G267" i="12"/>
  <c r="J267" i="12"/>
  <c r="F123" i="13"/>
  <c r="J123" i="13"/>
  <c r="G123" i="13"/>
  <c r="F139" i="13"/>
  <c r="J139" i="13"/>
  <c r="G139" i="13"/>
  <c r="G288" i="13"/>
  <c r="J288" i="13"/>
  <c r="F288" i="13"/>
  <c r="J72" i="13"/>
  <c r="F72" i="13"/>
  <c r="G72" i="13"/>
  <c r="G233" i="13"/>
  <c r="J233" i="13"/>
  <c r="F233" i="13"/>
  <c r="J240" i="13"/>
  <c r="G240" i="13"/>
  <c r="F240" i="13"/>
  <c r="F212" i="13"/>
  <c r="G212" i="13"/>
  <c r="J212" i="13"/>
  <c r="J191" i="13"/>
  <c r="F191" i="13"/>
  <c r="H191" i="13" s="1"/>
  <c r="G191" i="13"/>
  <c r="J123" i="14"/>
  <c r="G123" i="14"/>
  <c r="F123" i="14"/>
  <c r="F271" i="12"/>
  <c r="J271" i="12"/>
  <c r="G271" i="12"/>
  <c r="J169" i="12"/>
  <c r="G169" i="12"/>
  <c r="F169" i="12"/>
  <c r="F122" i="13"/>
  <c r="J39" i="13"/>
  <c r="G39" i="13"/>
  <c r="F39" i="13"/>
  <c r="F22" i="13"/>
  <c r="H22" i="13" s="1"/>
  <c r="F71" i="13"/>
  <c r="G71" i="13"/>
  <c r="J71" i="13"/>
  <c r="G3" i="14"/>
  <c r="F3" i="14"/>
  <c r="J3" i="14"/>
  <c r="G220" i="14"/>
  <c r="J220" i="14"/>
  <c r="F220" i="14"/>
  <c r="J189" i="14"/>
  <c r="F189" i="14"/>
  <c r="G189" i="14"/>
  <c r="J160" i="14"/>
  <c r="G160" i="14"/>
  <c r="F160" i="14"/>
  <c r="J103" i="14"/>
  <c r="G103" i="14"/>
  <c r="F103" i="14"/>
  <c r="G184" i="14"/>
  <c r="J184" i="14"/>
  <c r="F184" i="14"/>
  <c r="G84" i="14"/>
  <c r="J84" i="14"/>
  <c r="F84" i="14"/>
  <c r="G216" i="14"/>
  <c r="J216" i="14"/>
  <c r="F216" i="14"/>
  <c r="G141" i="14"/>
  <c r="F141" i="14"/>
  <c r="J141" i="14"/>
  <c r="J274" i="14"/>
  <c r="G274" i="14"/>
  <c r="F274" i="14"/>
  <c r="G231" i="14"/>
  <c r="J231" i="14"/>
  <c r="F231" i="14"/>
  <c r="G279" i="14"/>
  <c r="J279" i="14"/>
  <c r="F279" i="14"/>
  <c r="J177" i="12"/>
  <c r="G177" i="12"/>
  <c r="F177" i="12"/>
  <c r="G125" i="12"/>
  <c r="F125" i="12"/>
  <c r="J125" i="12"/>
  <c r="G260" i="12"/>
  <c r="F260" i="12"/>
  <c r="J260" i="12"/>
  <c r="G93" i="12"/>
  <c r="F93" i="12"/>
  <c r="J93" i="12"/>
  <c r="G73" i="12"/>
  <c r="F73" i="12"/>
  <c r="J73" i="12"/>
  <c r="G37" i="12"/>
  <c r="F37" i="12"/>
  <c r="J37" i="12"/>
  <c r="J266" i="12"/>
  <c r="G266" i="12"/>
  <c r="F266" i="12"/>
  <c r="G113" i="12"/>
  <c r="F113" i="12"/>
  <c r="J113" i="12"/>
  <c r="F5" i="12"/>
  <c r="J5" i="12"/>
  <c r="G5" i="12"/>
  <c r="F127" i="10"/>
  <c r="G127" i="10"/>
  <c r="J127" i="10"/>
  <c r="J54" i="12"/>
  <c r="G54" i="12"/>
  <c r="F54" i="12"/>
  <c r="F283" i="10"/>
  <c r="J283" i="10"/>
  <c r="G283" i="10"/>
  <c r="J245" i="12"/>
  <c r="G245" i="12"/>
  <c r="F245" i="12"/>
  <c r="F215" i="10"/>
  <c r="J215" i="10"/>
  <c r="G215" i="10"/>
  <c r="J106" i="12"/>
  <c r="G106" i="12"/>
  <c r="F106" i="12"/>
  <c r="G156" i="10"/>
  <c r="F156" i="10"/>
  <c r="J156" i="10"/>
  <c r="J79" i="10"/>
  <c r="F79" i="10"/>
  <c r="G79" i="10"/>
  <c r="J170" i="10"/>
  <c r="G170" i="10"/>
  <c r="F170" i="10"/>
  <c r="G72" i="10"/>
  <c r="F72" i="10"/>
  <c r="J72" i="10"/>
  <c r="J9" i="10"/>
  <c r="F9" i="10"/>
  <c r="G9" i="10"/>
  <c r="J250" i="9"/>
  <c r="G250" i="9"/>
  <c r="F250" i="9"/>
  <c r="J226" i="9"/>
  <c r="G226" i="9"/>
  <c r="F226" i="9"/>
  <c r="J202" i="9"/>
  <c r="J178" i="9"/>
  <c r="G178" i="9"/>
  <c r="F178" i="9"/>
  <c r="J154" i="9"/>
  <c r="G154" i="9"/>
  <c r="F154" i="9"/>
  <c r="J130" i="9"/>
  <c r="G130" i="9"/>
  <c r="F130" i="9"/>
  <c r="J134" i="12"/>
  <c r="G134" i="12"/>
  <c r="F134" i="12"/>
  <c r="G220" i="12"/>
  <c r="F220" i="12"/>
  <c r="J220" i="12"/>
  <c r="J115" i="12"/>
  <c r="F115" i="12"/>
  <c r="G115" i="12"/>
  <c r="J30" i="12"/>
  <c r="G30" i="12"/>
  <c r="F30" i="12"/>
  <c r="J21" i="12"/>
  <c r="G21" i="12"/>
  <c r="F21" i="12"/>
  <c r="G152" i="12"/>
  <c r="F152" i="12"/>
  <c r="J152" i="12"/>
  <c r="G234" i="12"/>
  <c r="F234" i="12"/>
  <c r="J234" i="12"/>
  <c r="J199" i="12"/>
  <c r="G199" i="12"/>
  <c r="F199" i="12"/>
  <c r="G262" i="12"/>
  <c r="J262" i="12"/>
  <c r="F262" i="12"/>
  <c r="J300" i="12"/>
  <c r="G300" i="12"/>
  <c r="F300" i="12"/>
  <c r="F88" i="12"/>
  <c r="G88" i="12"/>
  <c r="J88" i="12"/>
  <c r="F136" i="12"/>
  <c r="G136" i="12"/>
  <c r="J136" i="12"/>
  <c r="J159" i="12"/>
  <c r="F159" i="12"/>
  <c r="G159" i="12"/>
  <c r="J288" i="12"/>
  <c r="G288" i="12"/>
  <c r="F288" i="12"/>
  <c r="F52" i="10"/>
  <c r="F17" i="10"/>
  <c r="J290" i="10"/>
  <c r="J140" i="10"/>
  <c r="J241" i="10"/>
  <c r="F241" i="10"/>
  <c r="G241" i="10"/>
  <c r="F117" i="10"/>
  <c r="G212" i="10"/>
  <c r="J212" i="10"/>
  <c r="F212" i="10"/>
  <c r="G276" i="10"/>
  <c r="J276" i="10"/>
  <c r="F276" i="10"/>
  <c r="G284" i="9"/>
  <c r="F284" i="9"/>
  <c r="J284" i="9"/>
  <c r="F8" i="10"/>
  <c r="G247" i="9"/>
  <c r="J151" i="9"/>
  <c r="G151" i="9"/>
  <c r="F151" i="9"/>
  <c r="H151" i="9" s="1"/>
  <c r="J93" i="9"/>
  <c r="G93" i="9"/>
  <c r="F93" i="9"/>
  <c r="J45" i="9"/>
  <c r="G45" i="9"/>
  <c r="F45" i="9"/>
  <c r="F225" i="9"/>
  <c r="F209" i="9"/>
  <c r="F177" i="9"/>
  <c r="F145" i="9"/>
  <c r="F129" i="9"/>
  <c r="J300" i="8"/>
  <c r="J156" i="8"/>
  <c r="J275" i="7"/>
  <c r="J191" i="8"/>
  <c r="G191" i="8"/>
  <c r="F191" i="8"/>
  <c r="J295" i="7"/>
  <c r="J157" i="7"/>
  <c r="G212" i="8"/>
  <c r="F212" i="8"/>
  <c r="J212" i="8"/>
  <c r="J191" i="7"/>
  <c r="E18" i="8"/>
  <c r="J201" i="7"/>
  <c r="J187" i="7"/>
  <c r="E279" i="8"/>
  <c r="E135" i="8"/>
  <c r="J253" i="7"/>
  <c r="J82" i="7"/>
  <c r="J76" i="7"/>
  <c r="J124" i="7"/>
  <c r="J212" i="7"/>
  <c r="E121" i="8"/>
  <c r="G120" i="8" s="1"/>
  <c r="E58" i="8"/>
  <c r="J123" i="7"/>
  <c r="E229" i="8"/>
  <c r="G228" i="8" s="1"/>
  <c r="J272" i="7"/>
  <c r="E20" i="22"/>
  <c r="E169" i="8"/>
  <c r="E109" i="8"/>
  <c r="G108" i="8" s="1"/>
  <c r="E208" i="8"/>
  <c r="J178" i="7"/>
  <c r="E261" i="8"/>
  <c r="G260" i="8" s="1"/>
  <c r="E51" i="8"/>
  <c r="G50" i="8" s="1"/>
  <c r="F167" i="14"/>
  <c r="J167" i="14"/>
  <c r="G167" i="14"/>
  <c r="J241" i="14"/>
  <c r="G241" i="14"/>
  <c r="F241" i="14"/>
  <c r="J256" i="14"/>
  <c r="G256" i="14"/>
  <c r="F256" i="14"/>
  <c r="J224" i="14"/>
  <c r="G224" i="14"/>
  <c r="F224" i="14"/>
  <c r="G73" i="14"/>
  <c r="J73" i="14"/>
  <c r="F73" i="14"/>
  <c r="G113" i="14"/>
  <c r="J113" i="14"/>
  <c r="F113" i="14"/>
  <c r="G53" i="14"/>
  <c r="J53" i="14"/>
  <c r="F53" i="14"/>
  <c r="J58" i="14"/>
  <c r="F58" i="14"/>
  <c r="G58" i="14"/>
  <c r="F210" i="14"/>
  <c r="J210" i="14"/>
  <c r="G210" i="14"/>
  <c r="J134" i="13"/>
  <c r="F134" i="13"/>
  <c r="G134" i="13"/>
  <c r="J6" i="14"/>
  <c r="F6" i="14"/>
  <c r="G6" i="14"/>
  <c r="J279" i="13"/>
  <c r="F279" i="13"/>
  <c r="G279" i="13"/>
  <c r="J255" i="13"/>
  <c r="F255" i="13"/>
  <c r="H255" i="13" s="1"/>
  <c r="G255" i="13"/>
  <c r="G174" i="13"/>
  <c r="F174" i="13"/>
  <c r="J174" i="13"/>
  <c r="J197" i="14"/>
  <c r="F197" i="14"/>
  <c r="G197" i="14"/>
  <c r="J27" i="14"/>
  <c r="G27" i="14"/>
  <c r="F27" i="14"/>
  <c r="J4" i="14"/>
  <c r="F4" i="14"/>
  <c r="G4" i="14"/>
  <c r="H131" i="13"/>
  <c r="J63" i="14"/>
  <c r="G63" i="14"/>
  <c r="F63" i="14"/>
  <c r="J90" i="13"/>
  <c r="G90" i="13"/>
  <c r="F90" i="13"/>
  <c r="F144" i="13"/>
  <c r="J144" i="13"/>
  <c r="G144" i="13"/>
  <c r="J228" i="13"/>
  <c r="G228" i="13"/>
  <c r="F228" i="13"/>
  <c r="G77" i="13"/>
  <c r="J77" i="13"/>
  <c r="F77" i="13"/>
  <c r="J244" i="13"/>
  <c r="G244" i="13"/>
  <c r="F244" i="13"/>
  <c r="G253" i="13"/>
  <c r="F253" i="13"/>
  <c r="J253" i="13"/>
  <c r="G225" i="13"/>
  <c r="F225" i="13"/>
  <c r="J225" i="13"/>
  <c r="J253" i="12"/>
  <c r="G253" i="12"/>
  <c r="F253" i="12"/>
  <c r="J157" i="12"/>
  <c r="G157" i="12"/>
  <c r="F157" i="12"/>
  <c r="G169" i="13"/>
  <c r="J169" i="13"/>
  <c r="F169" i="13"/>
  <c r="G181" i="13"/>
  <c r="J181" i="13"/>
  <c r="F181" i="13"/>
  <c r="G282" i="13"/>
  <c r="F282" i="13"/>
  <c r="J282" i="13"/>
  <c r="G97" i="13"/>
  <c r="J97" i="13"/>
  <c r="F97" i="13"/>
  <c r="J248" i="13"/>
  <c r="G248" i="13"/>
  <c r="F248" i="13"/>
  <c r="J270" i="12"/>
  <c r="G270" i="12"/>
  <c r="F270" i="12"/>
  <c r="J54" i="14"/>
  <c r="G54" i="14"/>
  <c r="F54" i="14"/>
  <c r="G9" i="14"/>
  <c r="F9" i="14"/>
  <c r="J9" i="14"/>
  <c r="J294" i="14"/>
  <c r="G294" i="14"/>
  <c r="F294" i="14"/>
  <c r="J214" i="14"/>
  <c r="G214" i="14"/>
  <c r="F214" i="14"/>
  <c r="J166" i="14"/>
  <c r="G166" i="14"/>
  <c r="F166" i="14"/>
  <c r="J222" i="14"/>
  <c r="F222" i="14"/>
  <c r="G222" i="14"/>
  <c r="F2" i="14"/>
  <c r="J2" i="14"/>
  <c r="G2" i="14"/>
  <c r="M16" i="14"/>
  <c r="J230" i="14"/>
  <c r="G230" i="14"/>
  <c r="F230" i="14"/>
  <c r="J221" i="14"/>
  <c r="F221" i="14"/>
  <c r="G221" i="14"/>
  <c r="G145" i="14"/>
  <c r="F145" i="14"/>
  <c r="J145" i="14"/>
  <c r="J290" i="14"/>
  <c r="G290" i="14"/>
  <c r="F290" i="14"/>
  <c r="G235" i="14"/>
  <c r="J235" i="14"/>
  <c r="F235" i="14"/>
  <c r="G283" i="14"/>
  <c r="J283" i="14"/>
  <c r="F283" i="14"/>
  <c r="G73" i="13"/>
  <c r="J73" i="13"/>
  <c r="F73" i="13"/>
  <c r="J161" i="12"/>
  <c r="G161" i="12"/>
  <c r="F161" i="12"/>
  <c r="G77" i="12"/>
  <c r="F77" i="12"/>
  <c r="J77" i="12"/>
  <c r="G244" i="12"/>
  <c r="F244" i="12"/>
  <c r="J244" i="12"/>
  <c r="G127" i="13"/>
  <c r="H127" i="13" s="1"/>
  <c r="G25" i="12"/>
  <c r="F25" i="12"/>
  <c r="J25" i="12"/>
  <c r="G45" i="12"/>
  <c r="F45" i="12"/>
  <c r="J45" i="12"/>
  <c r="F153" i="13"/>
  <c r="H153" i="13" s="1"/>
  <c r="F17" i="12"/>
  <c r="J17" i="12"/>
  <c r="G17" i="12"/>
  <c r="G226" i="12"/>
  <c r="J226" i="12"/>
  <c r="F226" i="12"/>
  <c r="F224" i="13"/>
  <c r="G210" i="12"/>
  <c r="J210" i="12"/>
  <c r="F210" i="12"/>
  <c r="H210" i="12" s="1"/>
  <c r="G109" i="12"/>
  <c r="F109" i="12"/>
  <c r="J109" i="12"/>
  <c r="J119" i="10"/>
  <c r="F287" i="10"/>
  <c r="G287" i="10"/>
  <c r="J287" i="10"/>
  <c r="J66" i="12"/>
  <c r="G66" i="12"/>
  <c r="F66" i="12"/>
  <c r="F267" i="10"/>
  <c r="J267" i="10"/>
  <c r="G267" i="10"/>
  <c r="J138" i="12"/>
  <c r="G138" i="12"/>
  <c r="F138" i="12"/>
  <c r="F199" i="10"/>
  <c r="J199" i="10"/>
  <c r="G199" i="10"/>
  <c r="G108" i="10"/>
  <c r="F108" i="10"/>
  <c r="J108" i="10"/>
  <c r="F149" i="10"/>
  <c r="G149" i="10"/>
  <c r="J149" i="10"/>
  <c r="G288" i="9"/>
  <c r="F288" i="9"/>
  <c r="J288" i="9"/>
  <c r="F195" i="10"/>
  <c r="G195" i="10"/>
  <c r="J195" i="10"/>
  <c r="J69" i="10"/>
  <c r="G69" i="10"/>
  <c r="F69" i="10"/>
  <c r="J277" i="10"/>
  <c r="J138" i="10"/>
  <c r="G138" i="10"/>
  <c r="F138" i="10"/>
  <c r="J66" i="10"/>
  <c r="G66" i="10"/>
  <c r="F66" i="10"/>
  <c r="F248" i="9"/>
  <c r="J248" i="9"/>
  <c r="G248" i="9"/>
  <c r="F224" i="9"/>
  <c r="J224" i="9"/>
  <c r="G224" i="9"/>
  <c r="F200" i="9"/>
  <c r="J200" i="9"/>
  <c r="G200" i="9"/>
  <c r="F176" i="9"/>
  <c r="J176" i="9"/>
  <c r="G176" i="9"/>
  <c r="J152" i="9"/>
  <c r="J128" i="9"/>
  <c r="J290" i="9"/>
  <c r="J43" i="12"/>
  <c r="F43" i="12"/>
  <c r="G43" i="12"/>
  <c r="G277" i="12"/>
  <c r="F277" i="12"/>
  <c r="J277" i="12"/>
  <c r="G156" i="12"/>
  <c r="F156" i="12"/>
  <c r="J156" i="12"/>
  <c r="J62" i="12"/>
  <c r="G62" i="12"/>
  <c r="F62" i="12"/>
  <c r="J31" i="12"/>
  <c r="F31" i="12"/>
  <c r="G31" i="12"/>
  <c r="G168" i="12"/>
  <c r="F168" i="12"/>
  <c r="J168" i="12"/>
  <c r="G250" i="12"/>
  <c r="F250" i="12"/>
  <c r="J250" i="12"/>
  <c r="J215" i="12"/>
  <c r="G215" i="12"/>
  <c r="F215" i="12"/>
  <c r="H215" i="12" s="1"/>
  <c r="G273" i="12"/>
  <c r="F273" i="12"/>
  <c r="J273" i="12"/>
  <c r="G269" i="12"/>
  <c r="J269" i="12"/>
  <c r="F269" i="12"/>
  <c r="F92" i="12"/>
  <c r="G92" i="12"/>
  <c r="J92" i="12"/>
  <c r="F140" i="12"/>
  <c r="G140" i="12"/>
  <c r="J140" i="12"/>
  <c r="J175" i="12"/>
  <c r="F175" i="12"/>
  <c r="G175" i="12"/>
  <c r="J268" i="12"/>
  <c r="G268" i="12"/>
  <c r="F268" i="12"/>
  <c r="G229" i="10"/>
  <c r="J261" i="10"/>
  <c r="F261" i="10"/>
  <c r="G261" i="10"/>
  <c r="J109" i="10"/>
  <c r="G109" i="10"/>
  <c r="F109" i="10"/>
  <c r="G248" i="10"/>
  <c r="J248" i="10"/>
  <c r="F248" i="10"/>
  <c r="G122" i="10"/>
  <c r="F122" i="10"/>
  <c r="J122" i="10"/>
  <c r="G214" i="10"/>
  <c r="F214" i="10"/>
  <c r="J214" i="10"/>
  <c r="G278" i="10"/>
  <c r="J102" i="12"/>
  <c r="G102" i="12"/>
  <c r="F102" i="12"/>
  <c r="J195" i="9"/>
  <c r="G195" i="9"/>
  <c r="F195" i="9"/>
  <c r="J147" i="9"/>
  <c r="G147" i="9"/>
  <c r="F147" i="9"/>
  <c r="G292" i="9"/>
  <c r="F292" i="9"/>
  <c r="J292" i="9"/>
  <c r="J285" i="9"/>
  <c r="G285" i="9"/>
  <c r="F285" i="9"/>
  <c r="G98" i="9"/>
  <c r="J99" i="9"/>
  <c r="G225" i="9"/>
  <c r="G177" i="9"/>
  <c r="F98" i="9"/>
  <c r="J288" i="8"/>
  <c r="J144" i="8"/>
  <c r="J273" i="7"/>
  <c r="J179" i="8"/>
  <c r="G179" i="8"/>
  <c r="F179" i="8"/>
  <c r="J293" i="7"/>
  <c r="G200" i="8"/>
  <c r="F200" i="8"/>
  <c r="J200" i="8"/>
  <c r="J179" i="7"/>
  <c r="J235" i="8"/>
  <c r="G235" i="8"/>
  <c r="F235" i="8"/>
  <c r="J189" i="7"/>
  <c r="J175" i="7"/>
  <c r="J267" i="8"/>
  <c r="J123" i="8"/>
  <c r="J231" i="7"/>
  <c r="J201" i="8"/>
  <c r="J69" i="7"/>
  <c r="J228" i="7"/>
  <c r="J80" i="7"/>
  <c r="J128" i="7"/>
  <c r="J236" i="7"/>
  <c r="J102" i="8"/>
  <c r="G102" i="8"/>
  <c r="F102" i="8"/>
  <c r="J258" i="7"/>
  <c r="E301" i="8"/>
  <c r="G300" i="8" s="1"/>
  <c r="E105" i="8"/>
  <c r="F104" i="8" s="1"/>
  <c r="E4" i="22"/>
  <c r="E149" i="8"/>
  <c r="E193" i="8"/>
  <c r="G192" i="8" s="1"/>
  <c r="J152" i="7"/>
  <c r="E297" i="8"/>
  <c r="G296" i="8" s="1"/>
  <c r="E256" i="8"/>
  <c r="G255" i="8" s="1"/>
  <c r="E47" i="8"/>
  <c r="G46" i="8" s="1"/>
  <c r="G175" i="14"/>
  <c r="F175" i="14"/>
  <c r="J175" i="14"/>
  <c r="J240" i="14"/>
  <c r="G240" i="14"/>
  <c r="F240" i="14"/>
  <c r="J199" i="14"/>
  <c r="G199" i="14"/>
  <c r="F199" i="14"/>
  <c r="J236" i="14"/>
  <c r="G236" i="14"/>
  <c r="F236" i="14"/>
  <c r="J194" i="14"/>
  <c r="G194" i="14"/>
  <c r="F194" i="14"/>
  <c r="J42" i="14"/>
  <c r="G42" i="14"/>
  <c r="F42" i="14"/>
  <c r="J206" i="14"/>
  <c r="G206" i="14"/>
  <c r="F206" i="14"/>
  <c r="J275" i="13"/>
  <c r="F275" i="13"/>
  <c r="G275" i="13"/>
  <c r="J251" i="13"/>
  <c r="F251" i="13"/>
  <c r="G251" i="13"/>
  <c r="J178" i="14"/>
  <c r="G178" i="14"/>
  <c r="F178" i="14"/>
  <c r="J110" i="13"/>
  <c r="G110" i="13"/>
  <c r="F110" i="13"/>
  <c r="J23" i="14"/>
  <c r="G23" i="14"/>
  <c r="F23" i="14"/>
  <c r="G294" i="13"/>
  <c r="F294" i="13"/>
  <c r="J294" i="13"/>
  <c r="J43" i="14"/>
  <c r="G43" i="14"/>
  <c r="F43" i="14"/>
  <c r="G297" i="13"/>
  <c r="J297" i="13"/>
  <c r="F297" i="13"/>
  <c r="G49" i="13"/>
  <c r="J49" i="13"/>
  <c r="F49" i="13"/>
  <c r="G149" i="13"/>
  <c r="F149" i="13"/>
  <c r="J149" i="13"/>
  <c r="G241" i="13"/>
  <c r="J241" i="13"/>
  <c r="F241" i="13"/>
  <c r="F115" i="13"/>
  <c r="G115" i="13"/>
  <c r="J115" i="13"/>
  <c r="G257" i="13"/>
  <c r="J257" i="13"/>
  <c r="F257" i="13"/>
  <c r="J264" i="13"/>
  <c r="G264" i="13"/>
  <c r="F264" i="13"/>
  <c r="F236" i="13"/>
  <c r="G236" i="13"/>
  <c r="J236" i="13"/>
  <c r="J217" i="14"/>
  <c r="F217" i="14"/>
  <c r="G217" i="14"/>
  <c r="J164" i="13"/>
  <c r="G164" i="13"/>
  <c r="F164" i="13"/>
  <c r="J216" i="13"/>
  <c r="G216" i="13"/>
  <c r="F216" i="13"/>
  <c r="F79" i="13"/>
  <c r="G79" i="13"/>
  <c r="J79" i="13"/>
  <c r="J249" i="12"/>
  <c r="G249" i="12"/>
  <c r="F249" i="12"/>
  <c r="J153" i="12"/>
  <c r="G153" i="12"/>
  <c r="F153" i="12"/>
  <c r="F112" i="13"/>
  <c r="H112" i="13" s="1"/>
  <c r="F17" i="13"/>
  <c r="H17" i="13" s="1"/>
  <c r="G218" i="13"/>
  <c r="F218" i="13"/>
  <c r="J218" i="13"/>
  <c r="F284" i="13"/>
  <c r="G284" i="13"/>
  <c r="J284" i="13"/>
  <c r="G49" i="14"/>
  <c r="J49" i="14"/>
  <c r="F49" i="14"/>
  <c r="G15" i="14"/>
  <c r="F15" i="14"/>
  <c r="J15" i="14"/>
  <c r="J67" i="14"/>
  <c r="G67" i="14"/>
  <c r="F67" i="14"/>
  <c r="J48" i="14"/>
  <c r="G48" i="14"/>
  <c r="F48" i="14"/>
  <c r="J83" i="14"/>
  <c r="G83" i="14"/>
  <c r="F83" i="14"/>
  <c r="G88" i="14"/>
  <c r="F88" i="14"/>
  <c r="J88" i="14"/>
  <c r="F8" i="14"/>
  <c r="J8" i="14"/>
  <c r="G8" i="14"/>
  <c r="J246" i="14"/>
  <c r="G246" i="14"/>
  <c r="F246" i="14"/>
  <c r="J298" i="14"/>
  <c r="G298" i="14"/>
  <c r="F298" i="14"/>
  <c r="G149" i="14"/>
  <c r="F149" i="14"/>
  <c r="J149" i="14"/>
  <c r="J288" i="14"/>
  <c r="G288" i="14"/>
  <c r="F288" i="14"/>
  <c r="G239" i="14"/>
  <c r="J239" i="14"/>
  <c r="F239" i="14"/>
  <c r="G287" i="14"/>
  <c r="J287" i="14"/>
  <c r="F287" i="14"/>
  <c r="G41" i="12"/>
  <c r="F41" i="12"/>
  <c r="J41" i="12"/>
  <c r="G194" i="12"/>
  <c r="J194" i="12"/>
  <c r="F194" i="12"/>
  <c r="G22" i="14"/>
  <c r="H22" i="14" s="1"/>
  <c r="G23" i="12"/>
  <c r="J23" i="12"/>
  <c r="F23" i="12"/>
  <c r="G137" i="12"/>
  <c r="F137" i="12"/>
  <c r="J137" i="12"/>
  <c r="G224" i="13"/>
  <c r="G180" i="12"/>
  <c r="F180" i="12"/>
  <c r="J180" i="12"/>
  <c r="J90" i="12"/>
  <c r="G90" i="12"/>
  <c r="F90" i="12"/>
  <c r="H90" i="12" s="1"/>
  <c r="G238" i="12"/>
  <c r="J238" i="12"/>
  <c r="F238" i="12"/>
  <c r="F271" i="10"/>
  <c r="G271" i="10"/>
  <c r="J271" i="10"/>
  <c r="J58" i="12"/>
  <c r="G58" i="12"/>
  <c r="F58" i="12"/>
  <c r="F251" i="10"/>
  <c r="J251" i="10"/>
  <c r="G251" i="10"/>
  <c r="G228" i="12"/>
  <c r="F228" i="12"/>
  <c r="J228" i="12"/>
  <c r="G65" i="12"/>
  <c r="F65" i="12"/>
  <c r="J65" i="12"/>
  <c r="F183" i="10"/>
  <c r="J183" i="10"/>
  <c r="G183" i="10"/>
  <c r="J102" i="10"/>
  <c r="G102" i="10"/>
  <c r="F102" i="10"/>
  <c r="J274" i="10"/>
  <c r="G274" i="10"/>
  <c r="F274" i="10"/>
  <c r="J128" i="10"/>
  <c r="G128" i="10"/>
  <c r="F128" i="10"/>
  <c r="J118" i="12"/>
  <c r="G118" i="12"/>
  <c r="F118" i="12"/>
  <c r="J63" i="10"/>
  <c r="F63" i="10"/>
  <c r="G63" i="10"/>
  <c r="J283" i="9"/>
  <c r="G283" i="9"/>
  <c r="F283" i="9"/>
  <c r="J275" i="9"/>
  <c r="J246" i="9"/>
  <c r="J222" i="9"/>
  <c r="J198" i="9"/>
  <c r="J174" i="9"/>
  <c r="G174" i="9"/>
  <c r="F174" i="9"/>
  <c r="J150" i="9"/>
  <c r="G150" i="9"/>
  <c r="F150" i="9"/>
  <c r="J126" i="9"/>
  <c r="G126" i="9"/>
  <c r="F126" i="9"/>
  <c r="J270" i="9"/>
  <c r="G270" i="9"/>
  <c r="F270" i="9"/>
  <c r="J47" i="12"/>
  <c r="F47" i="12"/>
  <c r="G47" i="12"/>
  <c r="J16" i="12"/>
  <c r="F16" i="12"/>
  <c r="G16" i="12"/>
  <c r="G188" i="12"/>
  <c r="F188" i="12"/>
  <c r="J188" i="12"/>
  <c r="J79" i="12"/>
  <c r="F79" i="12"/>
  <c r="G79" i="12"/>
  <c r="F36" i="12"/>
  <c r="G36" i="12"/>
  <c r="J36" i="12"/>
  <c r="G184" i="12"/>
  <c r="F184" i="12"/>
  <c r="J184" i="12"/>
  <c r="J163" i="12"/>
  <c r="G163" i="12"/>
  <c r="F163" i="12"/>
  <c r="J231" i="12"/>
  <c r="G231" i="12"/>
  <c r="F231" i="12"/>
  <c r="G297" i="12"/>
  <c r="J297" i="12"/>
  <c r="F297" i="12"/>
  <c r="F48" i="12"/>
  <c r="G48" i="12"/>
  <c r="J48" i="12"/>
  <c r="F96" i="12"/>
  <c r="G96" i="12"/>
  <c r="J96" i="12"/>
  <c r="F144" i="12"/>
  <c r="G144" i="12"/>
  <c r="J144" i="12"/>
  <c r="J191" i="12"/>
  <c r="G191" i="12"/>
  <c r="F191" i="12"/>
  <c r="J279" i="12"/>
  <c r="G279" i="12"/>
  <c r="F279" i="12"/>
  <c r="G78" i="10"/>
  <c r="G46" i="10"/>
  <c r="J103" i="10"/>
  <c r="F103" i="10"/>
  <c r="G103" i="10"/>
  <c r="J250" i="10"/>
  <c r="G250" i="10"/>
  <c r="F250" i="10"/>
  <c r="J157" i="10"/>
  <c r="F157" i="10"/>
  <c r="G157" i="10"/>
  <c r="J221" i="10"/>
  <c r="F221" i="10"/>
  <c r="G221" i="10"/>
  <c r="J285" i="10"/>
  <c r="F285" i="10"/>
  <c r="G285" i="10"/>
  <c r="J239" i="9"/>
  <c r="J191" i="9"/>
  <c r="G191" i="9"/>
  <c r="F191" i="9"/>
  <c r="J143" i="9"/>
  <c r="G143" i="9"/>
  <c r="F143" i="9"/>
  <c r="J293" i="9"/>
  <c r="G293" i="9"/>
  <c r="F293" i="9"/>
  <c r="G96" i="9"/>
  <c r="F96" i="9"/>
  <c r="J96" i="9"/>
  <c r="G286" i="10"/>
  <c r="F172" i="10"/>
  <c r="J41" i="9"/>
  <c r="G41" i="9"/>
  <c r="J276" i="8"/>
  <c r="J132" i="8"/>
  <c r="J251" i="7"/>
  <c r="G116" i="10"/>
  <c r="J167" i="8"/>
  <c r="J271" i="7"/>
  <c r="J188" i="8"/>
  <c r="J167" i="7"/>
  <c r="J223" i="8"/>
  <c r="G223" i="8"/>
  <c r="F223" i="8"/>
  <c r="J177" i="7"/>
  <c r="J163" i="7"/>
  <c r="J255" i="8"/>
  <c r="J111" i="8"/>
  <c r="J229" i="7"/>
  <c r="J196" i="8"/>
  <c r="J180" i="7"/>
  <c r="J66" i="7"/>
  <c r="J252" i="7"/>
  <c r="J84" i="7"/>
  <c r="J132" i="7"/>
  <c r="J260" i="7"/>
  <c r="J50" i="8"/>
  <c r="J98" i="8"/>
  <c r="G98" i="8"/>
  <c r="F98" i="8"/>
  <c r="J46" i="8"/>
  <c r="J254" i="7"/>
  <c r="J107" i="7"/>
  <c r="G49" i="8"/>
  <c r="F49" i="8"/>
  <c r="J49" i="8"/>
  <c r="J68" i="7"/>
  <c r="E6" i="22"/>
  <c r="E29" i="8"/>
  <c r="E173" i="8"/>
  <c r="J148" i="7"/>
  <c r="E292" i="8"/>
  <c r="G291" i="8" s="1"/>
  <c r="E241" i="8"/>
  <c r="G240" i="8" s="1"/>
  <c r="G299" i="14"/>
  <c r="J299" i="14"/>
  <c r="F299" i="14"/>
  <c r="J276" i="14"/>
  <c r="G276" i="14"/>
  <c r="F276" i="14"/>
  <c r="G295" i="14"/>
  <c r="J295" i="14"/>
  <c r="F295" i="14"/>
  <c r="H295" i="14" s="1"/>
  <c r="J191" i="14"/>
  <c r="G191" i="14"/>
  <c r="F191" i="14"/>
  <c r="J38" i="14"/>
  <c r="G38" i="14"/>
  <c r="F38" i="14"/>
  <c r="G101" i="14"/>
  <c r="J101" i="14"/>
  <c r="F101" i="14"/>
  <c r="G204" i="14"/>
  <c r="J204" i="14"/>
  <c r="F204" i="14"/>
  <c r="J252" i="14"/>
  <c r="G252" i="14"/>
  <c r="F252" i="14"/>
  <c r="J86" i="13"/>
  <c r="F86" i="13"/>
  <c r="G86" i="13"/>
  <c r="G262" i="13"/>
  <c r="F262" i="13"/>
  <c r="J262" i="13"/>
  <c r="J227" i="13"/>
  <c r="F227" i="13"/>
  <c r="G227" i="13"/>
  <c r="J231" i="13"/>
  <c r="F231" i="13"/>
  <c r="H231" i="13" s="1"/>
  <c r="G231" i="13"/>
  <c r="J51" i="14"/>
  <c r="G51" i="14"/>
  <c r="F51" i="14"/>
  <c r="G25" i="13"/>
  <c r="J25" i="13"/>
  <c r="F25" i="13"/>
  <c r="G173" i="13"/>
  <c r="J173" i="13"/>
  <c r="F173" i="13"/>
  <c r="J252" i="13"/>
  <c r="G252" i="13"/>
  <c r="F252" i="13"/>
  <c r="J120" i="13"/>
  <c r="F120" i="13"/>
  <c r="G120" i="13"/>
  <c r="J268" i="13"/>
  <c r="G268" i="13"/>
  <c r="F268" i="13"/>
  <c r="G281" i="13"/>
  <c r="F281" i="13"/>
  <c r="J281" i="13"/>
  <c r="G249" i="13"/>
  <c r="F249" i="13"/>
  <c r="H249" i="13" s="1"/>
  <c r="J249" i="13"/>
  <c r="J237" i="12"/>
  <c r="G237" i="12"/>
  <c r="F237" i="12"/>
  <c r="J104" i="14"/>
  <c r="G104" i="14"/>
  <c r="F104" i="14"/>
  <c r="F159" i="13"/>
  <c r="J159" i="13"/>
  <c r="G159" i="13"/>
  <c r="G44" i="13"/>
  <c r="F44" i="13"/>
  <c r="H44" i="13" s="1"/>
  <c r="J44" i="13"/>
  <c r="J138" i="13"/>
  <c r="G138" i="13"/>
  <c r="F138" i="13"/>
  <c r="J74" i="13"/>
  <c r="G74" i="13"/>
  <c r="F74" i="13"/>
  <c r="J215" i="13"/>
  <c r="F215" i="13"/>
  <c r="G215" i="13"/>
  <c r="J272" i="13"/>
  <c r="G272" i="13"/>
  <c r="F272" i="13"/>
  <c r="J71" i="14"/>
  <c r="G71" i="14"/>
  <c r="F71" i="14"/>
  <c r="G21" i="14"/>
  <c r="F21" i="14"/>
  <c r="J21" i="14"/>
  <c r="J91" i="14"/>
  <c r="G91" i="14"/>
  <c r="F91" i="14"/>
  <c r="J60" i="14"/>
  <c r="G60" i="14"/>
  <c r="F60" i="14"/>
  <c r="J139" i="14"/>
  <c r="G139" i="14"/>
  <c r="F139" i="14"/>
  <c r="J108" i="14"/>
  <c r="G108" i="14"/>
  <c r="F108" i="14"/>
  <c r="F14" i="14"/>
  <c r="J14" i="14"/>
  <c r="G14" i="14"/>
  <c r="J262" i="14"/>
  <c r="G262" i="14"/>
  <c r="F262" i="14"/>
  <c r="J238" i="14"/>
  <c r="G238" i="14"/>
  <c r="F238" i="14"/>
  <c r="G153" i="14"/>
  <c r="F153" i="14"/>
  <c r="J153" i="14"/>
  <c r="J292" i="14"/>
  <c r="G292" i="14"/>
  <c r="F292" i="14"/>
  <c r="H292" i="14" s="1"/>
  <c r="G243" i="14"/>
  <c r="J243" i="14"/>
  <c r="F243" i="14"/>
  <c r="J276" i="13"/>
  <c r="G276" i="13"/>
  <c r="F276" i="13"/>
  <c r="J68" i="13"/>
  <c r="G68" i="13"/>
  <c r="F68" i="13"/>
  <c r="F47" i="13"/>
  <c r="H47" i="13" s="1"/>
  <c r="G13" i="12"/>
  <c r="F13" i="12"/>
  <c r="J13" i="12"/>
  <c r="G105" i="12"/>
  <c r="F105" i="12"/>
  <c r="J105" i="12"/>
  <c r="G20" i="12"/>
  <c r="F20" i="12"/>
  <c r="J20" i="12"/>
  <c r="M16" i="12"/>
  <c r="G2" i="12"/>
  <c r="F2" i="12"/>
  <c r="J2" i="12"/>
  <c r="G101" i="12"/>
  <c r="F101" i="12"/>
  <c r="J101" i="12"/>
  <c r="F85" i="13"/>
  <c r="G89" i="12"/>
  <c r="F89" i="12"/>
  <c r="J89" i="12"/>
  <c r="F89" i="13"/>
  <c r="G162" i="12"/>
  <c r="J162" i="12"/>
  <c r="F162" i="12"/>
  <c r="G6" i="12"/>
  <c r="J6" i="12"/>
  <c r="F6" i="12"/>
  <c r="G174" i="12"/>
  <c r="J174" i="12"/>
  <c r="F174" i="12"/>
  <c r="F255" i="10"/>
  <c r="G255" i="10"/>
  <c r="J255" i="10"/>
  <c r="J235" i="10"/>
  <c r="J146" i="12"/>
  <c r="G146" i="12"/>
  <c r="F146" i="12"/>
  <c r="G61" i="12"/>
  <c r="F61" i="12"/>
  <c r="J61" i="12"/>
  <c r="J167" i="10"/>
  <c r="J245" i="10"/>
  <c r="F245" i="10"/>
  <c r="G245" i="10"/>
  <c r="F125" i="10"/>
  <c r="J125" i="10"/>
  <c r="G125" i="10"/>
  <c r="J53" i="10"/>
  <c r="G53" i="10"/>
  <c r="F53" i="10"/>
  <c r="F121" i="10"/>
  <c r="J121" i="10"/>
  <c r="G121" i="10"/>
  <c r="G56" i="10"/>
  <c r="F56" i="10"/>
  <c r="J56" i="10"/>
  <c r="J280" i="9"/>
  <c r="G148" i="10"/>
  <c r="F244" i="9"/>
  <c r="J244" i="9"/>
  <c r="G244" i="9"/>
  <c r="F220" i="9"/>
  <c r="J220" i="9"/>
  <c r="G220" i="9"/>
  <c r="J196" i="9"/>
  <c r="J172" i="9"/>
  <c r="G172" i="9"/>
  <c r="J148" i="9"/>
  <c r="F124" i="9"/>
  <c r="J124" i="9"/>
  <c r="G124" i="9"/>
  <c r="F94" i="10"/>
  <c r="J78" i="12"/>
  <c r="G78" i="12"/>
  <c r="F78" i="12"/>
  <c r="J83" i="12"/>
  <c r="F83" i="12"/>
  <c r="G83" i="12"/>
  <c r="J87" i="12"/>
  <c r="F87" i="12"/>
  <c r="G87" i="12"/>
  <c r="J110" i="12"/>
  <c r="G110" i="12"/>
  <c r="F110" i="12"/>
  <c r="J46" i="12"/>
  <c r="G46" i="12"/>
  <c r="F46" i="12"/>
  <c r="G200" i="12"/>
  <c r="F200" i="12"/>
  <c r="J200" i="12"/>
  <c r="J179" i="12"/>
  <c r="G179" i="12"/>
  <c r="F179" i="12"/>
  <c r="J247" i="12"/>
  <c r="G247" i="12"/>
  <c r="F247" i="12"/>
  <c r="G280" i="12"/>
  <c r="J280" i="12"/>
  <c r="F280" i="12"/>
  <c r="F52" i="12"/>
  <c r="G52" i="12"/>
  <c r="J52" i="12"/>
  <c r="F100" i="12"/>
  <c r="G100" i="12"/>
  <c r="J100" i="12"/>
  <c r="G150" i="12"/>
  <c r="F150" i="12"/>
  <c r="J150" i="12"/>
  <c r="J207" i="12"/>
  <c r="G207" i="12"/>
  <c r="F207" i="12"/>
  <c r="J296" i="12"/>
  <c r="F296" i="12"/>
  <c r="G296" i="12"/>
  <c r="J93" i="10"/>
  <c r="G93" i="10"/>
  <c r="F93" i="10"/>
  <c r="J257" i="10"/>
  <c r="F257" i="10"/>
  <c r="G257" i="10"/>
  <c r="G164" i="10"/>
  <c r="G228" i="10"/>
  <c r="J228" i="10"/>
  <c r="F228" i="10"/>
  <c r="J292" i="10"/>
  <c r="J139" i="9"/>
  <c r="J54" i="9"/>
  <c r="F54" i="9"/>
  <c r="G54" i="9"/>
  <c r="F22" i="9"/>
  <c r="J22" i="9"/>
  <c r="G22" i="9"/>
  <c r="F286" i="10"/>
  <c r="G79" i="9"/>
  <c r="J79" i="9"/>
  <c r="F79" i="9"/>
  <c r="G31" i="9"/>
  <c r="J31" i="9"/>
  <c r="F31" i="9"/>
  <c r="F269" i="9"/>
  <c r="F253" i="9"/>
  <c r="F125" i="9"/>
  <c r="J264" i="8"/>
  <c r="J120" i="8"/>
  <c r="J249" i="7"/>
  <c r="J299" i="8"/>
  <c r="G299" i="8"/>
  <c r="F299" i="8"/>
  <c r="J155" i="8"/>
  <c r="G155" i="8"/>
  <c r="F155" i="8"/>
  <c r="J269" i="7"/>
  <c r="G176" i="8"/>
  <c r="F176" i="8"/>
  <c r="J176" i="8"/>
  <c r="J291" i="7"/>
  <c r="J155" i="7"/>
  <c r="G30" i="9"/>
  <c r="J211" i="8"/>
  <c r="G211" i="8"/>
  <c r="F211" i="8"/>
  <c r="J165" i="7"/>
  <c r="E101" i="8"/>
  <c r="E97" i="8"/>
  <c r="E93" i="8"/>
  <c r="E89" i="8"/>
  <c r="E85" i="8"/>
  <c r="E81" i="8"/>
  <c r="E77" i="8"/>
  <c r="E73" i="8"/>
  <c r="E69" i="8"/>
  <c r="E65" i="8"/>
  <c r="E61" i="8"/>
  <c r="E57" i="8"/>
  <c r="E53" i="8"/>
  <c r="E294" i="8"/>
  <c r="E282" i="8"/>
  <c r="E270" i="8"/>
  <c r="E258" i="8"/>
  <c r="E246" i="8"/>
  <c r="E234" i="8"/>
  <c r="E222" i="8"/>
  <c r="E210" i="8"/>
  <c r="E198" i="8"/>
  <c r="E186" i="8"/>
  <c r="E174" i="8"/>
  <c r="E162" i="8"/>
  <c r="F161" i="8" s="1"/>
  <c r="E150" i="8"/>
  <c r="E138" i="8"/>
  <c r="E126" i="8"/>
  <c r="E114" i="8"/>
  <c r="E293" i="8"/>
  <c r="E281" i="8"/>
  <c r="E269" i="8"/>
  <c r="E257" i="8"/>
  <c r="E245" i="8"/>
  <c r="F244" i="8" s="1"/>
  <c r="E233" i="8"/>
  <c r="E221" i="8"/>
  <c r="E209" i="8"/>
  <c r="E197" i="8"/>
  <c r="G196" i="8" s="1"/>
  <c r="E185" i="8"/>
  <c r="F184" i="8" s="1"/>
  <c r="E20" i="8"/>
  <c r="F19" i="8" s="1"/>
  <c r="E2" i="8"/>
  <c r="E290" i="8"/>
  <c r="E278" i="8"/>
  <c r="E266" i="8"/>
  <c r="E254" i="8"/>
  <c r="E242" i="8"/>
  <c r="E230" i="8"/>
  <c r="E218" i="8"/>
  <c r="E206" i="8"/>
  <c r="G205" i="8" s="1"/>
  <c r="E194" i="8"/>
  <c r="E182" i="8"/>
  <c r="E170" i="8"/>
  <c r="E158" i="8"/>
  <c r="E146" i="8"/>
  <c r="E134" i="8"/>
  <c r="E122" i="8"/>
  <c r="E110" i="8"/>
  <c r="E100" i="8"/>
  <c r="F99" i="8" s="1"/>
  <c r="E96" i="8"/>
  <c r="F95" i="8" s="1"/>
  <c r="E92" i="8"/>
  <c r="E88" i="8"/>
  <c r="F87" i="8" s="1"/>
  <c r="E84" i="8"/>
  <c r="F83" i="8" s="1"/>
  <c r="E80" i="8"/>
  <c r="E76" i="8"/>
  <c r="E72" i="8"/>
  <c r="E68" i="8"/>
  <c r="E64" i="8"/>
  <c r="E60" i="8"/>
  <c r="E56" i="8"/>
  <c r="G55" i="8" s="1"/>
  <c r="E52" i="8"/>
  <c r="E48" i="8"/>
  <c r="E44" i="8"/>
  <c r="F43" i="8" s="1"/>
  <c r="E40" i="8"/>
  <c r="E36" i="8"/>
  <c r="E32" i="8"/>
  <c r="E30" i="8"/>
  <c r="E5" i="8"/>
  <c r="E28" i="8"/>
  <c r="G27" i="8" s="1"/>
  <c r="E166" i="8"/>
  <c r="E3" i="8"/>
  <c r="E250" i="8"/>
  <c r="E106" i="8"/>
  <c r="E9" i="8"/>
  <c r="E190" i="8"/>
  <c r="E286" i="8"/>
  <c r="E274" i="8"/>
  <c r="E130" i="8"/>
  <c r="E202" i="8"/>
  <c r="G201" i="8" s="1"/>
  <c r="E214" i="8"/>
  <c r="E298" i="8"/>
  <c r="E154" i="8"/>
  <c r="E24" i="8"/>
  <c r="E142" i="8"/>
  <c r="E238" i="8"/>
  <c r="E11" i="8"/>
  <c r="G10" i="8" s="1"/>
  <c r="E178" i="8"/>
  <c r="G177" i="8" s="1"/>
  <c r="E21" i="8"/>
  <c r="E262" i="8"/>
  <c r="E118" i="8"/>
  <c r="E226" i="8"/>
  <c r="J151" i="7"/>
  <c r="E243" i="8"/>
  <c r="J209" i="7"/>
  <c r="E181" i="8"/>
  <c r="G180" i="8" s="1"/>
  <c r="J276" i="7"/>
  <c r="J88" i="7"/>
  <c r="J136" i="7"/>
  <c r="J284" i="7"/>
  <c r="E94" i="8"/>
  <c r="E42" i="8"/>
  <c r="J250" i="7"/>
  <c r="E45" i="8"/>
  <c r="E15" i="22"/>
  <c r="E22" i="8"/>
  <c r="J290" i="7"/>
  <c r="E277" i="8"/>
  <c r="G276" i="8" s="1"/>
  <c r="E232" i="8"/>
  <c r="G231" i="8" s="1"/>
  <c r="E117" i="8"/>
  <c r="G116" i="8" s="1"/>
  <c r="E39" i="8"/>
  <c r="G16" i="13"/>
  <c r="J16" i="13"/>
  <c r="F16" i="13"/>
  <c r="F290" i="13"/>
  <c r="H290" i="13" s="1"/>
  <c r="J263" i="13"/>
  <c r="F263" i="13"/>
  <c r="G263" i="13"/>
  <c r="J4" i="13"/>
  <c r="G4" i="13"/>
  <c r="F4" i="13"/>
  <c r="J184" i="13"/>
  <c r="G184" i="13"/>
  <c r="F184" i="13"/>
  <c r="G265" i="13"/>
  <c r="J265" i="13"/>
  <c r="F265" i="13"/>
  <c r="G125" i="13"/>
  <c r="J125" i="13"/>
  <c r="F125" i="13"/>
  <c r="G289" i="13"/>
  <c r="J289" i="13"/>
  <c r="F289" i="13"/>
  <c r="G277" i="13"/>
  <c r="F277" i="13"/>
  <c r="J277" i="13"/>
  <c r="F260" i="13"/>
  <c r="G260" i="13"/>
  <c r="J260" i="13"/>
  <c r="G47" i="14"/>
  <c r="F47" i="14"/>
  <c r="J47" i="14"/>
  <c r="F151" i="13"/>
  <c r="J151" i="13"/>
  <c r="G151" i="13"/>
  <c r="J18" i="13"/>
  <c r="G18" i="13"/>
  <c r="F18" i="13"/>
  <c r="F87" i="13"/>
  <c r="J87" i="13"/>
  <c r="G87" i="13"/>
  <c r="J166" i="13"/>
  <c r="G166" i="13"/>
  <c r="F166" i="13"/>
  <c r="G69" i="13"/>
  <c r="J69" i="13"/>
  <c r="F69" i="13"/>
  <c r="J233" i="12"/>
  <c r="G233" i="12"/>
  <c r="F233" i="12"/>
  <c r="J128" i="14"/>
  <c r="G128" i="14"/>
  <c r="F128" i="14"/>
  <c r="G105" i="13"/>
  <c r="F105" i="13"/>
  <c r="J105" i="13"/>
  <c r="G189" i="13"/>
  <c r="F189" i="13"/>
  <c r="J189" i="13"/>
  <c r="J156" i="14"/>
  <c r="G156" i="14"/>
  <c r="F156" i="14"/>
  <c r="H156" i="14" s="1"/>
  <c r="J24" i="14"/>
  <c r="F24" i="14"/>
  <c r="G24" i="14"/>
  <c r="J147" i="14"/>
  <c r="G147" i="14"/>
  <c r="F147" i="14"/>
  <c r="G72" i="14"/>
  <c r="J72" i="14"/>
  <c r="F72" i="14"/>
  <c r="J151" i="14"/>
  <c r="G151" i="14"/>
  <c r="F151" i="14"/>
  <c r="H151" i="14" s="1"/>
  <c r="J115" i="14"/>
  <c r="G115" i="14"/>
  <c r="F115" i="14"/>
  <c r="F20" i="14"/>
  <c r="J20" i="14"/>
  <c r="G20" i="14"/>
  <c r="J278" i="14"/>
  <c r="G278" i="14"/>
  <c r="F278" i="14"/>
  <c r="J254" i="14"/>
  <c r="G254" i="14"/>
  <c r="F254" i="14"/>
  <c r="H254" i="14" s="1"/>
  <c r="G157" i="14"/>
  <c r="F157" i="14"/>
  <c r="J157" i="14"/>
  <c r="J296" i="14"/>
  <c r="G296" i="14"/>
  <c r="F296" i="14"/>
  <c r="G247" i="14"/>
  <c r="J247" i="14"/>
  <c r="F247" i="14"/>
  <c r="F63" i="13"/>
  <c r="G63" i="13"/>
  <c r="J63" i="13"/>
  <c r="F3" i="13"/>
  <c r="H3" i="13" s="1"/>
  <c r="G8" i="12"/>
  <c r="F8" i="12"/>
  <c r="J8" i="12"/>
  <c r="G57" i="12"/>
  <c r="F57" i="12"/>
  <c r="J57" i="12"/>
  <c r="J213" i="12"/>
  <c r="G213" i="12"/>
  <c r="F213" i="12"/>
  <c r="G7" i="12"/>
  <c r="F7" i="12"/>
  <c r="J7" i="12"/>
  <c r="G53" i="12"/>
  <c r="F53" i="12"/>
  <c r="J53" i="12"/>
  <c r="G29" i="12"/>
  <c r="F29" i="12"/>
  <c r="J29" i="12"/>
  <c r="G89" i="13"/>
  <c r="G148" i="12"/>
  <c r="F148" i="12"/>
  <c r="J148" i="12"/>
  <c r="G117" i="12"/>
  <c r="F117" i="12"/>
  <c r="J117" i="12"/>
  <c r="J239" i="10"/>
  <c r="F219" i="10"/>
  <c r="J219" i="10"/>
  <c r="G219" i="10"/>
  <c r="J50" i="12"/>
  <c r="G50" i="12"/>
  <c r="F50" i="12"/>
  <c r="F123" i="10"/>
  <c r="J123" i="10"/>
  <c r="G123" i="10"/>
  <c r="G256" i="10"/>
  <c r="J256" i="10"/>
  <c r="F256" i="10"/>
  <c r="J86" i="10"/>
  <c r="G86" i="10"/>
  <c r="F86" i="10"/>
  <c r="J4" i="10"/>
  <c r="F4" i="10"/>
  <c r="G4" i="10"/>
  <c r="J118" i="10"/>
  <c r="G118" i="10"/>
  <c r="F118" i="10"/>
  <c r="J163" i="10"/>
  <c r="J47" i="10"/>
  <c r="F47" i="10"/>
  <c r="G47" i="10"/>
  <c r="F114" i="10"/>
  <c r="J114" i="10"/>
  <c r="G114" i="10"/>
  <c r="G113" i="10"/>
  <c r="J50" i="10"/>
  <c r="G50" i="10"/>
  <c r="F50" i="10"/>
  <c r="J266" i="9"/>
  <c r="G266" i="9"/>
  <c r="F266" i="9"/>
  <c r="J218" i="9"/>
  <c r="J170" i="9"/>
  <c r="G170" i="9"/>
  <c r="F170" i="9"/>
  <c r="J146" i="9"/>
  <c r="G146" i="9"/>
  <c r="F146" i="9"/>
  <c r="J122" i="9"/>
  <c r="G122" i="9"/>
  <c r="F122" i="9"/>
  <c r="F91" i="10"/>
  <c r="J86" i="12"/>
  <c r="G86" i="12"/>
  <c r="F86" i="12"/>
  <c r="J143" i="12"/>
  <c r="F143" i="12"/>
  <c r="G143" i="12"/>
  <c r="J131" i="12"/>
  <c r="F131" i="12"/>
  <c r="G131" i="12"/>
  <c r="J135" i="12"/>
  <c r="F135" i="12"/>
  <c r="G135" i="12"/>
  <c r="J127" i="12"/>
  <c r="F127" i="12"/>
  <c r="G127" i="12"/>
  <c r="J63" i="12"/>
  <c r="F63" i="12"/>
  <c r="G63" i="12"/>
  <c r="G216" i="12"/>
  <c r="F216" i="12"/>
  <c r="J216" i="12"/>
  <c r="J195" i="12"/>
  <c r="G195" i="12"/>
  <c r="F195" i="12"/>
  <c r="G160" i="12"/>
  <c r="F160" i="12"/>
  <c r="J160" i="12"/>
  <c r="F24" i="12"/>
  <c r="G24" i="12"/>
  <c r="J24" i="12"/>
  <c r="F56" i="12"/>
  <c r="G56" i="12"/>
  <c r="J56" i="12"/>
  <c r="F104" i="12"/>
  <c r="G104" i="12"/>
  <c r="J104" i="12"/>
  <c r="G166" i="12"/>
  <c r="F166" i="12"/>
  <c r="J166" i="12"/>
  <c r="J223" i="12"/>
  <c r="G223" i="12"/>
  <c r="F223" i="12"/>
  <c r="F284" i="12"/>
  <c r="G284" i="12"/>
  <c r="J284" i="12"/>
  <c r="J87" i="10"/>
  <c r="F87" i="10"/>
  <c r="G87" i="10"/>
  <c r="G264" i="10"/>
  <c r="J264" i="10"/>
  <c r="F264" i="10"/>
  <c r="G230" i="10"/>
  <c r="F230" i="10"/>
  <c r="J230" i="10"/>
  <c r="G294" i="10"/>
  <c r="F294" i="10"/>
  <c r="J294" i="10"/>
  <c r="J231" i="9"/>
  <c r="J183" i="9"/>
  <c r="J135" i="9"/>
  <c r="G135" i="9"/>
  <c r="F135" i="9"/>
  <c r="J104" i="8"/>
  <c r="G119" i="9"/>
  <c r="F119" i="9"/>
  <c r="J119" i="9"/>
  <c r="J37" i="9"/>
  <c r="G37" i="9"/>
  <c r="F37" i="9"/>
  <c r="J273" i="9"/>
  <c r="G273" i="9"/>
  <c r="F273" i="9"/>
  <c r="F287" i="9"/>
  <c r="G76" i="9"/>
  <c r="F76" i="9"/>
  <c r="J76" i="9"/>
  <c r="G269" i="9"/>
  <c r="G125" i="9"/>
  <c r="G10" i="12"/>
  <c r="J24" i="9"/>
  <c r="G24" i="9"/>
  <c r="F24" i="9"/>
  <c r="J252" i="8"/>
  <c r="F108" i="8"/>
  <c r="J108" i="8"/>
  <c r="J227" i="7"/>
  <c r="J27" i="8"/>
  <c r="J287" i="8"/>
  <c r="G287" i="8"/>
  <c r="F287" i="8"/>
  <c r="J247" i="7"/>
  <c r="J289" i="7"/>
  <c r="J145" i="7"/>
  <c r="J10" i="8"/>
  <c r="F30" i="9"/>
  <c r="J199" i="8"/>
  <c r="G199" i="8"/>
  <c r="F199" i="8"/>
  <c r="J287" i="7"/>
  <c r="J153" i="7"/>
  <c r="J283" i="7"/>
  <c r="J231" i="8"/>
  <c r="J19" i="8"/>
  <c r="J197" i="7"/>
  <c r="J161" i="8"/>
  <c r="J53" i="7"/>
  <c r="J298" i="7"/>
  <c r="J92" i="7"/>
  <c r="J139" i="7"/>
  <c r="J22" i="7"/>
  <c r="J91" i="7"/>
  <c r="E41" i="8"/>
  <c r="J52" i="7"/>
  <c r="E2" i="22"/>
  <c r="E8" i="22"/>
  <c r="E172" i="8"/>
  <c r="G171" i="8" s="1"/>
  <c r="E153" i="8"/>
  <c r="G152" i="8" s="1"/>
  <c r="E112" i="8"/>
  <c r="G111" i="8" s="1"/>
  <c r="E35" i="8"/>
  <c r="J260" i="14"/>
  <c r="G260" i="14"/>
  <c r="F260" i="14"/>
  <c r="J285" i="14"/>
  <c r="G285" i="14"/>
  <c r="F285" i="14"/>
  <c r="G77" i="14"/>
  <c r="J77" i="14"/>
  <c r="F77" i="14"/>
  <c r="J122" i="14"/>
  <c r="G122" i="14"/>
  <c r="F122" i="14"/>
  <c r="J179" i="14"/>
  <c r="F179" i="14"/>
  <c r="G179" i="14"/>
  <c r="J162" i="14"/>
  <c r="G162" i="14"/>
  <c r="F162" i="14"/>
  <c r="J34" i="14"/>
  <c r="G34" i="14"/>
  <c r="F34" i="14"/>
  <c r="J278" i="12"/>
  <c r="F278" i="12"/>
  <c r="G278" i="12"/>
  <c r="G214" i="13"/>
  <c r="F214" i="13"/>
  <c r="J214" i="13"/>
  <c r="G93" i="14"/>
  <c r="J93" i="14"/>
  <c r="F93" i="14"/>
  <c r="J207" i="13"/>
  <c r="F207" i="13"/>
  <c r="G207" i="13"/>
  <c r="G69" i="14"/>
  <c r="J69" i="14"/>
  <c r="F69" i="14"/>
  <c r="J38" i="13"/>
  <c r="G38" i="13"/>
  <c r="F38" i="13"/>
  <c r="G234" i="13"/>
  <c r="F234" i="13"/>
  <c r="J234" i="13"/>
  <c r="H217" i="13"/>
  <c r="G109" i="13"/>
  <c r="F109" i="13"/>
  <c r="J109" i="13"/>
  <c r="J14" i="13"/>
  <c r="G14" i="13"/>
  <c r="F14" i="13"/>
  <c r="H14" i="13" s="1"/>
  <c r="J243" i="13"/>
  <c r="F243" i="13"/>
  <c r="G243" i="13"/>
  <c r="F15" i="13"/>
  <c r="J15" i="13"/>
  <c r="G15" i="13"/>
  <c r="G197" i="13"/>
  <c r="J197" i="13"/>
  <c r="F197" i="13"/>
  <c r="J280" i="13"/>
  <c r="G280" i="13"/>
  <c r="F280" i="13"/>
  <c r="F163" i="13"/>
  <c r="G163" i="13"/>
  <c r="J163" i="13"/>
  <c r="J2" i="13"/>
  <c r="G2" i="13"/>
  <c r="F2" i="13"/>
  <c r="M16" i="13"/>
  <c r="G300" i="13"/>
  <c r="F300" i="13"/>
  <c r="J300" i="13"/>
  <c r="G273" i="13"/>
  <c r="F273" i="13"/>
  <c r="J273" i="13"/>
  <c r="J221" i="12"/>
  <c r="G221" i="12"/>
  <c r="F221" i="12"/>
  <c r="J11" i="14"/>
  <c r="G11" i="14"/>
  <c r="F11" i="14"/>
  <c r="G128" i="13"/>
  <c r="F128" i="13"/>
  <c r="J128" i="13"/>
  <c r="J11" i="13"/>
  <c r="G11" i="13"/>
  <c r="F11" i="13"/>
  <c r="G57" i="13"/>
  <c r="F57" i="13"/>
  <c r="J57" i="13"/>
  <c r="G161" i="13"/>
  <c r="J161" i="13"/>
  <c r="F161" i="13"/>
  <c r="G64" i="13"/>
  <c r="J64" i="13"/>
  <c r="F64" i="13"/>
  <c r="G237" i="13"/>
  <c r="J237" i="13"/>
  <c r="F237" i="13"/>
  <c r="G261" i="13"/>
  <c r="H261" i="13" s="1"/>
  <c r="G80" i="14"/>
  <c r="J80" i="14"/>
  <c r="F80" i="14"/>
  <c r="J180" i="13"/>
  <c r="G180" i="13"/>
  <c r="F180" i="13"/>
  <c r="F33" i="13"/>
  <c r="H33" i="13" s="1"/>
  <c r="G205" i="13"/>
  <c r="J205" i="13"/>
  <c r="F205" i="13"/>
  <c r="G25" i="14"/>
  <c r="J25" i="14"/>
  <c r="F25" i="14"/>
  <c r="J111" i="14"/>
  <c r="G111" i="14"/>
  <c r="F111" i="14"/>
  <c r="J159" i="14"/>
  <c r="G159" i="14"/>
  <c r="F159" i="14"/>
  <c r="G96" i="14"/>
  <c r="J96" i="14"/>
  <c r="F96" i="14"/>
  <c r="J163" i="14"/>
  <c r="G163" i="14"/>
  <c r="F163" i="14"/>
  <c r="J120" i="14"/>
  <c r="G120" i="14"/>
  <c r="F120" i="14"/>
  <c r="F44" i="14"/>
  <c r="J44" i="14"/>
  <c r="G44" i="14"/>
  <c r="J234" i="14"/>
  <c r="G234" i="14"/>
  <c r="F234" i="14"/>
  <c r="J270" i="14"/>
  <c r="G270" i="14"/>
  <c r="F270" i="14"/>
  <c r="G161" i="14"/>
  <c r="F161" i="14"/>
  <c r="J161" i="14"/>
  <c r="J300" i="14"/>
  <c r="G300" i="14"/>
  <c r="F300" i="14"/>
  <c r="G251" i="14"/>
  <c r="J251" i="14"/>
  <c r="F251" i="14"/>
  <c r="J192" i="13"/>
  <c r="G192" i="13"/>
  <c r="F192" i="13"/>
  <c r="F55" i="13"/>
  <c r="J55" i="13"/>
  <c r="G55" i="13"/>
  <c r="G301" i="12"/>
  <c r="F301" i="12"/>
  <c r="J301" i="12"/>
  <c r="J165" i="12"/>
  <c r="G165" i="12"/>
  <c r="F165" i="12"/>
  <c r="G12" i="12"/>
  <c r="J12" i="12"/>
  <c r="F12" i="12"/>
  <c r="G85" i="13"/>
  <c r="G145" i="12"/>
  <c r="F145" i="12"/>
  <c r="J145" i="12"/>
  <c r="J223" i="10"/>
  <c r="G222" i="10"/>
  <c r="J203" i="10"/>
  <c r="J249" i="10"/>
  <c r="F249" i="10"/>
  <c r="G249" i="10"/>
  <c r="G76" i="10"/>
  <c r="F76" i="10"/>
  <c r="J76" i="10"/>
  <c r="J2" i="10"/>
  <c r="F2" i="10"/>
  <c r="G2" i="10"/>
  <c r="G288" i="10"/>
  <c r="J288" i="10"/>
  <c r="F288" i="10"/>
  <c r="F145" i="10"/>
  <c r="G145" i="10"/>
  <c r="J145" i="10"/>
  <c r="G144" i="10"/>
  <c r="J37" i="10"/>
  <c r="G37" i="10"/>
  <c r="F37" i="10"/>
  <c r="J126" i="12"/>
  <c r="G126" i="12"/>
  <c r="F126" i="12"/>
  <c r="F264" i="9"/>
  <c r="J264" i="9"/>
  <c r="G264" i="9"/>
  <c r="F216" i="9"/>
  <c r="J216" i="9"/>
  <c r="G216" i="9"/>
  <c r="J192" i="9"/>
  <c r="F144" i="9"/>
  <c r="J144" i="9"/>
  <c r="G144" i="9"/>
  <c r="F120" i="9"/>
  <c r="J120" i="9"/>
  <c r="G120" i="9"/>
  <c r="J3" i="12"/>
  <c r="G3" i="12"/>
  <c r="F3" i="12"/>
  <c r="J9" i="12"/>
  <c r="G9" i="12"/>
  <c r="F9" i="12"/>
  <c r="J75" i="12"/>
  <c r="F75" i="12"/>
  <c r="G75" i="12"/>
  <c r="J35" i="12"/>
  <c r="F35" i="12"/>
  <c r="G35" i="12"/>
  <c r="F28" i="12"/>
  <c r="G28" i="12"/>
  <c r="J28" i="12"/>
  <c r="J94" i="12"/>
  <c r="G94" i="12"/>
  <c r="F94" i="12"/>
  <c r="G232" i="12"/>
  <c r="F232" i="12"/>
  <c r="J232" i="12"/>
  <c r="J211" i="12"/>
  <c r="G211" i="12"/>
  <c r="F211" i="12"/>
  <c r="G176" i="12"/>
  <c r="F176" i="12"/>
  <c r="J176" i="12"/>
  <c r="J155" i="12"/>
  <c r="G155" i="12"/>
  <c r="F155" i="12"/>
  <c r="F60" i="12"/>
  <c r="G60" i="12"/>
  <c r="J60" i="12"/>
  <c r="F108" i="12"/>
  <c r="G108" i="12"/>
  <c r="J108" i="12"/>
  <c r="G182" i="12"/>
  <c r="F182" i="12"/>
  <c r="J182" i="12"/>
  <c r="J239" i="12"/>
  <c r="G239" i="12"/>
  <c r="F239" i="12"/>
  <c r="F222" i="10"/>
  <c r="J77" i="10"/>
  <c r="G77" i="10"/>
  <c r="F77" i="10"/>
  <c r="J266" i="10"/>
  <c r="G266" i="10"/>
  <c r="F266" i="10"/>
  <c r="J173" i="10"/>
  <c r="J237" i="10"/>
  <c r="F237" i="10"/>
  <c r="G237" i="10"/>
  <c r="J301" i="10"/>
  <c r="F301" i="10"/>
  <c r="G301" i="10"/>
  <c r="J227" i="9"/>
  <c r="G227" i="9"/>
  <c r="F227" i="9"/>
  <c r="J179" i="9"/>
  <c r="G179" i="9"/>
  <c r="F179" i="9"/>
  <c r="J131" i="9"/>
  <c r="G116" i="9"/>
  <c r="F116" i="9"/>
  <c r="J116" i="9"/>
  <c r="F115" i="9"/>
  <c r="J274" i="9"/>
  <c r="G274" i="9"/>
  <c r="F274" i="9"/>
  <c r="J240" i="8"/>
  <c r="J103" i="8"/>
  <c r="F103" i="8"/>
  <c r="G103" i="8"/>
  <c r="F92" i="9"/>
  <c r="J225" i="7"/>
  <c r="F44" i="9"/>
  <c r="J25" i="8"/>
  <c r="J275" i="8"/>
  <c r="G275" i="8"/>
  <c r="F275" i="8"/>
  <c r="J131" i="8"/>
  <c r="G131" i="8"/>
  <c r="F131" i="8"/>
  <c r="J245" i="7"/>
  <c r="F296" i="8"/>
  <c r="J296" i="8"/>
  <c r="J152" i="8"/>
  <c r="J267" i="7"/>
  <c r="J285" i="7"/>
  <c r="J137" i="7"/>
  <c r="J281" i="7"/>
  <c r="J219" i="8"/>
  <c r="J185" i="7"/>
  <c r="J133" i="7"/>
  <c r="J50" i="7"/>
  <c r="J300" i="7"/>
  <c r="J96" i="7"/>
  <c r="J142" i="7"/>
  <c r="J144" i="7"/>
  <c r="J86" i="8"/>
  <c r="G86" i="8"/>
  <c r="F86" i="8"/>
  <c r="E37" i="8"/>
  <c r="J208" i="7"/>
  <c r="E16" i="22"/>
  <c r="E21" i="22"/>
  <c r="E17" i="8"/>
  <c r="E148" i="8"/>
  <c r="G147" i="8" s="1"/>
  <c r="E79" i="8"/>
  <c r="E31" i="8"/>
  <c r="K9" i="22"/>
  <c r="K12" i="22"/>
  <c r="J264" i="7"/>
  <c r="E133" i="8"/>
  <c r="E75" i="8"/>
  <c r="K3" i="22"/>
  <c r="M19" i="22" s="1"/>
  <c r="K18" i="22"/>
  <c r="J245" i="14"/>
  <c r="G245" i="14"/>
  <c r="F245" i="14"/>
  <c r="J244" i="14"/>
  <c r="G244" i="14"/>
  <c r="F244" i="14"/>
  <c r="J253" i="14"/>
  <c r="G253" i="14"/>
  <c r="F253" i="14"/>
  <c r="J94" i="14"/>
  <c r="G94" i="14"/>
  <c r="F94" i="14"/>
  <c r="G170" i="14"/>
  <c r="F170" i="14"/>
  <c r="J170" i="14"/>
  <c r="G200" i="14"/>
  <c r="J200" i="14"/>
  <c r="F200" i="14"/>
  <c r="J102" i="14"/>
  <c r="G102" i="14"/>
  <c r="F102" i="14"/>
  <c r="J138" i="14"/>
  <c r="G138" i="14"/>
  <c r="F138" i="14"/>
  <c r="G188" i="14"/>
  <c r="J188" i="14"/>
  <c r="F188" i="14"/>
  <c r="J271" i="13"/>
  <c r="F271" i="13"/>
  <c r="G271" i="13"/>
  <c r="F165" i="14"/>
  <c r="G165" i="14"/>
  <c r="J165" i="14"/>
  <c r="J162" i="13"/>
  <c r="F162" i="13"/>
  <c r="G162" i="13"/>
  <c r="G266" i="13"/>
  <c r="F266" i="13"/>
  <c r="J266" i="13"/>
  <c r="J150" i="13"/>
  <c r="G150" i="13"/>
  <c r="F150" i="13"/>
  <c r="J30" i="14"/>
  <c r="G30" i="14"/>
  <c r="F30" i="14"/>
  <c r="J82" i="13"/>
  <c r="F82" i="13"/>
  <c r="G82" i="13"/>
  <c r="G274" i="13"/>
  <c r="F274" i="13"/>
  <c r="J274" i="13"/>
  <c r="J6" i="13"/>
  <c r="G6" i="13"/>
  <c r="F6" i="13"/>
  <c r="G254" i="13"/>
  <c r="F254" i="13"/>
  <c r="J254" i="13"/>
  <c r="G186" i="13"/>
  <c r="F186" i="13"/>
  <c r="J186" i="13"/>
  <c r="J179" i="13"/>
  <c r="F179" i="13"/>
  <c r="H179" i="13" s="1"/>
  <c r="G179" i="13"/>
  <c r="J98" i="13"/>
  <c r="G98" i="13"/>
  <c r="F98" i="13"/>
  <c r="J200" i="13"/>
  <c r="G200" i="13"/>
  <c r="F200" i="13"/>
  <c r="G45" i="13"/>
  <c r="J45" i="13"/>
  <c r="F45" i="13"/>
  <c r="G221" i="13"/>
  <c r="J221" i="13"/>
  <c r="F221" i="13"/>
  <c r="G100" i="13"/>
  <c r="F100" i="13"/>
  <c r="J100" i="13"/>
  <c r="F172" i="13"/>
  <c r="J172" i="13"/>
  <c r="G172" i="13"/>
  <c r="J32" i="13"/>
  <c r="G32" i="13"/>
  <c r="F32" i="13"/>
  <c r="F104" i="13"/>
  <c r="G104" i="13"/>
  <c r="J104" i="13"/>
  <c r="F8" i="13"/>
  <c r="J8" i="13"/>
  <c r="G8" i="13"/>
  <c r="J205" i="12"/>
  <c r="G205" i="12"/>
  <c r="F205" i="12"/>
  <c r="G113" i="13"/>
  <c r="J113" i="13"/>
  <c r="F113" i="13"/>
  <c r="J203" i="13"/>
  <c r="F203" i="13"/>
  <c r="G203" i="13"/>
  <c r="G84" i="13"/>
  <c r="F84" i="13"/>
  <c r="J84" i="13"/>
  <c r="F206" i="13"/>
  <c r="G165" i="13"/>
  <c r="J165" i="13"/>
  <c r="F165" i="13"/>
  <c r="J26" i="13"/>
  <c r="G26" i="13"/>
  <c r="F26" i="13"/>
  <c r="G192" i="14"/>
  <c r="J192" i="14"/>
  <c r="F192" i="14"/>
  <c r="J144" i="14"/>
  <c r="G144" i="14"/>
  <c r="F144" i="14"/>
  <c r="J56" i="14"/>
  <c r="G56" i="14"/>
  <c r="F56" i="14"/>
  <c r="J112" i="14"/>
  <c r="G112" i="14"/>
  <c r="F112" i="14"/>
  <c r="G68" i="14"/>
  <c r="J68" i="14"/>
  <c r="F68" i="14"/>
  <c r="J132" i="14"/>
  <c r="G132" i="14"/>
  <c r="F132" i="14"/>
  <c r="J99" i="14"/>
  <c r="F99" i="14"/>
  <c r="G99" i="14"/>
  <c r="J266" i="14"/>
  <c r="G266" i="14"/>
  <c r="F266" i="14"/>
  <c r="G121" i="14"/>
  <c r="J121" i="14"/>
  <c r="F121" i="14"/>
  <c r="G208" i="14"/>
  <c r="F208" i="14"/>
  <c r="J208" i="14"/>
  <c r="J211" i="14"/>
  <c r="G211" i="14"/>
  <c r="F211" i="14"/>
  <c r="G259" i="14"/>
  <c r="J259" i="14"/>
  <c r="F259" i="14"/>
  <c r="F119" i="13"/>
  <c r="G119" i="13"/>
  <c r="J119" i="13"/>
  <c r="J257" i="12"/>
  <c r="G257" i="12"/>
  <c r="F257" i="12"/>
  <c r="H301" i="13"/>
  <c r="G85" i="12"/>
  <c r="F85" i="12"/>
  <c r="J85" i="12"/>
  <c r="F202" i="13"/>
  <c r="F176" i="13"/>
  <c r="H176" i="13" s="1"/>
  <c r="F99" i="13"/>
  <c r="H99" i="13" s="1"/>
  <c r="F137" i="13"/>
  <c r="G49" i="12"/>
  <c r="F49" i="12"/>
  <c r="J49" i="12"/>
  <c r="F191" i="10"/>
  <c r="G191" i="10"/>
  <c r="J191" i="10"/>
  <c r="G190" i="10"/>
  <c r="F171" i="10"/>
  <c r="J171" i="10"/>
  <c r="G171" i="10"/>
  <c r="F295" i="10"/>
  <c r="J295" i="10"/>
  <c r="G295" i="10"/>
  <c r="J213" i="10"/>
  <c r="F213" i="10"/>
  <c r="G213" i="10"/>
  <c r="G60" i="10"/>
  <c r="F60" i="10"/>
  <c r="J60" i="10"/>
  <c r="J270" i="10"/>
  <c r="F270" i="10"/>
  <c r="G270" i="10"/>
  <c r="G18" i="10"/>
  <c r="F18" i="10"/>
  <c r="J18" i="10"/>
  <c r="J216" i="10"/>
  <c r="F216" i="10"/>
  <c r="J98" i="10"/>
  <c r="G98" i="10"/>
  <c r="F98" i="10"/>
  <c r="J34" i="10"/>
  <c r="G34" i="10"/>
  <c r="F34" i="10"/>
  <c r="G107" i="10"/>
  <c r="F260" i="9"/>
  <c r="J260" i="9"/>
  <c r="G260" i="9"/>
  <c r="F236" i="9"/>
  <c r="J236" i="9"/>
  <c r="G236" i="9"/>
  <c r="F212" i="9"/>
  <c r="J212" i="9"/>
  <c r="G212" i="9"/>
  <c r="J188" i="9"/>
  <c r="J164" i="9"/>
  <c r="G164" i="9"/>
  <c r="G169" i="10"/>
  <c r="G124" i="10"/>
  <c r="F81" i="10"/>
  <c r="H81" i="10" s="1"/>
  <c r="F62" i="10"/>
  <c r="G33" i="10"/>
  <c r="J39" i="12"/>
  <c r="F39" i="12"/>
  <c r="G39" i="12"/>
  <c r="J51" i="12"/>
  <c r="F51" i="12"/>
  <c r="G51" i="12"/>
  <c r="G170" i="12"/>
  <c r="F170" i="12"/>
  <c r="J170" i="12"/>
  <c r="J59" i="12"/>
  <c r="F59" i="12"/>
  <c r="G59" i="12"/>
  <c r="J119" i="12"/>
  <c r="F119" i="12"/>
  <c r="G119" i="12"/>
  <c r="J142" i="12"/>
  <c r="G142" i="12"/>
  <c r="F142" i="12"/>
  <c r="J272" i="12"/>
  <c r="G272" i="12"/>
  <c r="F272" i="12"/>
  <c r="J243" i="12"/>
  <c r="F243" i="12"/>
  <c r="G243" i="12"/>
  <c r="G208" i="12"/>
  <c r="F208" i="12"/>
  <c r="J208" i="12"/>
  <c r="J187" i="12"/>
  <c r="G187" i="12"/>
  <c r="F187" i="12"/>
  <c r="F68" i="12"/>
  <c r="G68" i="12"/>
  <c r="J68" i="12"/>
  <c r="F116" i="12"/>
  <c r="G116" i="12"/>
  <c r="J116" i="12"/>
  <c r="G214" i="12"/>
  <c r="F214" i="12"/>
  <c r="J214" i="12"/>
  <c r="G293" i="12"/>
  <c r="J293" i="12"/>
  <c r="F293" i="12"/>
  <c r="G68" i="10"/>
  <c r="J61" i="10"/>
  <c r="G61" i="10"/>
  <c r="F61" i="10"/>
  <c r="G280" i="10"/>
  <c r="J280" i="10"/>
  <c r="F280" i="10"/>
  <c r="G182" i="10"/>
  <c r="F182" i="10"/>
  <c r="J182" i="10"/>
  <c r="G246" i="10"/>
  <c r="F246" i="10"/>
  <c r="J246" i="10"/>
  <c r="F132" i="10"/>
  <c r="G132" i="10"/>
  <c r="J132" i="10"/>
  <c r="G20" i="10"/>
  <c r="J267" i="9"/>
  <c r="J219" i="9"/>
  <c r="G219" i="9"/>
  <c r="F219" i="9"/>
  <c r="J171" i="9"/>
  <c r="G171" i="9"/>
  <c r="F171" i="9"/>
  <c r="J123" i="9"/>
  <c r="G123" i="9"/>
  <c r="F123" i="9"/>
  <c r="J14" i="9"/>
  <c r="F14" i="9"/>
  <c r="G14" i="9"/>
  <c r="J10" i="9"/>
  <c r="G265" i="9"/>
  <c r="G249" i="9"/>
  <c r="G217" i="9"/>
  <c r="G201" i="9"/>
  <c r="G169" i="9"/>
  <c r="G121" i="9"/>
  <c r="J106" i="9"/>
  <c r="J216" i="8"/>
  <c r="J95" i="8"/>
  <c r="J195" i="7"/>
  <c r="F109" i="9"/>
  <c r="J221" i="7"/>
  <c r="J272" i="8"/>
  <c r="J243" i="7"/>
  <c r="J261" i="7"/>
  <c r="J257" i="7"/>
  <c r="E195" i="8"/>
  <c r="E6" i="8"/>
  <c r="J161" i="7"/>
  <c r="J117" i="7"/>
  <c r="J37" i="7"/>
  <c r="J232" i="7"/>
  <c r="J104" i="7"/>
  <c r="J162" i="7"/>
  <c r="E285" i="8"/>
  <c r="E78" i="8"/>
  <c r="E23" i="8"/>
  <c r="J194" i="7"/>
  <c r="E165" i="8"/>
  <c r="J164" i="7"/>
  <c r="E9" i="22"/>
  <c r="E13" i="22"/>
  <c r="E273" i="8"/>
  <c r="F272" i="8" s="1"/>
  <c r="J218" i="7"/>
  <c r="E113" i="8"/>
  <c r="E71" i="8"/>
  <c r="K14" i="22"/>
  <c r="K5" i="22"/>
  <c r="J229" i="14"/>
  <c r="G229" i="14"/>
  <c r="F229" i="14"/>
  <c r="J248" i="14"/>
  <c r="G248" i="14"/>
  <c r="F248" i="14"/>
  <c r="J237" i="14"/>
  <c r="G237" i="14"/>
  <c r="F237" i="14"/>
  <c r="G291" i="14"/>
  <c r="J291" i="14"/>
  <c r="F291" i="14"/>
  <c r="J205" i="14"/>
  <c r="F205" i="14"/>
  <c r="G205" i="14"/>
  <c r="J154" i="14"/>
  <c r="G154" i="14"/>
  <c r="F154" i="14"/>
  <c r="J193" i="14"/>
  <c r="F193" i="14"/>
  <c r="G193" i="14"/>
  <c r="J186" i="14"/>
  <c r="G186" i="14"/>
  <c r="F186" i="14"/>
  <c r="G89" i="14"/>
  <c r="J89" i="14"/>
  <c r="F89" i="14"/>
  <c r="J185" i="14"/>
  <c r="F185" i="14"/>
  <c r="G185" i="14"/>
  <c r="J247" i="13"/>
  <c r="F247" i="13"/>
  <c r="G247" i="13"/>
  <c r="G61" i="14"/>
  <c r="J61" i="14"/>
  <c r="F61" i="14"/>
  <c r="J114" i="13"/>
  <c r="F114" i="13"/>
  <c r="G114" i="13"/>
  <c r="G242" i="13"/>
  <c r="F242" i="13"/>
  <c r="J242" i="13"/>
  <c r="J291" i="13"/>
  <c r="F291" i="13"/>
  <c r="G291" i="13"/>
  <c r="J259" i="13"/>
  <c r="F259" i="13"/>
  <c r="G259" i="13"/>
  <c r="G230" i="13"/>
  <c r="F230" i="13"/>
  <c r="J230" i="13"/>
  <c r="J154" i="13"/>
  <c r="G154" i="13"/>
  <c r="F154" i="13"/>
  <c r="J286" i="12"/>
  <c r="G286" i="12"/>
  <c r="F286" i="12"/>
  <c r="G178" i="13"/>
  <c r="F178" i="13"/>
  <c r="J178" i="13"/>
  <c r="G53" i="13"/>
  <c r="J53" i="13"/>
  <c r="F53" i="13"/>
  <c r="G232" i="13"/>
  <c r="F232" i="13"/>
  <c r="J232" i="13"/>
  <c r="G148" i="13"/>
  <c r="F148" i="13"/>
  <c r="J148" i="13"/>
  <c r="G185" i="13"/>
  <c r="J185" i="13"/>
  <c r="F185" i="13"/>
  <c r="J92" i="13"/>
  <c r="G92" i="13"/>
  <c r="F92" i="13"/>
  <c r="F152" i="13"/>
  <c r="G152" i="13"/>
  <c r="J152" i="13"/>
  <c r="F48" i="13"/>
  <c r="J48" i="13"/>
  <c r="G48" i="13"/>
  <c r="G226" i="13"/>
  <c r="F226" i="13"/>
  <c r="J226" i="13"/>
  <c r="J108" i="13"/>
  <c r="G108" i="13"/>
  <c r="F108" i="13"/>
  <c r="G37" i="14"/>
  <c r="J37" i="14"/>
  <c r="F37" i="14"/>
  <c r="F295" i="12"/>
  <c r="J295" i="12"/>
  <c r="G295" i="12"/>
  <c r="G29" i="13"/>
  <c r="J29" i="13"/>
  <c r="F29" i="13"/>
  <c r="J201" i="12"/>
  <c r="G201" i="12"/>
  <c r="F201" i="12"/>
  <c r="G206" i="13"/>
  <c r="G122" i="13"/>
  <c r="G35" i="14"/>
  <c r="J35" i="14"/>
  <c r="F35" i="14"/>
  <c r="G160" i="13"/>
  <c r="J160" i="13"/>
  <c r="F160" i="13"/>
  <c r="F147" i="13"/>
  <c r="H147" i="13" s="1"/>
  <c r="H21" i="13"/>
  <c r="G7" i="14"/>
  <c r="J7" i="14"/>
  <c r="F7" i="14"/>
  <c r="J135" i="14"/>
  <c r="G135" i="14"/>
  <c r="F135" i="14"/>
  <c r="G76" i="14"/>
  <c r="J76" i="14"/>
  <c r="F76" i="14"/>
  <c r="J119" i="14"/>
  <c r="G119" i="14"/>
  <c r="F119" i="14"/>
  <c r="G92" i="14"/>
  <c r="J92" i="14"/>
  <c r="F92" i="14"/>
  <c r="J140" i="14"/>
  <c r="G140" i="14"/>
  <c r="F140" i="14"/>
  <c r="J143" i="14"/>
  <c r="G143" i="14"/>
  <c r="F143" i="14"/>
  <c r="J282" i="14"/>
  <c r="G282" i="14"/>
  <c r="F282" i="14"/>
  <c r="G125" i="14"/>
  <c r="J125" i="14"/>
  <c r="F125" i="14"/>
  <c r="J213" i="14"/>
  <c r="F213" i="14"/>
  <c r="G213" i="14"/>
  <c r="F215" i="14"/>
  <c r="J215" i="14"/>
  <c r="G215" i="14"/>
  <c r="G263" i="14"/>
  <c r="J263" i="14"/>
  <c r="F263" i="14"/>
  <c r="H40" i="13"/>
  <c r="J241" i="12"/>
  <c r="G241" i="12"/>
  <c r="F241" i="12"/>
  <c r="G299" i="13"/>
  <c r="G33" i="12"/>
  <c r="F33" i="12"/>
  <c r="J33" i="12"/>
  <c r="G202" i="13"/>
  <c r="G212" i="12"/>
  <c r="F212" i="12"/>
  <c r="J212" i="12"/>
  <c r="G242" i="12"/>
  <c r="J242" i="12"/>
  <c r="F242" i="12"/>
  <c r="G43" i="13"/>
  <c r="H43" i="13" s="1"/>
  <c r="G137" i="13"/>
  <c r="F24" i="13"/>
  <c r="H24" i="13" s="1"/>
  <c r="F11" i="12"/>
  <c r="J11" i="12"/>
  <c r="G11" i="12"/>
  <c r="F175" i="10"/>
  <c r="H175" i="10" s="1"/>
  <c r="G175" i="10"/>
  <c r="J175" i="10"/>
  <c r="F155" i="10"/>
  <c r="J155" i="10"/>
  <c r="G155" i="10"/>
  <c r="F279" i="10"/>
  <c r="J279" i="10"/>
  <c r="G279" i="10"/>
  <c r="F131" i="10"/>
  <c r="J131" i="10"/>
  <c r="G131" i="10"/>
  <c r="F139" i="10"/>
  <c r="J139" i="10"/>
  <c r="G139" i="10"/>
  <c r="J149" i="12"/>
  <c r="G149" i="12"/>
  <c r="F149" i="12"/>
  <c r="J206" i="10"/>
  <c r="F206" i="10"/>
  <c r="G206" i="10"/>
  <c r="J54" i="10"/>
  <c r="G54" i="10"/>
  <c r="F54" i="10"/>
  <c r="J286" i="9"/>
  <c r="J111" i="10"/>
  <c r="F111" i="10"/>
  <c r="G111" i="10"/>
  <c r="F110" i="10"/>
  <c r="G12" i="10"/>
  <c r="F12" i="10"/>
  <c r="J12" i="10"/>
  <c r="J209" i="10"/>
  <c r="F209" i="10"/>
  <c r="G209" i="10"/>
  <c r="J234" i="9"/>
  <c r="G234" i="9"/>
  <c r="F234" i="9"/>
  <c r="J210" i="9"/>
  <c r="J186" i="9"/>
  <c r="J162" i="9"/>
  <c r="G162" i="9"/>
  <c r="F162" i="9"/>
  <c r="J138" i="9"/>
  <c r="G138" i="9"/>
  <c r="F138" i="9"/>
  <c r="F59" i="10"/>
  <c r="J103" i="12"/>
  <c r="F103" i="12"/>
  <c r="G103" i="12"/>
  <c r="J147" i="12"/>
  <c r="F147" i="12"/>
  <c r="G147" i="12"/>
  <c r="J4" i="12"/>
  <c r="F4" i="12"/>
  <c r="G4" i="12"/>
  <c r="J107" i="12"/>
  <c r="F107" i="12"/>
  <c r="G107" i="12"/>
  <c r="J91" i="12"/>
  <c r="F91" i="12"/>
  <c r="G91" i="12"/>
  <c r="G158" i="12"/>
  <c r="J158" i="12"/>
  <c r="F158" i="12"/>
  <c r="G291" i="12"/>
  <c r="F291" i="12"/>
  <c r="J291" i="12"/>
  <c r="G289" i="12"/>
  <c r="J289" i="12"/>
  <c r="F289" i="12"/>
  <c r="G224" i="12"/>
  <c r="F224" i="12"/>
  <c r="J224" i="12"/>
  <c r="J203" i="12"/>
  <c r="G203" i="12"/>
  <c r="F203" i="12"/>
  <c r="F72" i="12"/>
  <c r="G72" i="12"/>
  <c r="J72" i="12"/>
  <c r="F120" i="12"/>
  <c r="G120" i="12"/>
  <c r="J120" i="12"/>
  <c r="G230" i="12"/>
  <c r="F230" i="12"/>
  <c r="J230" i="12"/>
  <c r="J259" i="12"/>
  <c r="G259" i="12"/>
  <c r="F259" i="12"/>
  <c r="G291" i="10"/>
  <c r="G62" i="10"/>
  <c r="F3" i="10"/>
  <c r="H3" i="10" s="1"/>
  <c r="J55" i="10"/>
  <c r="F55" i="10"/>
  <c r="G55" i="10"/>
  <c r="J282" i="10"/>
  <c r="G282" i="10"/>
  <c r="F282" i="10"/>
  <c r="J189" i="10"/>
  <c r="F189" i="10"/>
  <c r="G189" i="10"/>
  <c r="F137" i="10"/>
  <c r="G137" i="10"/>
  <c r="J137" i="10"/>
  <c r="G276" i="9"/>
  <c r="F276" i="9"/>
  <c r="J276" i="9"/>
  <c r="J263" i="9"/>
  <c r="G263" i="9"/>
  <c r="F263" i="9"/>
  <c r="J215" i="9"/>
  <c r="G215" i="9"/>
  <c r="F215" i="9"/>
  <c r="J167" i="9"/>
  <c r="J105" i="9"/>
  <c r="G105" i="9"/>
  <c r="F105" i="9"/>
  <c r="G48" i="9"/>
  <c r="F48" i="9"/>
  <c r="J48" i="9"/>
  <c r="G115" i="9"/>
  <c r="J89" i="9"/>
  <c r="G89" i="9"/>
  <c r="F89" i="9"/>
  <c r="G204" i="8"/>
  <c r="F204" i="8"/>
  <c r="J204" i="8"/>
  <c r="J91" i="8"/>
  <c r="F91" i="8"/>
  <c r="G91" i="8"/>
  <c r="J183" i="7"/>
  <c r="J239" i="8"/>
  <c r="G239" i="8"/>
  <c r="F239" i="8"/>
  <c r="J12" i="8"/>
  <c r="J205" i="7"/>
  <c r="F78" i="9"/>
  <c r="F260" i="8"/>
  <c r="J260" i="8"/>
  <c r="J116" i="8"/>
  <c r="F47" i="9"/>
  <c r="J241" i="7"/>
  <c r="J295" i="8"/>
  <c r="G295" i="8"/>
  <c r="F295" i="8"/>
  <c r="J151" i="8"/>
  <c r="G151" i="8"/>
  <c r="F151" i="8"/>
  <c r="J239" i="7"/>
  <c r="J235" i="7"/>
  <c r="E183" i="8"/>
  <c r="J301" i="7"/>
  <c r="J149" i="7"/>
  <c r="J114" i="7"/>
  <c r="J34" i="7"/>
  <c r="J256" i="7"/>
  <c r="J108" i="7"/>
  <c r="J174" i="7"/>
  <c r="E280" i="8"/>
  <c r="E74" i="8"/>
  <c r="E16" i="8"/>
  <c r="E160" i="8"/>
  <c r="G159" i="8" s="1"/>
  <c r="J160" i="7"/>
  <c r="E3" i="22"/>
  <c r="E19" i="22"/>
  <c r="E268" i="8"/>
  <c r="G267" i="8" s="1"/>
  <c r="E14" i="8"/>
  <c r="E67" i="8"/>
  <c r="K20" i="22"/>
  <c r="K11" i="22"/>
  <c r="J228" i="14"/>
  <c r="G228" i="14"/>
  <c r="F228" i="14"/>
  <c r="M19" i="15"/>
  <c r="J281" i="14"/>
  <c r="G281" i="14"/>
  <c r="F281" i="14"/>
  <c r="J181" i="14"/>
  <c r="F181" i="14"/>
  <c r="G181" i="14"/>
  <c r="J50" i="14"/>
  <c r="G50" i="14"/>
  <c r="F50" i="14"/>
  <c r="G81" i="14"/>
  <c r="J81" i="14"/>
  <c r="F81" i="14"/>
  <c r="J142" i="14"/>
  <c r="G142" i="14"/>
  <c r="F142" i="14"/>
  <c r="G176" i="14"/>
  <c r="J176" i="14"/>
  <c r="F176" i="14"/>
  <c r="J126" i="14"/>
  <c r="G126" i="14"/>
  <c r="F126" i="14"/>
  <c r="J78" i="14"/>
  <c r="G78" i="14"/>
  <c r="F78" i="14"/>
  <c r="J182" i="14"/>
  <c r="G182" i="14"/>
  <c r="F182" i="14"/>
  <c r="J223" i="13"/>
  <c r="F223" i="13"/>
  <c r="G223" i="13"/>
  <c r="G45" i="14"/>
  <c r="J45" i="14"/>
  <c r="F45" i="14"/>
  <c r="J66" i="13"/>
  <c r="F66" i="13"/>
  <c r="G66" i="13"/>
  <c r="J82" i="14"/>
  <c r="G82" i="14"/>
  <c r="F82" i="14"/>
  <c r="H82" i="14" s="1"/>
  <c r="J102" i="13"/>
  <c r="G102" i="13"/>
  <c r="F102" i="13"/>
  <c r="G270" i="13"/>
  <c r="F270" i="13"/>
  <c r="J270" i="13"/>
  <c r="J23" i="13"/>
  <c r="F23" i="13"/>
  <c r="H23" i="13" s="1"/>
  <c r="G23" i="13"/>
  <c r="J235" i="13"/>
  <c r="F235" i="13"/>
  <c r="G235" i="13"/>
  <c r="J46" i="14"/>
  <c r="G46" i="14"/>
  <c r="F46" i="14"/>
  <c r="J106" i="13"/>
  <c r="G106" i="13"/>
  <c r="F106" i="13"/>
  <c r="J78" i="13"/>
  <c r="G78" i="13"/>
  <c r="F78" i="13"/>
  <c r="G281" i="12"/>
  <c r="F281" i="12"/>
  <c r="J281" i="12"/>
  <c r="H103" i="13"/>
  <c r="M19" i="13"/>
  <c r="G157" i="13"/>
  <c r="F157" i="13"/>
  <c r="J157" i="13"/>
  <c r="F91" i="13"/>
  <c r="J91" i="13"/>
  <c r="G91" i="13"/>
  <c r="G245" i="13"/>
  <c r="J245" i="13"/>
  <c r="F245" i="13"/>
  <c r="G293" i="13"/>
  <c r="J293" i="13"/>
  <c r="F293" i="13"/>
  <c r="F196" i="13"/>
  <c r="J196" i="13"/>
  <c r="G196" i="13"/>
  <c r="J140" i="13"/>
  <c r="G140" i="13"/>
  <c r="F140" i="13"/>
  <c r="G177" i="13"/>
  <c r="F177" i="13"/>
  <c r="J177" i="13"/>
  <c r="F76" i="13"/>
  <c r="J76" i="13"/>
  <c r="G76" i="13"/>
  <c r="J189" i="12"/>
  <c r="G189" i="12"/>
  <c r="F189" i="12"/>
  <c r="G213" i="13"/>
  <c r="F213" i="13"/>
  <c r="J213" i="13"/>
  <c r="G278" i="13"/>
  <c r="F278" i="13"/>
  <c r="J278" i="13"/>
  <c r="J290" i="12"/>
  <c r="G290" i="12"/>
  <c r="F290" i="12"/>
  <c r="F143" i="13"/>
  <c r="G143" i="13"/>
  <c r="J143" i="13"/>
  <c r="J171" i="13"/>
  <c r="F171" i="13"/>
  <c r="G171" i="13"/>
  <c r="F51" i="13"/>
  <c r="G51" i="13"/>
  <c r="J51" i="13"/>
  <c r="G50" i="13"/>
  <c r="H50" i="13" s="1"/>
  <c r="J17" i="14"/>
  <c r="G17" i="14"/>
  <c r="F17" i="14"/>
  <c r="F155" i="13"/>
  <c r="J155" i="13"/>
  <c r="G155" i="13"/>
  <c r="F81" i="13"/>
  <c r="G13" i="14"/>
  <c r="J13" i="14"/>
  <c r="F13" i="14"/>
  <c r="G29" i="14"/>
  <c r="F29" i="14"/>
  <c r="H29" i="14" s="1"/>
  <c r="J29" i="14"/>
  <c r="G100" i="14"/>
  <c r="J100" i="14"/>
  <c r="F100" i="14"/>
  <c r="J124" i="14"/>
  <c r="G124" i="14"/>
  <c r="F124" i="14"/>
  <c r="G36" i="14"/>
  <c r="F36" i="14"/>
  <c r="J36" i="14"/>
  <c r="J152" i="14"/>
  <c r="G152" i="14"/>
  <c r="F152" i="14"/>
  <c r="J155" i="14"/>
  <c r="G155" i="14"/>
  <c r="F155" i="14"/>
  <c r="G168" i="14"/>
  <c r="J168" i="14"/>
  <c r="F168" i="14"/>
  <c r="G129" i="14"/>
  <c r="J129" i="14"/>
  <c r="F129" i="14"/>
  <c r="J226" i="14"/>
  <c r="G226" i="14"/>
  <c r="F226" i="14"/>
  <c r="J219" i="14"/>
  <c r="G219" i="14"/>
  <c r="F219" i="14"/>
  <c r="G267" i="14"/>
  <c r="J267" i="14"/>
  <c r="F267" i="14"/>
  <c r="G93" i="13"/>
  <c r="J93" i="13"/>
  <c r="F93" i="13"/>
  <c r="J225" i="12"/>
  <c r="G225" i="12"/>
  <c r="F225" i="12"/>
  <c r="F299" i="13"/>
  <c r="G178" i="12"/>
  <c r="J178" i="12"/>
  <c r="F178" i="12"/>
  <c r="G196" i="12"/>
  <c r="F196" i="12"/>
  <c r="J196" i="12"/>
  <c r="F159" i="10"/>
  <c r="G159" i="10"/>
  <c r="J159" i="10"/>
  <c r="G158" i="10"/>
  <c r="J181" i="12"/>
  <c r="G181" i="12"/>
  <c r="F181" i="12"/>
  <c r="F263" i="10"/>
  <c r="J263" i="10"/>
  <c r="G263" i="10"/>
  <c r="J98" i="12"/>
  <c r="G98" i="12"/>
  <c r="F98" i="12"/>
  <c r="F38" i="12"/>
  <c r="J42" i="12"/>
  <c r="G42" i="12"/>
  <c r="F42" i="12"/>
  <c r="J181" i="10"/>
  <c r="F181" i="10"/>
  <c r="G181" i="10"/>
  <c r="G44" i="10"/>
  <c r="F44" i="10"/>
  <c r="J44" i="10"/>
  <c r="G188" i="10"/>
  <c r="F188" i="10"/>
  <c r="J188" i="10"/>
  <c r="J252" i="10"/>
  <c r="J101" i="10"/>
  <c r="G101" i="10"/>
  <c r="F101" i="10"/>
  <c r="G6" i="10"/>
  <c r="F6" i="10"/>
  <c r="J6" i="10"/>
  <c r="J202" i="10"/>
  <c r="G202" i="10"/>
  <c r="F202" i="10"/>
  <c r="G88" i="10"/>
  <c r="F88" i="10"/>
  <c r="J88" i="10"/>
  <c r="J24" i="10"/>
  <c r="G75" i="10"/>
  <c r="F256" i="9"/>
  <c r="J256" i="9"/>
  <c r="G256" i="9"/>
  <c r="F208" i="9"/>
  <c r="J208" i="9"/>
  <c r="G208" i="9"/>
  <c r="J160" i="9"/>
  <c r="F136" i="9"/>
  <c r="J136" i="9"/>
  <c r="G136" i="9"/>
  <c r="F201" i="10"/>
  <c r="F169" i="10"/>
  <c r="H169" i="10" s="1"/>
  <c r="F107" i="10"/>
  <c r="J130" i="12"/>
  <c r="G130" i="12"/>
  <c r="F130" i="12"/>
  <c r="G206" i="12"/>
  <c r="J206" i="12"/>
  <c r="F206" i="12"/>
  <c r="J27" i="12"/>
  <c r="F27" i="12"/>
  <c r="G27" i="12"/>
  <c r="G204" i="12"/>
  <c r="F204" i="12"/>
  <c r="J204" i="12"/>
  <c r="J139" i="12"/>
  <c r="F139" i="12"/>
  <c r="G139" i="12"/>
  <c r="G190" i="12"/>
  <c r="J190" i="12"/>
  <c r="F190" i="12"/>
  <c r="G186" i="12"/>
  <c r="F186" i="12"/>
  <c r="J186" i="12"/>
  <c r="J151" i="12"/>
  <c r="G151" i="12"/>
  <c r="F151" i="12"/>
  <c r="G240" i="12"/>
  <c r="F240" i="12"/>
  <c r="J240" i="12"/>
  <c r="J219" i="12"/>
  <c r="G219" i="12"/>
  <c r="F219" i="12"/>
  <c r="F76" i="12"/>
  <c r="G76" i="12"/>
  <c r="J76" i="12"/>
  <c r="F124" i="12"/>
  <c r="G124" i="12"/>
  <c r="J124" i="12"/>
  <c r="G246" i="12"/>
  <c r="F246" i="12"/>
  <c r="J246" i="12"/>
  <c r="J263" i="12"/>
  <c r="G263" i="12"/>
  <c r="F263" i="12"/>
  <c r="F272" i="9"/>
  <c r="J272" i="9"/>
  <c r="G272" i="9"/>
  <c r="F179" i="10"/>
  <c r="G179" i="10"/>
  <c r="J179" i="10"/>
  <c r="J45" i="10"/>
  <c r="G45" i="10"/>
  <c r="F45" i="10"/>
  <c r="J289" i="10"/>
  <c r="F289" i="10"/>
  <c r="G289" i="10"/>
  <c r="G196" i="10"/>
  <c r="J196" i="10"/>
  <c r="F196" i="10"/>
  <c r="G260" i="10"/>
  <c r="J260" i="10"/>
  <c r="F260" i="10"/>
  <c r="F142" i="10"/>
  <c r="J142" i="10"/>
  <c r="G142" i="10"/>
  <c r="J259" i="9"/>
  <c r="G259" i="9"/>
  <c r="F259" i="9"/>
  <c r="J163" i="9"/>
  <c r="G163" i="9"/>
  <c r="F163" i="9"/>
  <c r="J85" i="9"/>
  <c r="G85" i="9"/>
  <c r="F85" i="9"/>
  <c r="J297" i="9"/>
  <c r="J110" i="9"/>
  <c r="F110" i="9"/>
  <c r="G110" i="9"/>
  <c r="G136" i="10"/>
  <c r="F245" i="9"/>
  <c r="F197" i="9"/>
  <c r="F118" i="9"/>
  <c r="G265" i="10"/>
  <c r="F126" i="10"/>
  <c r="H126" i="10" s="1"/>
  <c r="G75" i="9"/>
  <c r="J75" i="9"/>
  <c r="G74" i="9"/>
  <c r="F75" i="9"/>
  <c r="J192" i="8"/>
  <c r="J87" i="8"/>
  <c r="J171" i="7"/>
  <c r="J227" i="8"/>
  <c r="G227" i="8"/>
  <c r="F227" i="8"/>
  <c r="J7" i="8"/>
  <c r="J193" i="7"/>
  <c r="J248" i="8"/>
  <c r="J219" i="7"/>
  <c r="J283" i="8"/>
  <c r="J139" i="8"/>
  <c r="J237" i="7"/>
  <c r="J233" i="7"/>
  <c r="J171" i="8"/>
  <c r="J279" i="7"/>
  <c r="F53" i="9"/>
  <c r="J101" i="7"/>
  <c r="J280" i="7"/>
  <c r="J112" i="7"/>
  <c r="J186" i="7"/>
  <c r="J177" i="8"/>
  <c r="E265" i="8"/>
  <c r="E70" i="8"/>
  <c r="E225" i="8"/>
  <c r="E145" i="8"/>
  <c r="G144" i="8" s="1"/>
  <c r="E15" i="8"/>
  <c r="E14" i="22"/>
  <c r="E18" i="22"/>
  <c r="E253" i="8"/>
  <c r="E137" i="8"/>
  <c r="G136" i="8" s="1"/>
  <c r="E63" i="8"/>
  <c r="K15" i="22"/>
  <c r="J289" i="14"/>
  <c r="G289" i="14"/>
  <c r="F289" i="14"/>
  <c r="J265" i="14"/>
  <c r="G265" i="14"/>
  <c r="F265" i="14"/>
  <c r="J171" i="14"/>
  <c r="G171" i="14"/>
  <c r="F171" i="14"/>
  <c r="J293" i="14"/>
  <c r="G293" i="14"/>
  <c r="F293" i="14"/>
  <c r="J70" i="14"/>
  <c r="G70" i="14"/>
  <c r="F70" i="14"/>
  <c r="G117" i="14"/>
  <c r="J117" i="14"/>
  <c r="F117" i="14"/>
  <c r="J98" i="14"/>
  <c r="G98" i="14"/>
  <c r="F98" i="14"/>
  <c r="J114" i="14"/>
  <c r="G114" i="14"/>
  <c r="F114" i="14"/>
  <c r="G109" i="14"/>
  <c r="J109" i="14"/>
  <c r="F109" i="14"/>
  <c r="J130" i="14"/>
  <c r="G130" i="14"/>
  <c r="F130" i="14"/>
  <c r="J199" i="13"/>
  <c r="F199" i="13"/>
  <c r="G199" i="13"/>
  <c r="J34" i="13"/>
  <c r="F34" i="13"/>
  <c r="G34" i="13"/>
  <c r="G33" i="14"/>
  <c r="F33" i="14"/>
  <c r="J33" i="14"/>
  <c r="G246" i="13"/>
  <c r="F246" i="13"/>
  <c r="J246" i="13"/>
  <c r="J211" i="13"/>
  <c r="F211" i="13"/>
  <c r="G211" i="13"/>
  <c r="J58" i="13"/>
  <c r="G58" i="13"/>
  <c r="F58" i="13"/>
  <c r="J265" i="12"/>
  <c r="F265" i="12"/>
  <c r="G265" i="12"/>
  <c r="H80" i="13"/>
  <c r="J146" i="13"/>
  <c r="G146" i="13"/>
  <c r="F146" i="13"/>
  <c r="J96" i="13"/>
  <c r="G96" i="13"/>
  <c r="F96" i="13"/>
  <c r="G256" i="13"/>
  <c r="J256" i="13"/>
  <c r="F256" i="13"/>
  <c r="J35" i="13"/>
  <c r="F35" i="13"/>
  <c r="G35" i="13"/>
  <c r="G209" i="13"/>
  <c r="J209" i="13"/>
  <c r="F209" i="13"/>
  <c r="G285" i="13"/>
  <c r="J285" i="13"/>
  <c r="F285" i="13"/>
  <c r="F188" i="13"/>
  <c r="G188" i="13"/>
  <c r="J188" i="13"/>
  <c r="F124" i="13"/>
  <c r="G124" i="13"/>
  <c r="J124" i="13"/>
  <c r="J204" i="13"/>
  <c r="G204" i="13"/>
  <c r="F204" i="13"/>
  <c r="G250" i="13"/>
  <c r="F250" i="13"/>
  <c r="J250" i="13"/>
  <c r="J185" i="12"/>
  <c r="G185" i="12"/>
  <c r="F185" i="12"/>
  <c r="F145" i="13"/>
  <c r="H145" i="13" s="1"/>
  <c r="J5" i="14"/>
  <c r="G5" i="14"/>
  <c r="F5" i="14"/>
  <c r="G81" i="13"/>
  <c r="G19" i="14"/>
  <c r="J19" i="14"/>
  <c r="F19" i="14"/>
  <c r="J95" i="14"/>
  <c r="G95" i="14"/>
  <c r="F95" i="14"/>
  <c r="J87" i="14"/>
  <c r="G87" i="14"/>
  <c r="F87" i="14"/>
  <c r="J131" i="14"/>
  <c r="G131" i="14"/>
  <c r="F131" i="14"/>
  <c r="G55" i="14"/>
  <c r="F55" i="14"/>
  <c r="J55" i="14"/>
  <c r="J164" i="14"/>
  <c r="G164" i="14"/>
  <c r="F164" i="14"/>
  <c r="G41" i="14"/>
  <c r="J41" i="14"/>
  <c r="F41" i="14"/>
  <c r="J173" i="14"/>
  <c r="F173" i="14"/>
  <c r="G173" i="14"/>
  <c r="G133" i="14"/>
  <c r="J133" i="14"/>
  <c r="F133" i="14"/>
  <c r="J242" i="14"/>
  <c r="G242" i="14"/>
  <c r="F242" i="14"/>
  <c r="G223" i="14"/>
  <c r="F223" i="14"/>
  <c r="J223" i="14"/>
  <c r="G271" i="14"/>
  <c r="J271" i="14"/>
  <c r="F271" i="14"/>
  <c r="J88" i="13"/>
  <c r="G88" i="13"/>
  <c r="F88" i="13"/>
  <c r="J209" i="12"/>
  <c r="G209" i="12"/>
  <c r="F209" i="12"/>
  <c r="G287" i="12"/>
  <c r="F287" i="12"/>
  <c r="J287" i="12"/>
  <c r="G18" i="12"/>
  <c r="J18" i="12"/>
  <c r="F18" i="12"/>
  <c r="J197" i="12"/>
  <c r="G197" i="12"/>
  <c r="F197" i="12"/>
  <c r="G164" i="12"/>
  <c r="F164" i="12"/>
  <c r="J164" i="12"/>
  <c r="G129" i="12"/>
  <c r="F129" i="12"/>
  <c r="J129" i="12"/>
  <c r="J299" i="12"/>
  <c r="F299" i="12"/>
  <c r="G299" i="12"/>
  <c r="F133" i="13"/>
  <c r="H133" i="13" s="1"/>
  <c r="F10" i="13"/>
  <c r="H10" i="13" s="1"/>
  <c r="J74" i="12"/>
  <c r="G74" i="12"/>
  <c r="F74" i="12"/>
  <c r="G69" i="12"/>
  <c r="F69" i="12"/>
  <c r="J69" i="12"/>
  <c r="F247" i="10"/>
  <c r="J247" i="10"/>
  <c r="G247" i="10"/>
  <c r="F75" i="13"/>
  <c r="H75" i="13" s="1"/>
  <c r="J34" i="12"/>
  <c r="G34" i="12"/>
  <c r="F34" i="12"/>
  <c r="G38" i="12"/>
  <c r="G19" i="12"/>
  <c r="F19" i="12"/>
  <c r="J19" i="12"/>
  <c r="J38" i="10"/>
  <c r="G38" i="10"/>
  <c r="F38" i="10"/>
  <c r="J271" i="9"/>
  <c r="G271" i="9"/>
  <c r="F271" i="9"/>
  <c r="F227" i="10"/>
  <c r="G227" i="10"/>
  <c r="J227" i="10"/>
  <c r="J95" i="10"/>
  <c r="F95" i="10"/>
  <c r="G95" i="10"/>
  <c r="G184" i="10"/>
  <c r="J184" i="10"/>
  <c r="F184" i="10"/>
  <c r="J82" i="10"/>
  <c r="G82" i="10"/>
  <c r="F82" i="10"/>
  <c r="J21" i="10"/>
  <c r="F21" i="10"/>
  <c r="G21" i="10"/>
  <c r="G59" i="10"/>
  <c r="J254" i="9"/>
  <c r="J230" i="9"/>
  <c r="G230" i="9"/>
  <c r="F230" i="9"/>
  <c r="J182" i="9"/>
  <c r="G182" i="9"/>
  <c r="F182" i="9"/>
  <c r="J158" i="9"/>
  <c r="G158" i="9"/>
  <c r="F158" i="9"/>
  <c r="J134" i="9"/>
  <c r="G134" i="9"/>
  <c r="F134" i="9"/>
  <c r="G154" i="12"/>
  <c r="F154" i="12"/>
  <c r="J154" i="12"/>
  <c r="J55" i="12"/>
  <c r="F55" i="12"/>
  <c r="G55" i="12"/>
  <c r="F32" i="12"/>
  <c r="G32" i="12"/>
  <c r="J32" i="12"/>
  <c r="G254" i="12"/>
  <c r="J254" i="12"/>
  <c r="F254" i="12"/>
  <c r="G172" i="12"/>
  <c r="F172" i="12"/>
  <c r="J172" i="12"/>
  <c r="G252" i="12"/>
  <c r="F252" i="12"/>
  <c r="J252" i="12"/>
  <c r="G202" i="12"/>
  <c r="F202" i="12"/>
  <c r="J202" i="12"/>
  <c r="J167" i="12"/>
  <c r="G167" i="12"/>
  <c r="F167" i="12"/>
  <c r="G256" i="12"/>
  <c r="F256" i="12"/>
  <c r="J256" i="12"/>
  <c r="J235" i="12"/>
  <c r="G235" i="12"/>
  <c r="F235" i="12"/>
  <c r="F80" i="12"/>
  <c r="G80" i="12"/>
  <c r="J80" i="12"/>
  <c r="F128" i="12"/>
  <c r="G128" i="12"/>
  <c r="J128" i="12"/>
  <c r="G276" i="12"/>
  <c r="F276" i="12"/>
  <c r="J276" i="12"/>
  <c r="J275" i="12"/>
  <c r="G275" i="12"/>
  <c r="F275" i="12"/>
  <c r="J39" i="10"/>
  <c r="F39" i="10"/>
  <c r="G39" i="10"/>
  <c r="G296" i="10"/>
  <c r="J296" i="10"/>
  <c r="F296" i="10"/>
  <c r="G198" i="10"/>
  <c r="F198" i="10"/>
  <c r="J198" i="10"/>
  <c r="G262" i="10"/>
  <c r="F262" i="10"/>
  <c r="J262" i="10"/>
  <c r="J152" i="10"/>
  <c r="F152" i="10"/>
  <c r="G152" i="10"/>
  <c r="G254" i="10"/>
  <c r="J207" i="9"/>
  <c r="G207" i="9"/>
  <c r="F207" i="9"/>
  <c r="J159" i="9"/>
  <c r="G159" i="9"/>
  <c r="F159" i="9"/>
  <c r="J289" i="9"/>
  <c r="G289" i="9"/>
  <c r="F289" i="9"/>
  <c r="J279" i="9"/>
  <c r="F279" i="9"/>
  <c r="G279" i="9"/>
  <c r="G245" i="9"/>
  <c r="G229" i="9"/>
  <c r="G133" i="9"/>
  <c r="G72" i="9"/>
  <c r="F72" i="9"/>
  <c r="J72" i="9"/>
  <c r="J180" i="8"/>
  <c r="J83" i="8"/>
  <c r="J299" i="7"/>
  <c r="J159" i="7"/>
  <c r="J215" i="8"/>
  <c r="G215" i="8"/>
  <c r="F215" i="8"/>
  <c r="J181" i="7"/>
  <c r="J236" i="8"/>
  <c r="G47" i="9"/>
  <c r="J217" i="7"/>
  <c r="J271" i="8"/>
  <c r="G271" i="8"/>
  <c r="F271" i="8"/>
  <c r="J127" i="8"/>
  <c r="J215" i="7"/>
  <c r="J211" i="7"/>
  <c r="J159" i="8"/>
  <c r="J277" i="7"/>
  <c r="G53" i="9"/>
  <c r="J98" i="7"/>
  <c r="J64" i="7"/>
  <c r="J116" i="7"/>
  <c r="J198" i="7"/>
  <c r="E157" i="8"/>
  <c r="E141" i="8"/>
  <c r="E66" i="8"/>
  <c r="E220" i="8"/>
  <c r="E125" i="8"/>
  <c r="E249" i="8"/>
  <c r="E8" i="8"/>
  <c r="G7" i="8" s="1"/>
  <c r="E12" i="22"/>
  <c r="E11" i="22"/>
  <c r="E189" i="8"/>
  <c r="G188" i="8" s="1"/>
  <c r="E237" i="8"/>
  <c r="F236" i="8" s="1"/>
  <c r="E129" i="8"/>
  <c r="J200" i="7"/>
  <c r="E59" i="8"/>
  <c r="K8" i="22"/>
  <c r="G9" i="21" l="1"/>
  <c r="H9" i="21"/>
  <c r="H87" i="21"/>
  <c r="H20" i="21"/>
  <c r="F4" i="21"/>
  <c r="H4" i="21" s="1"/>
  <c r="F3" i="21"/>
  <c r="H107" i="21"/>
  <c r="H14" i="21"/>
  <c r="H185" i="21"/>
  <c r="H50" i="21"/>
  <c r="H203" i="21"/>
  <c r="H139" i="21"/>
  <c r="H282" i="21"/>
  <c r="H33" i="21"/>
  <c r="H176" i="21"/>
  <c r="H111" i="21"/>
  <c r="H78" i="21"/>
  <c r="H187" i="21"/>
  <c r="H210" i="21"/>
  <c r="H272" i="21"/>
  <c r="H265" i="21"/>
  <c r="H69" i="21"/>
  <c r="H56" i="21"/>
  <c r="H13" i="21"/>
  <c r="H227" i="21"/>
  <c r="H70" i="21"/>
  <c r="H183" i="21"/>
  <c r="H221" i="21"/>
  <c r="H79" i="21"/>
  <c r="H167" i="21"/>
  <c r="H160" i="21"/>
  <c r="H3" i="21"/>
  <c r="H301" i="21"/>
  <c r="H208" i="21"/>
  <c r="H51" i="21"/>
  <c r="H158" i="21"/>
  <c r="H236" i="21"/>
  <c r="H38" i="21"/>
  <c r="H285" i="21"/>
  <c r="H165" i="21"/>
  <c r="H275" i="21"/>
  <c r="H300" i="21"/>
  <c r="H199" i="21"/>
  <c r="H284" i="21"/>
  <c r="H122" i="21"/>
  <c r="H138" i="21"/>
  <c r="H200" i="21"/>
  <c r="H179" i="21"/>
  <c r="H289" i="21"/>
  <c r="H66" i="21"/>
  <c r="H7" i="21"/>
  <c r="H294" i="21"/>
  <c r="H102" i="21"/>
  <c r="H96" i="21"/>
  <c r="H131" i="21"/>
  <c r="H291" i="21"/>
  <c r="H184" i="21"/>
  <c r="H213" i="21"/>
  <c r="H142" i="21"/>
  <c r="H246" i="21"/>
  <c r="H72" i="21"/>
  <c r="H44" i="21"/>
  <c r="H278" i="21"/>
  <c r="H220" i="21"/>
  <c r="H93" i="21"/>
  <c r="H270" i="21"/>
  <c r="H81" i="21"/>
  <c r="H171" i="21"/>
  <c r="H18" i="21"/>
  <c r="H80" i="21"/>
  <c r="H163" i="21"/>
  <c r="H166" i="21"/>
  <c r="H22" i="21"/>
  <c r="H279" i="21"/>
  <c r="H152" i="21"/>
  <c r="H113" i="21"/>
  <c r="H217" i="21"/>
  <c r="H117" i="21"/>
  <c r="H27" i="21"/>
  <c r="H157" i="21"/>
  <c r="H283" i="21"/>
  <c r="H21" i="21"/>
  <c r="H135" i="21"/>
  <c r="H174" i="21"/>
  <c r="H123" i="21"/>
  <c r="H147" i="21"/>
  <c r="H161" i="21"/>
  <c r="H247" i="21"/>
  <c r="H271" i="21"/>
  <c r="H32" i="21"/>
  <c r="H230" i="21"/>
  <c r="H86" i="21"/>
  <c r="H226" i="21"/>
  <c r="H262" i="21"/>
  <c r="H83" i="21"/>
  <c r="H153" i="21"/>
  <c r="H243" i="21"/>
  <c r="H287" i="21"/>
  <c r="H169" i="21"/>
  <c r="H84" i="21"/>
  <c r="H58" i="21"/>
  <c r="H141" i="21"/>
  <c r="H46" i="21"/>
  <c r="H274" i="21"/>
  <c r="H121" i="21"/>
  <c r="H128" i="21"/>
  <c r="H89" i="21"/>
  <c r="H242" i="21"/>
  <c r="H156" i="21"/>
  <c r="H65" i="21"/>
  <c r="H112" i="21"/>
  <c r="H100" i="21"/>
  <c r="H11" i="21"/>
  <c r="H41" i="21"/>
  <c r="H88" i="21"/>
  <c r="H110" i="21"/>
  <c r="H168" i="21"/>
  <c r="H266" i="21"/>
  <c r="H290" i="21"/>
  <c r="H175" i="21"/>
  <c r="H253" i="21"/>
  <c r="H192" i="21"/>
  <c r="H114" i="21"/>
  <c r="H30" i="21"/>
  <c r="H62" i="21"/>
  <c r="H277" i="21"/>
  <c r="H245" i="21"/>
  <c r="H260" i="21"/>
  <c r="H24" i="21"/>
  <c r="H103" i="21"/>
  <c r="H293" i="21"/>
  <c r="H64" i="21"/>
  <c r="H95" i="21"/>
  <c r="H108" i="21"/>
  <c r="H280" i="21"/>
  <c r="H212" i="21"/>
  <c r="H257" i="21"/>
  <c r="H248" i="21"/>
  <c r="H23" i="21"/>
  <c r="H140" i="21"/>
  <c r="H76" i="21"/>
  <c r="H181" i="21"/>
  <c r="H75" i="21"/>
  <c r="H297" i="21"/>
  <c r="H143" i="21"/>
  <c r="H233" i="21"/>
  <c r="H144" i="21"/>
  <c r="H281" i="21"/>
  <c r="H91" i="21"/>
  <c r="H273" i="21"/>
  <c r="H170" i="21"/>
  <c r="H43" i="21"/>
  <c r="H269" i="21"/>
  <c r="H40" i="21"/>
  <c r="H105" i="21"/>
  <c r="H115" i="21"/>
  <c r="H119" i="21"/>
  <c r="H85" i="21"/>
  <c r="H155" i="21"/>
  <c r="H254" i="21"/>
  <c r="G10" i="20"/>
  <c r="F10" i="20"/>
  <c r="F11" i="20"/>
  <c r="G11" i="20"/>
  <c r="M16" i="20"/>
  <c r="H277" i="20"/>
  <c r="H32" i="20"/>
  <c r="H125" i="20"/>
  <c r="H240" i="20"/>
  <c r="H174" i="20"/>
  <c r="H129" i="20"/>
  <c r="H173" i="20"/>
  <c r="H297" i="20"/>
  <c r="H214" i="20"/>
  <c r="H100" i="20"/>
  <c r="H134" i="20"/>
  <c r="H222" i="20"/>
  <c r="H8" i="20"/>
  <c r="H273" i="20"/>
  <c r="H282" i="20"/>
  <c r="H14" i="20"/>
  <c r="H155" i="20"/>
  <c r="H246" i="20"/>
  <c r="H248" i="20"/>
  <c r="H220" i="20"/>
  <c r="H183" i="20"/>
  <c r="H201" i="20"/>
  <c r="H94" i="20"/>
  <c r="H202" i="20"/>
  <c r="H208" i="20"/>
  <c r="H190" i="20"/>
  <c r="H5" i="20"/>
  <c r="H25" i="20"/>
  <c r="H191" i="20"/>
  <c r="H117" i="20"/>
  <c r="H112" i="20"/>
  <c r="H40" i="20"/>
  <c r="H251" i="20"/>
  <c r="H265" i="20"/>
  <c r="H264" i="20"/>
  <c r="H283" i="20"/>
  <c r="H261" i="20"/>
  <c r="H291" i="20"/>
  <c r="H286" i="20"/>
  <c r="H23" i="20"/>
  <c r="H260" i="20"/>
  <c r="H35" i="20"/>
  <c r="H226" i="20"/>
  <c r="H242" i="20"/>
  <c r="H212" i="20"/>
  <c r="H22" i="20"/>
  <c r="H84" i="20"/>
  <c r="H299" i="20"/>
  <c r="H160" i="20"/>
  <c r="H73" i="20"/>
  <c r="H107" i="20"/>
  <c r="H219" i="20"/>
  <c r="H184" i="20"/>
  <c r="H228" i="20"/>
  <c r="H104" i="20"/>
  <c r="H47" i="20"/>
  <c r="H98" i="20"/>
  <c r="H60" i="20"/>
  <c r="H118" i="20"/>
  <c r="H235" i="20"/>
  <c r="H204" i="20"/>
  <c r="H121" i="20"/>
  <c r="H209" i="20"/>
  <c r="H197" i="20"/>
  <c r="H158" i="20"/>
  <c r="H21" i="20"/>
  <c r="H145" i="20"/>
  <c r="H296" i="20"/>
  <c r="H154" i="20"/>
  <c r="H138" i="20"/>
  <c r="H256" i="20"/>
  <c r="H92" i="20"/>
  <c r="H75" i="20"/>
  <c r="H266" i="20"/>
  <c r="H254" i="20"/>
  <c r="H298" i="20"/>
  <c r="H88" i="20"/>
  <c r="H236" i="20"/>
  <c r="H58" i="20"/>
  <c r="H281" i="20"/>
  <c r="H182" i="20"/>
  <c r="H150" i="20"/>
  <c r="H31" i="20"/>
  <c r="H10" i="20"/>
  <c r="H253" i="20"/>
  <c r="H206" i="20"/>
  <c r="H37" i="20"/>
  <c r="H143" i="20"/>
  <c r="H210" i="20"/>
  <c r="H80" i="20"/>
  <c r="H149" i="20"/>
  <c r="H294" i="20"/>
  <c r="H54" i="20"/>
  <c r="H20" i="20"/>
  <c r="H13" i="20"/>
  <c r="H175" i="20"/>
  <c r="H53" i="20"/>
  <c r="H249" i="20"/>
  <c r="H71" i="20"/>
  <c r="H41" i="20"/>
  <c r="H284" i="20"/>
  <c r="H223" i="20"/>
  <c r="H132" i="20"/>
  <c r="H124" i="20"/>
  <c r="H68" i="20"/>
  <c r="H288" i="20"/>
  <c r="H203" i="20"/>
  <c r="H148" i="20"/>
  <c r="H110" i="20"/>
  <c r="H258" i="20"/>
  <c r="H122" i="20"/>
  <c r="H82" i="20"/>
  <c r="H161" i="20"/>
  <c r="H30" i="20"/>
  <c r="H224" i="20"/>
  <c r="H270" i="20"/>
  <c r="H90" i="20"/>
  <c r="H194" i="20"/>
  <c r="H198" i="20"/>
  <c r="H139" i="20"/>
  <c r="H81" i="20"/>
  <c r="H7" i="20"/>
  <c r="H241" i="20"/>
  <c r="H52" i="20"/>
  <c r="H69" i="20"/>
  <c r="H59" i="20"/>
  <c r="H287" i="20"/>
  <c r="H278" i="20"/>
  <c r="H72" i="20"/>
  <c r="H279" i="20"/>
  <c r="H114" i="20"/>
  <c r="H244" i="20"/>
  <c r="H177" i="20"/>
  <c r="H221" i="20"/>
  <c r="H290" i="20"/>
  <c r="H130" i="20"/>
  <c r="H195" i="20"/>
  <c r="H17" i="20"/>
  <c r="H83" i="20"/>
  <c r="H272" i="20"/>
  <c r="H116" i="20"/>
  <c r="H225" i="20"/>
  <c r="H99" i="20"/>
  <c r="H95" i="20"/>
  <c r="H24" i="20"/>
  <c r="H181" i="20"/>
  <c r="H233" i="20"/>
  <c r="H43" i="20"/>
  <c r="H199" i="20"/>
  <c r="H255" i="20"/>
  <c r="H115" i="20"/>
  <c r="H196" i="20"/>
  <c r="H159" i="20"/>
  <c r="H50" i="20"/>
  <c r="H146" i="20"/>
  <c r="H140" i="20"/>
  <c r="H263" i="20"/>
  <c r="H189" i="20"/>
  <c r="H119" i="20"/>
  <c r="H239" i="20"/>
  <c r="H7" i="19"/>
  <c r="G15" i="19"/>
  <c r="F15" i="19"/>
  <c r="H15" i="19" s="1"/>
  <c r="G13" i="19"/>
  <c r="G12" i="19"/>
  <c r="G19" i="19"/>
  <c r="H19" i="19" s="1"/>
  <c r="F23" i="19"/>
  <c r="H23" i="19" s="1"/>
  <c r="F12" i="19"/>
  <c r="H12" i="19" s="1"/>
  <c r="G14" i="19"/>
  <c r="F14" i="19"/>
  <c r="J7" i="19"/>
  <c r="J18" i="19"/>
  <c r="G18" i="19"/>
  <c r="F18" i="19"/>
  <c r="H18" i="19" s="1"/>
  <c r="G6" i="19"/>
  <c r="G4" i="19"/>
  <c r="H4" i="19" s="1"/>
  <c r="F6" i="19"/>
  <c r="H13" i="19"/>
  <c r="H210" i="19"/>
  <c r="H104" i="19"/>
  <c r="H180" i="19"/>
  <c r="H211" i="19"/>
  <c r="H298" i="19"/>
  <c r="H292" i="19"/>
  <c r="H135" i="19"/>
  <c r="H291" i="19"/>
  <c r="H289" i="19"/>
  <c r="H182" i="19"/>
  <c r="H220" i="19"/>
  <c r="H78" i="19"/>
  <c r="H55" i="19"/>
  <c r="H258" i="19"/>
  <c r="H204" i="19"/>
  <c r="H252" i="19"/>
  <c r="H197" i="19"/>
  <c r="H200" i="19"/>
  <c r="H271" i="19"/>
  <c r="H280" i="19"/>
  <c r="H16" i="19"/>
  <c r="H158" i="19"/>
  <c r="H134" i="19"/>
  <c r="H118" i="19"/>
  <c r="H72" i="19"/>
  <c r="H83" i="19"/>
  <c r="H262" i="19"/>
  <c r="H282" i="19"/>
  <c r="H160" i="19"/>
  <c r="H274" i="19"/>
  <c r="H199" i="19"/>
  <c r="H207" i="19"/>
  <c r="H185" i="19"/>
  <c r="H256" i="19"/>
  <c r="H108" i="19"/>
  <c r="H191" i="19"/>
  <c r="H20" i="19"/>
  <c r="H90" i="19"/>
  <c r="H113" i="19"/>
  <c r="H219" i="19"/>
  <c r="H41" i="19"/>
  <c r="H170" i="19"/>
  <c r="H179" i="19"/>
  <c r="H149" i="19"/>
  <c r="H297" i="19"/>
  <c r="H168" i="19"/>
  <c r="H33" i="19"/>
  <c r="H84" i="19"/>
  <c r="H11" i="19"/>
  <c r="H190" i="19"/>
  <c r="H178" i="19"/>
  <c r="H253" i="19"/>
  <c r="H34" i="19"/>
  <c r="H257" i="19"/>
  <c r="H154" i="19"/>
  <c r="H275" i="19"/>
  <c r="H82" i="19"/>
  <c r="H300" i="19"/>
  <c r="H299" i="19"/>
  <c r="H91" i="19"/>
  <c r="H120" i="19"/>
  <c r="H132" i="19"/>
  <c r="H205" i="19"/>
  <c r="H103" i="19"/>
  <c r="H100" i="19"/>
  <c r="H89" i="19"/>
  <c r="H267" i="19"/>
  <c r="H44" i="19"/>
  <c r="H21" i="19"/>
  <c r="H111" i="19"/>
  <c r="H175" i="19"/>
  <c r="H234" i="19"/>
  <c r="H133" i="19"/>
  <c r="H269" i="19"/>
  <c r="H261" i="19"/>
  <c r="H228" i="19"/>
  <c r="H106" i="19"/>
  <c r="H61" i="19"/>
  <c r="H260" i="19"/>
  <c r="H31" i="19"/>
  <c r="H130" i="19"/>
  <c r="H59" i="19"/>
  <c r="H189" i="19"/>
  <c r="H241" i="19"/>
  <c r="H265" i="19"/>
  <c r="H156" i="19"/>
  <c r="H251" i="19"/>
  <c r="H254" i="19"/>
  <c r="H40" i="19"/>
  <c r="H64" i="19"/>
  <c r="H236" i="19"/>
  <c r="H232" i="19"/>
  <c r="H79" i="19"/>
  <c r="H88" i="19"/>
  <c r="H281" i="19"/>
  <c r="H105" i="19"/>
  <c r="H286" i="19"/>
  <c r="H123" i="19"/>
  <c r="H96" i="19"/>
  <c r="H215" i="19"/>
  <c r="H125" i="19"/>
  <c r="H266" i="19"/>
  <c r="H294" i="19"/>
  <c r="H255" i="19"/>
  <c r="H109" i="19"/>
  <c r="H119" i="19"/>
  <c r="H45" i="19"/>
  <c r="H183" i="19"/>
  <c r="H46" i="19"/>
  <c r="H146" i="19"/>
  <c r="H67" i="19"/>
  <c r="H8" i="19"/>
  <c r="H126" i="19"/>
  <c r="H273" i="19"/>
  <c r="H151" i="19"/>
  <c r="H163" i="19"/>
  <c r="H229" i="19"/>
  <c r="H244" i="19"/>
  <c r="H49" i="19"/>
  <c r="H80" i="19"/>
  <c r="H263" i="19"/>
  <c r="H127" i="19"/>
  <c r="H117" i="19"/>
  <c r="H242" i="19"/>
  <c r="H39" i="19"/>
  <c r="H70" i="19"/>
  <c r="H195" i="19"/>
  <c r="H290" i="19"/>
  <c r="H9" i="19"/>
  <c r="H98" i="19"/>
  <c r="H198" i="19"/>
  <c r="H140" i="19"/>
  <c r="H153" i="19"/>
  <c r="H107" i="19"/>
  <c r="H81" i="19"/>
  <c r="H277" i="19"/>
  <c r="H42" i="19"/>
  <c r="H237" i="19"/>
  <c r="H301" i="19"/>
  <c r="H29" i="19"/>
  <c r="H38" i="19"/>
  <c r="H43" i="19"/>
  <c r="H30" i="19"/>
  <c r="H62" i="19"/>
  <c r="H22" i="19"/>
  <c r="H212" i="19"/>
  <c r="H293" i="19"/>
  <c r="H66" i="19"/>
  <c r="H77" i="19"/>
  <c r="H53" i="19"/>
  <c r="H296" i="19"/>
  <c r="H73" i="19"/>
  <c r="H129" i="19"/>
  <c r="H99" i="19"/>
  <c r="H17" i="19"/>
  <c r="H192" i="19"/>
  <c r="H58" i="19"/>
  <c r="H206" i="19"/>
  <c r="H208" i="19"/>
  <c r="H87" i="19"/>
  <c r="H95" i="19"/>
  <c r="G15" i="18"/>
  <c r="H108" i="18"/>
  <c r="H136" i="18"/>
  <c r="H86" i="18"/>
  <c r="H170" i="18"/>
  <c r="H297" i="18"/>
  <c r="H15" i="18"/>
  <c r="H133" i="18"/>
  <c r="H32" i="18"/>
  <c r="H71" i="18"/>
  <c r="H16" i="18"/>
  <c r="H168" i="18"/>
  <c r="H179" i="18"/>
  <c r="H279" i="18"/>
  <c r="H141" i="18"/>
  <c r="H75" i="18"/>
  <c r="H196" i="18"/>
  <c r="H247" i="18"/>
  <c r="H255" i="18"/>
  <c r="H67" i="18"/>
  <c r="H142" i="18"/>
  <c r="H188" i="18"/>
  <c r="H112" i="18"/>
  <c r="H227" i="18"/>
  <c r="H218" i="18"/>
  <c r="H81" i="18"/>
  <c r="H113" i="18"/>
  <c r="H243" i="18"/>
  <c r="H203" i="18"/>
  <c r="H110" i="18"/>
  <c r="H192" i="18"/>
  <c r="H165" i="18"/>
  <c r="H90" i="18"/>
  <c r="H197" i="18"/>
  <c r="H109" i="18"/>
  <c r="H251" i="18"/>
  <c r="H166" i="18"/>
  <c r="H295" i="18"/>
  <c r="H287" i="18"/>
  <c r="H22" i="18"/>
  <c r="H70" i="18"/>
  <c r="H256" i="18"/>
  <c r="H95" i="18"/>
  <c r="H186" i="18"/>
  <c r="H84" i="18"/>
  <c r="H103" i="18"/>
  <c r="H189" i="18"/>
  <c r="H278" i="18"/>
  <c r="H155" i="18"/>
  <c r="H175" i="18"/>
  <c r="H140" i="18"/>
  <c r="H286" i="18"/>
  <c r="H77" i="18"/>
  <c r="H21" i="18"/>
  <c r="H130" i="18"/>
  <c r="H97" i="18"/>
  <c r="H131" i="18"/>
  <c r="H171" i="18"/>
  <c r="H93" i="18"/>
  <c r="H34" i="18"/>
  <c r="H82" i="18"/>
  <c r="H181" i="18"/>
  <c r="H208" i="18"/>
  <c r="H235" i="18"/>
  <c r="H187" i="18"/>
  <c r="H198" i="18"/>
  <c r="H129" i="18"/>
  <c r="H199" i="18"/>
  <c r="H239" i="18"/>
  <c r="H184" i="18"/>
  <c r="H99" i="18"/>
  <c r="H275" i="18"/>
  <c r="H85" i="18"/>
  <c r="H253" i="18"/>
  <c r="H234" i="18"/>
  <c r="H212" i="18"/>
  <c r="H159" i="18"/>
  <c r="H262" i="18"/>
  <c r="H154" i="18"/>
  <c r="H169" i="18"/>
  <c r="H221" i="18"/>
  <c r="H222" i="18"/>
  <c r="H121" i="18"/>
  <c r="H225" i="18"/>
  <c r="H202" i="18"/>
  <c r="H241" i="18"/>
  <c r="H300" i="18"/>
  <c r="H104" i="18"/>
  <c r="H195" i="18"/>
  <c r="H72" i="18"/>
  <c r="H26" i="18"/>
  <c r="H248" i="18"/>
  <c r="H266" i="18"/>
  <c r="H257" i="18"/>
  <c r="H123" i="18"/>
  <c r="H114" i="18"/>
  <c r="H107" i="18"/>
  <c r="H214" i="18"/>
  <c r="H163" i="18"/>
  <c r="H37" i="18"/>
  <c r="H149" i="18"/>
  <c r="H209" i="18"/>
  <c r="H45" i="18"/>
  <c r="H138" i="18"/>
  <c r="H92" i="18"/>
  <c r="H245" i="18"/>
  <c r="H119" i="18"/>
  <c r="H173" i="18"/>
  <c r="H200" i="18"/>
  <c r="H233" i="18"/>
  <c r="H160" i="18"/>
  <c r="H4" i="18"/>
  <c r="H207" i="18"/>
  <c r="H231" i="18"/>
  <c r="H164" i="18"/>
  <c r="H174" i="18"/>
  <c r="H229" i="18"/>
  <c r="H61" i="18"/>
  <c r="H8" i="18"/>
  <c r="H219" i="18"/>
  <c r="H242" i="18"/>
  <c r="H69" i="18"/>
  <c r="H94" i="18"/>
  <c r="H143" i="18"/>
  <c r="H269" i="18"/>
  <c r="H102" i="18"/>
  <c r="H111" i="18"/>
  <c r="H172" i="18"/>
  <c r="H122" i="18"/>
  <c r="H125" i="18"/>
  <c r="H224" i="18"/>
  <c r="H299" i="18"/>
  <c r="H120" i="18"/>
  <c r="H148" i="18"/>
  <c r="H223" i="18"/>
  <c r="H232" i="18"/>
  <c r="H31" i="18"/>
  <c r="H158" i="18"/>
  <c r="H63" i="18"/>
  <c r="H44" i="18"/>
  <c r="H42" i="17"/>
  <c r="H18" i="17"/>
  <c r="G10" i="17"/>
  <c r="H213" i="17"/>
  <c r="H137" i="17"/>
  <c r="H208" i="17"/>
  <c r="H92" i="17"/>
  <c r="H20" i="17"/>
  <c r="H235" i="17"/>
  <c r="H122" i="17"/>
  <c r="H55" i="17"/>
  <c r="H240" i="17"/>
  <c r="H84" i="17"/>
  <c r="H144" i="17"/>
  <c r="H96" i="17"/>
  <c r="H206" i="17"/>
  <c r="H142" i="17"/>
  <c r="H202" i="17"/>
  <c r="H101" i="17"/>
  <c r="H108" i="17"/>
  <c r="H245" i="17"/>
  <c r="H238" i="17"/>
  <c r="H116" i="17"/>
  <c r="H262" i="17"/>
  <c r="H72" i="17"/>
  <c r="H24" i="17"/>
  <c r="H149" i="17"/>
  <c r="H182" i="17"/>
  <c r="H274" i="17"/>
  <c r="H250" i="17"/>
  <c r="H187" i="17"/>
  <c r="H249" i="17"/>
  <c r="H295" i="17"/>
  <c r="H46" i="17"/>
  <c r="H265" i="17"/>
  <c r="H264" i="17"/>
  <c r="H212" i="17"/>
  <c r="H192" i="17"/>
  <c r="H157" i="17"/>
  <c r="H294" i="17"/>
  <c r="H170" i="17"/>
  <c r="H97" i="17"/>
  <c r="H277" i="17"/>
  <c r="H268" i="17"/>
  <c r="H85" i="17"/>
  <c r="H266" i="17"/>
  <c r="H68" i="17"/>
  <c r="H263" i="17"/>
  <c r="H54" i="17"/>
  <c r="H278" i="17"/>
  <c r="H26" i="17"/>
  <c r="H70" i="17"/>
  <c r="H198" i="17"/>
  <c r="H119" i="17"/>
  <c r="H179" i="17"/>
  <c r="H196" i="17"/>
  <c r="H10" i="17"/>
  <c r="H283" i="17"/>
  <c r="H66" i="17"/>
  <c r="H177" i="17"/>
  <c r="H115" i="17"/>
  <c r="H296" i="17"/>
  <c r="H83" i="17"/>
  <c r="H152" i="17"/>
  <c r="H251" i="17"/>
  <c r="H185" i="17"/>
  <c r="H121" i="17"/>
  <c r="H126" i="17"/>
  <c r="H229" i="17"/>
  <c r="H48" i="17"/>
  <c r="H301" i="17"/>
  <c r="H205" i="17"/>
  <c r="H222" i="17"/>
  <c r="H123" i="17"/>
  <c r="H34" i="17"/>
  <c r="H284" i="17"/>
  <c r="H244" i="17"/>
  <c r="H134" i="17"/>
  <c r="H224" i="17"/>
  <c r="H111" i="17"/>
  <c r="H110" i="17"/>
  <c r="H166" i="17"/>
  <c r="H178" i="17"/>
  <c r="H171" i="17"/>
  <c r="H114" i="17"/>
  <c r="H22" i="17"/>
  <c r="H293" i="17"/>
  <c r="H5" i="17"/>
  <c r="H292" i="17"/>
  <c r="H143" i="17"/>
  <c r="H30" i="17"/>
  <c r="H67" i="17"/>
  <c r="H163" i="17"/>
  <c r="H298" i="17"/>
  <c r="H130" i="17"/>
  <c r="H258" i="17"/>
  <c r="H190" i="17"/>
  <c r="H79" i="17"/>
  <c r="H199" i="17"/>
  <c r="H175" i="17"/>
  <c r="H232" i="17"/>
  <c r="H291" i="17"/>
  <c r="H87" i="17"/>
  <c r="H155" i="17"/>
  <c r="H77" i="17"/>
  <c r="H214" i="17"/>
  <c r="H176" i="17"/>
  <c r="H226" i="17"/>
  <c r="H109" i="17"/>
  <c r="H31" i="17"/>
  <c r="H103" i="17"/>
  <c r="H159" i="17"/>
  <c r="H141" i="17"/>
  <c r="H50" i="17"/>
  <c r="H227" i="17"/>
  <c r="H98" i="17"/>
  <c r="H269" i="17"/>
  <c r="H272" i="17"/>
  <c r="H145" i="17"/>
  <c r="H125" i="17"/>
  <c r="H63" i="17"/>
  <c r="H234" i="17"/>
  <c r="H253" i="17"/>
  <c r="H276" i="17"/>
  <c r="H7" i="17"/>
  <c r="H279" i="17"/>
  <c r="H59" i="17"/>
  <c r="H138" i="17"/>
  <c r="H204" i="17"/>
  <c r="H17" i="17"/>
  <c r="H158" i="17"/>
  <c r="H120" i="17"/>
  <c r="H39" i="17"/>
  <c r="H153" i="17"/>
  <c r="H194" i="17"/>
  <c r="H148" i="17"/>
  <c r="H118" i="17"/>
  <c r="H246" i="17"/>
  <c r="H135" i="17"/>
  <c r="H78" i="17"/>
  <c r="H156" i="17"/>
  <c r="H51" i="17"/>
  <c r="H191" i="17"/>
  <c r="H75" i="17"/>
  <c r="H3" i="17"/>
  <c r="H210" i="17"/>
  <c r="H11" i="17"/>
  <c r="H35" i="17"/>
  <c r="H93" i="17"/>
  <c r="H117" i="17"/>
  <c r="H136" i="17"/>
  <c r="H52" i="17"/>
  <c r="H49" i="17"/>
  <c r="H180" i="17"/>
  <c r="G102" i="16"/>
  <c r="G16" i="16"/>
  <c r="J16" i="16"/>
  <c r="F15" i="16"/>
  <c r="H15" i="16" s="1"/>
  <c r="F102" i="16"/>
  <c r="H102" i="16" s="1"/>
  <c r="F11" i="16"/>
  <c r="F16" i="16"/>
  <c r="G11" i="16"/>
  <c r="F12" i="16"/>
  <c r="F101" i="16"/>
  <c r="G101" i="16"/>
  <c r="H178" i="16"/>
  <c r="H130" i="16"/>
  <c r="H174" i="16"/>
  <c r="H301" i="16"/>
  <c r="G17" i="16"/>
  <c r="F105" i="16"/>
  <c r="G105" i="16"/>
  <c r="G106" i="16"/>
  <c r="F18" i="16"/>
  <c r="F106" i="16"/>
  <c r="F17" i="16"/>
  <c r="H97" i="16"/>
  <c r="H210" i="16"/>
  <c r="H240" i="16"/>
  <c r="H44" i="16"/>
  <c r="H112" i="16"/>
  <c r="H223" i="16"/>
  <c r="H14" i="16"/>
  <c r="H230" i="16"/>
  <c r="H249" i="16"/>
  <c r="H270" i="16"/>
  <c r="H36" i="16"/>
  <c r="H257" i="16"/>
  <c r="H53" i="16"/>
  <c r="H33" i="16"/>
  <c r="H158" i="16"/>
  <c r="H48" i="16"/>
  <c r="H222" i="16"/>
  <c r="H277" i="16"/>
  <c r="H167" i="16"/>
  <c r="H155" i="16"/>
  <c r="H67" i="16"/>
  <c r="H128" i="16"/>
  <c r="H288" i="16"/>
  <c r="H201" i="16"/>
  <c r="H224" i="16"/>
  <c r="H208" i="16"/>
  <c r="F49" i="16"/>
  <c r="F50" i="16"/>
  <c r="G49" i="16"/>
  <c r="G72" i="16"/>
  <c r="H286" i="16"/>
  <c r="G71" i="16"/>
  <c r="H137" i="16"/>
  <c r="H221" i="16"/>
  <c r="F71" i="16"/>
  <c r="F72" i="16"/>
  <c r="H284" i="16"/>
  <c r="G60" i="16"/>
  <c r="H60" i="16" s="1"/>
  <c r="H81" i="16"/>
  <c r="H98" i="16"/>
  <c r="H85" i="16"/>
  <c r="H211" i="16"/>
  <c r="H233" i="16"/>
  <c r="H267" i="16"/>
  <c r="H9" i="16"/>
  <c r="H80" i="16"/>
  <c r="H216" i="16"/>
  <c r="H281" i="16"/>
  <c r="H164" i="16"/>
  <c r="H261" i="16"/>
  <c r="H43" i="16"/>
  <c r="H290" i="16"/>
  <c r="H250" i="16"/>
  <c r="H199" i="16"/>
  <c r="G40" i="16"/>
  <c r="H40" i="16" s="1"/>
  <c r="G110" i="16"/>
  <c r="H110" i="16" s="1"/>
  <c r="F42" i="16"/>
  <c r="H273" i="16"/>
  <c r="H84" i="16"/>
  <c r="G42" i="16"/>
  <c r="H28" i="16"/>
  <c r="G12" i="16"/>
  <c r="H12" i="16" s="1"/>
  <c r="F90" i="16"/>
  <c r="H79" i="16"/>
  <c r="H253" i="16"/>
  <c r="G90" i="16"/>
  <c r="H258" i="16"/>
  <c r="H144" i="16"/>
  <c r="G86" i="16"/>
  <c r="H86" i="16" s="1"/>
  <c r="H95" i="16"/>
  <c r="H109" i="16"/>
  <c r="F89" i="16"/>
  <c r="H196" i="16"/>
  <c r="H252" i="16"/>
  <c r="H105" i="16"/>
  <c r="H64" i="16"/>
  <c r="H7" i="16"/>
  <c r="H241" i="16"/>
  <c r="H184" i="16"/>
  <c r="G89" i="16"/>
  <c r="H104" i="16"/>
  <c r="H26" i="16"/>
  <c r="H94" i="16"/>
  <c r="H22" i="16"/>
  <c r="H160" i="16"/>
  <c r="H23" i="16"/>
  <c r="H263" i="16"/>
  <c r="H209" i="16"/>
  <c r="H193" i="16"/>
  <c r="H56" i="16"/>
  <c r="H181" i="16"/>
  <c r="H159" i="16"/>
  <c r="H6" i="16"/>
  <c r="H236" i="16"/>
  <c r="H182" i="16"/>
  <c r="H243" i="16"/>
  <c r="H247" i="16"/>
  <c r="H91" i="16"/>
  <c r="G51" i="16"/>
  <c r="H138" i="16"/>
  <c r="H8" i="16"/>
  <c r="H59" i="16"/>
  <c r="M16" i="16"/>
  <c r="H150" i="16"/>
  <c r="H127" i="16"/>
  <c r="H287" i="16"/>
  <c r="F51" i="16"/>
  <c r="H282" i="16"/>
  <c r="H100" i="16"/>
  <c r="F70" i="16"/>
  <c r="H70" i="16" s="1"/>
  <c r="H191" i="16"/>
  <c r="H96" i="16"/>
  <c r="F52" i="16"/>
  <c r="H65" i="16"/>
  <c r="H61" i="16"/>
  <c r="H260" i="16"/>
  <c r="H77" i="16"/>
  <c r="H234" i="16"/>
  <c r="H148" i="16"/>
  <c r="G50" i="16"/>
  <c r="H20" i="16"/>
  <c r="H35" i="16"/>
  <c r="H69" i="16"/>
  <c r="H82" i="16"/>
  <c r="F134" i="16"/>
  <c r="H134" i="16" s="1"/>
  <c r="H299" i="16"/>
  <c r="H145" i="16"/>
  <c r="H21" i="16"/>
  <c r="H183" i="16"/>
  <c r="H212" i="16"/>
  <c r="H126" i="16"/>
  <c r="H143" i="16"/>
  <c r="H25" i="16"/>
  <c r="H123" i="16"/>
  <c r="H169" i="16"/>
  <c r="H135" i="16"/>
  <c r="H157" i="16"/>
  <c r="H30" i="16"/>
  <c r="H298" i="16"/>
  <c r="H27" i="16"/>
  <c r="H93" i="16"/>
  <c r="H108" i="16"/>
  <c r="H180" i="16"/>
  <c r="H232" i="16"/>
  <c r="G52" i="16"/>
  <c r="G62" i="16"/>
  <c r="H62" i="16" s="1"/>
  <c r="G207" i="15"/>
  <c r="H190" i="15"/>
  <c r="F50" i="15"/>
  <c r="G50" i="15"/>
  <c r="F178" i="15"/>
  <c r="H32" i="14"/>
  <c r="H43" i="14"/>
  <c r="H96" i="14"/>
  <c r="H227" i="14"/>
  <c r="H265" i="14"/>
  <c r="H178" i="14"/>
  <c r="H241" i="14"/>
  <c r="H168" i="14"/>
  <c r="H42" i="14"/>
  <c r="H161" i="14"/>
  <c r="H280" i="14"/>
  <c r="H182" i="14"/>
  <c r="H240" i="14"/>
  <c r="H274" i="14"/>
  <c r="H183" i="14"/>
  <c r="H244" i="14"/>
  <c r="H51" i="14"/>
  <c r="H149" i="14"/>
  <c r="H88" i="14"/>
  <c r="H15" i="14"/>
  <c r="H16" i="14"/>
  <c r="H18" i="14"/>
  <c r="H266" i="14"/>
  <c r="H217" i="14"/>
  <c r="H106" i="14"/>
  <c r="H255" i="14"/>
  <c r="H250" i="14"/>
  <c r="H107" i="14"/>
  <c r="H59" i="14"/>
  <c r="H222" i="14"/>
  <c r="H53" i="14"/>
  <c r="H122" i="14"/>
  <c r="H105" i="14"/>
  <c r="H85" i="14"/>
  <c r="H238" i="14"/>
  <c r="H125" i="14"/>
  <c r="H7" i="14"/>
  <c r="H259" i="14"/>
  <c r="H80" i="14"/>
  <c r="H93" i="14"/>
  <c r="H272" i="14"/>
  <c r="H205" i="14"/>
  <c r="H232" i="14"/>
  <c r="H45" i="14"/>
  <c r="H186" i="14"/>
  <c r="H99" i="14"/>
  <c r="H101" i="14"/>
  <c r="H289" i="14"/>
  <c r="H270" i="14"/>
  <c r="H153" i="14"/>
  <c r="H12" i="14"/>
  <c r="H55" i="14"/>
  <c r="H228" i="14"/>
  <c r="H79" i="14"/>
  <c r="H285" i="14"/>
  <c r="H296" i="14"/>
  <c r="H288" i="14"/>
  <c r="H197" i="14"/>
  <c r="H293" i="14"/>
  <c r="H215" i="14"/>
  <c r="H234" i="14"/>
  <c r="H23" i="14"/>
  <c r="H236" i="14"/>
  <c r="H166" i="14"/>
  <c r="H54" i="14"/>
  <c r="H160" i="14"/>
  <c r="H26" i="14"/>
  <c r="H52" i="14"/>
  <c r="H136" i="14"/>
  <c r="H121" i="14"/>
  <c r="H235" i="14"/>
  <c r="H171" i="14"/>
  <c r="H170" i="14"/>
  <c r="H159" i="14"/>
  <c r="H206" i="14"/>
  <c r="H199" i="14"/>
  <c r="H84" i="14"/>
  <c r="H195" i="14"/>
  <c r="H97" i="14"/>
  <c r="H174" i="14"/>
  <c r="H258" i="14"/>
  <c r="H36" i="14"/>
  <c r="H278" i="14"/>
  <c r="H147" i="14"/>
  <c r="H291" i="14"/>
  <c r="H172" i="14"/>
  <c r="H87" i="14"/>
  <c r="H163" i="14"/>
  <c r="H21" i="14"/>
  <c r="H198" i="14"/>
  <c r="H152" i="14"/>
  <c r="H10" i="14"/>
  <c r="H135" i="14"/>
  <c r="H68" i="14"/>
  <c r="H214" i="14"/>
  <c r="H64" i="14"/>
  <c r="H202" i="14"/>
  <c r="H78" i="14"/>
  <c r="H189" i="14"/>
  <c r="H177" i="14"/>
  <c r="H91" i="14"/>
  <c r="H233" i="14"/>
  <c r="H111" i="14"/>
  <c r="H210" i="14"/>
  <c r="H264" i="14"/>
  <c r="H28" i="14"/>
  <c r="H282" i="14"/>
  <c r="H211" i="14"/>
  <c r="H56" i="14"/>
  <c r="H14" i="14"/>
  <c r="H25" i="14"/>
  <c r="H20" i="14"/>
  <c r="H8" i="14"/>
  <c r="H201" i="14"/>
  <c r="H134" i="14"/>
  <c r="H148" i="14"/>
  <c r="H223" i="14"/>
  <c r="H17" i="14"/>
  <c r="H132" i="14"/>
  <c r="H144" i="14"/>
  <c r="H260" i="14"/>
  <c r="H115" i="14"/>
  <c r="H128" i="14"/>
  <c r="H3" i="14"/>
  <c r="H72" i="13"/>
  <c r="H132" i="13"/>
  <c r="H62" i="13"/>
  <c r="H36" i="13"/>
  <c r="H164" i="13"/>
  <c r="H232" i="13"/>
  <c r="H119" i="13"/>
  <c r="H203" i="13"/>
  <c r="H274" i="13"/>
  <c r="H266" i="13"/>
  <c r="H219" i="13"/>
  <c r="H173" i="13"/>
  <c r="H246" i="13"/>
  <c r="H198" i="13"/>
  <c r="H178" i="13"/>
  <c r="H259" i="13"/>
  <c r="H254" i="13"/>
  <c r="H105" i="13"/>
  <c r="H79" i="13"/>
  <c r="H49" i="13"/>
  <c r="H184" i="13"/>
  <c r="H52" i="13"/>
  <c r="H242" i="13"/>
  <c r="H125" i="13"/>
  <c r="H226" i="13"/>
  <c r="H120" i="13"/>
  <c r="H250" i="13"/>
  <c r="H258" i="13"/>
  <c r="H165" i="13"/>
  <c r="H270" i="13"/>
  <c r="H166" i="13"/>
  <c r="H183" i="13"/>
  <c r="H223" i="13"/>
  <c r="H287" i="13"/>
  <c r="H235" i="13"/>
  <c r="H134" i="13"/>
  <c r="H71" i="13"/>
  <c r="H295" i="13"/>
  <c r="H204" i="13"/>
  <c r="H140" i="13"/>
  <c r="H109" i="13"/>
  <c r="H4" i="13"/>
  <c r="H208" i="13"/>
  <c r="H222" i="13"/>
  <c r="H284" i="13"/>
  <c r="H143" i="13"/>
  <c r="H243" i="13"/>
  <c r="H83" i="13"/>
  <c r="H38" i="13"/>
  <c r="H156" i="13"/>
  <c r="H194" i="13"/>
  <c r="H229" i="13"/>
  <c r="H101" i="13"/>
  <c r="H100" i="13"/>
  <c r="H286" i="13"/>
  <c r="H135" i="13"/>
  <c r="H256" i="13"/>
  <c r="H237" i="13"/>
  <c r="H163" i="13"/>
  <c r="H130" i="13"/>
  <c r="H275" i="13"/>
  <c r="H117" i="13"/>
  <c r="H110" i="13"/>
  <c r="H146" i="13"/>
  <c r="H66" i="13"/>
  <c r="H39" i="13"/>
  <c r="H91" i="13"/>
  <c r="H106" i="13"/>
  <c r="H151" i="13"/>
  <c r="H215" i="13"/>
  <c r="H227" i="13"/>
  <c r="H248" i="13"/>
  <c r="H54" i="13"/>
  <c r="H159" i="13"/>
  <c r="H201" i="13"/>
  <c r="H291" i="13"/>
  <c r="H271" i="13"/>
  <c r="H296" i="13"/>
  <c r="H48" i="13"/>
  <c r="H8" i="13"/>
  <c r="H87" i="13"/>
  <c r="H96" i="13"/>
  <c r="H245" i="13"/>
  <c r="H139" i="13"/>
  <c r="H85" i="13"/>
  <c r="H272" i="13"/>
  <c r="H252" i="13"/>
  <c r="H56" i="13"/>
  <c r="H152" i="13"/>
  <c r="H26" i="13"/>
  <c r="H63" i="13"/>
  <c r="H181" i="13"/>
  <c r="H30" i="13"/>
  <c r="H19" i="13"/>
  <c r="H113" i="13"/>
  <c r="H161" i="13"/>
  <c r="H69" i="13"/>
  <c r="H230" i="13"/>
  <c r="H186" i="13"/>
  <c r="H82" i="13"/>
  <c r="H162" i="13"/>
  <c r="H115" i="13"/>
  <c r="H185" i="13"/>
  <c r="H15" i="13"/>
  <c r="H175" i="13"/>
  <c r="H155" i="13"/>
  <c r="H160" i="13"/>
  <c r="H192" i="13"/>
  <c r="H57" i="13"/>
  <c r="H25" i="13"/>
  <c r="H218" i="13"/>
  <c r="H73" i="13"/>
  <c r="H193" i="13"/>
  <c r="H172" i="13"/>
  <c r="H216" i="13"/>
  <c r="H264" i="13"/>
  <c r="H244" i="13"/>
  <c r="H129" i="13"/>
  <c r="H59" i="13"/>
  <c r="F10" i="12"/>
  <c r="H10" i="12" s="1"/>
  <c r="H13" i="12"/>
  <c r="H134" i="12"/>
  <c r="H175" i="12"/>
  <c r="H74" i="12"/>
  <c r="H164" i="12"/>
  <c r="H65" i="12"/>
  <c r="H153" i="12"/>
  <c r="H234" i="12"/>
  <c r="H254" i="12"/>
  <c r="H62" i="12"/>
  <c r="H292" i="12"/>
  <c r="H81" i="12"/>
  <c r="H22" i="12"/>
  <c r="H229" i="12"/>
  <c r="H14" i="12"/>
  <c r="H131" i="12"/>
  <c r="H224" i="12"/>
  <c r="H214" i="12"/>
  <c r="H80" i="12"/>
  <c r="H32" i="12"/>
  <c r="H265" i="12"/>
  <c r="H246" i="12"/>
  <c r="H240" i="12"/>
  <c r="H26" i="12"/>
  <c r="H144" i="12"/>
  <c r="H253" i="12"/>
  <c r="H71" i="12"/>
  <c r="H186" i="12"/>
  <c r="H291" i="12"/>
  <c r="H241" i="12"/>
  <c r="H206" i="12"/>
  <c r="H158" i="12"/>
  <c r="H293" i="12"/>
  <c r="H108" i="12"/>
  <c r="H6" i="12"/>
  <c r="H223" i="12"/>
  <c r="H53" i="12"/>
  <c r="H231" i="12"/>
  <c r="H4" i="12"/>
  <c r="H275" i="12"/>
  <c r="H161" i="12"/>
  <c r="H141" i="12"/>
  <c r="H132" i="12"/>
  <c r="H118" i="12"/>
  <c r="H25" i="12"/>
  <c r="H127" i="12"/>
  <c r="H82" i="12"/>
  <c r="H117" i="12"/>
  <c r="H133" i="12"/>
  <c r="H282" i="12"/>
  <c r="H298" i="12"/>
  <c r="H263" i="12"/>
  <c r="H219" i="12"/>
  <c r="H203" i="12"/>
  <c r="H216" i="12"/>
  <c r="H207" i="12"/>
  <c r="H46" i="12"/>
  <c r="H101" i="12"/>
  <c r="H279" i="12"/>
  <c r="H264" i="12"/>
  <c r="H85" i="12"/>
  <c r="H189" i="12"/>
  <c r="H29" i="12"/>
  <c r="H57" i="12"/>
  <c r="H247" i="12"/>
  <c r="H102" i="12"/>
  <c r="H125" i="12"/>
  <c r="H70" i="12"/>
  <c r="H94" i="12"/>
  <c r="H12" i="12"/>
  <c r="H169" i="12"/>
  <c r="H171" i="12"/>
  <c r="H181" i="12"/>
  <c r="H86" i="12"/>
  <c r="H44" i="12"/>
  <c r="H11" i="12"/>
  <c r="H59" i="12"/>
  <c r="H87" i="12"/>
  <c r="H140" i="12"/>
  <c r="H5" i="12"/>
  <c r="H116" i="12"/>
  <c r="H244" i="12"/>
  <c r="H198" i="12"/>
  <c r="H281" i="12"/>
  <c r="H233" i="12"/>
  <c r="H138" i="12"/>
  <c r="H113" i="12"/>
  <c r="H93" i="12"/>
  <c r="H145" i="12"/>
  <c r="H183" i="12"/>
  <c r="H48" i="12"/>
  <c r="H63" i="12"/>
  <c r="H143" i="12"/>
  <c r="H64" i="12"/>
  <c r="H91" i="12"/>
  <c r="H9" i="12"/>
  <c r="H58" i="12"/>
  <c r="H30" i="12"/>
  <c r="H95" i="12"/>
  <c r="H276" i="12"/>
  <c r="H154" i="12"/>
  <c r="H287" i="12"/>
  <c r="H257" i="12"/>
  <c r="H226" i="12"/>
  <c r="H245" i="12"/>
  <c r="H177" i="12"/>
  <c r="H122" i="12"/>
  <c r="H151" i="12"/>
  <c r="H290" i="12"/>
  <c r="H166" i="12"/>
  <c r="H160" i="12"/>
  <c r="H136" i="12"/>
  <c r="H73" i="12"/>
  <c r="H147" i="12"/>
  <c r="H167" i="12"/>
  <c r="H19" i="12"/>
  <c r="H204" i="12"/>
  <c r="H42" i="12"/>
  <c r="H33" i="12"/>
  <c r="H49" i="12"/>
  <c r="H165" i="12"/>
  <c r="H41" i="12"/>
  <c r="H285" i="12"/>
  <c r="H192" i="12"/>
  <c r="H128" i="12"/>
  <c r="H163" i="12"/>
  <c r="H88" i="12"/>
  <c r="H27" i="12"/>
  <c r="H38" i="12"/>
  <c r="H211" i="12"/>
  <c r="H278" i="12"/>
  <c r="H17" i="12"/>
  <c r="H288" i="12"/>
  <c r="H300" i="12"/>
  <c r="H227" i="12"/>
  <c r="H142" i="12"/>
  <c r="H202" i="12"/>
  <c r="H98" i="12"/>
  <c r="H72" i="12"/>
  <c r="H149" i="12"/>
  <c r="H126" i="12"/>
  <c r="H301" i="12"/>
  <c r="H249" i="12"/>
  <c r="H268" i="12"/>
  <c r="H109" i="12"/>
  <c r="H77" i="12"/>
  <c r="H270" i="12"/>
  <c r="H106" i="12"/>
  <c r="H266" i="12"/>
  <c r="H236" i="12"/>
  <c r="H274" i="12"/>
  <c r="H97" i="12"/>
  <c r="H154" i="11"/>
  <c r="H207" i="11"/>
  <c r="H119" i="11"/>
  <c r="H143" i="10"/>
  <c r="G96" i="10"/>
  <c r="G35" i="10"/>
  <c r="G36" i="10"/>
  <c r="G97" i="10"/>
  <c r="H110" i="10"/>
  <c r="F36" i="10"/>
  <c r="F234" i="10"/>
  <c r="F35" i="10"/>
  <c r="H35" i="10" s="1"/>
  <c r="H222" i="10"/>
  <c r="H20" i="10"/>
  <c r="G166" i="10"/>
  <c r="H129" i="10"/>
  <c r="G231" i="10"/>
  <c r="H191" i="10"/>
  <c r="F231" i="10"/>
  <c r="G57" i="10"/>
  <c r="G201" i="10"/>
  <c r="H201" i="10" s="1"/>
  <c r="H188" i="10"/>
  <c r="H57" i="10"/>
  <c r="G92" i="10"/>
  <c r="F134" i="10"/>
  <c r="H45" i="10"/>
  <c r="F291" i="10"/>
  <c r="G173" i="10"/>
  <c r="G163" i="10"/>
  <c r="F70" i="10"/>
  <c r="F10" i="10"/>
  <c r="F165" i="10"/>
  <c r="G165" i="10"/>
  <c r="F252" i="10"/>
  <c r="G135" i="10"/>
  <c r="H135" i="10" s="1"/>
  <c r="F173" i="10"/>
  <c r="F163" i="10"/>
  <c r="G70" i="10"/>
  <c r="H70" i="10" s="1"/>
  <c r="F242" i="10"/>
  <c r="F83" i="10"/>
  <c r="G252" i="10"/>
  <c r="J135" i="10"/>
  <c r="G7" i="10"/>
  <c r="F135" i="10"/>
  <c r="F23" i="10"/>
  <c r="F292" i="10"/>
  <c r="F140" i="10"/>
  <c r="G26" i="10"/>
  <c r="H26" i="10" s="1"/>
  <c r="G83" i="10"/>
  <c r="G174" i="10"/>
  <c r="H174" i="10" s="1"/>
  <c r="G203" i="10"/>
  <c r="G140" i="10"/>
  <c r="G10" i="10"/>
  <c r="F174" i="10"/>
  <c r="F293" i="10"/>
  <c r="J166" i="10"/>
  <c r="G292" i="10"/>
  <c r="F25" i="10"/>
  <c r="H275" i="10"/>
  <c r="F203" i="10"/>
  <c r="F166" i="10"/>
  <c r="F11" i="10"/>
  <c r="F290" i="10"/>
  <c r="F204" i="10"/>
  <c r="G141" i="10"/>
  <c r="G224" i="10"/>
  <c r="G91" i="10"/>
  <c r="G277" i="10"/>
  <c r="G290" i="10"/>
  <c r="G204" i="10"/>
  <c r="H204" i="10" s="1"/>
  <c r="G25" i="10"/>
  <c r="F7" i="10"/>
  <c r="H7" i="10" s="1"/>
  <c r="G253" i="10"/>
  <c r="M16" i="10"/>
  <c r="J92" i="10"/>
  <c r="F277" i="10"/>
  <c r="F224" i="10"/>
  <c r="F26" i="10"/>
  <c r="F113" i="10"/>
  <c r="H113" i="10" s="1"/>
  <c r="F24" i="10"/>
  <c r="F253" i="10"/>
  <c r="G223" i="10"/>
  <c r="F164" i="10"/>
  <c r="H164" i="10" s="1"/>
  <c r="F92" i="10"/>
  <c r="H92" i="10" s="1"/>
  <c r="F116" i="10"/>
  <c r="H116" i="10" s="1"/>
  <c r="J278" i="10"/>
  <c r="J117" i="10"/>
  <c r="G242" i="10"/>
  <c r="H82" i="10"/>
  <c r="G24" i="10"/>
  <c r="F223" i="10"/>
  <c r="F84" i="10"/>
  <c r="H286" i="10"/>
  <c r="H90" i="10"/>
  <c r="H199" i="10"/>
  <c r="H6" i="10"/>
  <c r="H44" i="10"/>
  <c r="G11" i="10"/>
  <c r="H11" i="10" s="1"/>
  <c r="G22" i="10"/>
  <c r="F22" i="10"/>
  <c r="G243" i="10"/>
  <c r="F141" i="10"/>
  <c r="F243" i="10"/>
  <c r="G71" i="10"/>
  <c r="G8" i="10"/>
  <c r="H8" i="10" s="1"/>
  <c r="F71" i="10"/>
  <c r="G293" i="10"/>
  <c r="H27" i="10"/>
  <c r="H272" i="10"/>
  <c r="F208" i="10"/>
  <c r="H208" i="10" s="1"/>
  <c r="H47" i="10"/>
  <c r="H195" i="10"/>
  <c r="H287" i="10"/>
  <c r="G299" i="10"/>
  <c r="H107" i="10"/>
  <c r="F299" i="10"/>
  <c r="H227" i="10"/>
  <c r="H17" i="10"/>
  <c r="F194" i="10"/>
  <c r="H194" i="10" s="1"/>
  <c r="H288" i="10"/>
  <c r="H219" i="10"/>
  <c r="G52" i="10"/>
  <c r="H52" i="10" s="1"/>
  <c r="F144" i="10"/>
  <c r="H144" i="10" s="1"/>
  <c r="H80" i="10"/>
  <c r="H131" i="10"/>
  <c r="H192" i="10"/>
  <c r="F130" i="10"/>
  <c r="H130" i="10" s="1"/>
  <c r="H12" i="10"/>
  <c r="H180" i="10"/>
  <c r="H214" i="10"/>
  <c r="H123" i="10"/>
  <c r="H56" i="10"/>
  <c r="H220" i="10"/>
  <c r="H95" i="10"/>
  <c r="H251" i="10"/>
  <c r="F226" i="10"/>
  <c r="G226" i="10"/>
  <c r="H280" i="10"/>
  <c r="H232" i="10"/>
  <c r="G216" i="10"/>
  <c r="H244" i="10"/>
  <c r="H257" i="10"/>
  <c r="H246" i="10"/>
  <c r="H185" i="10"/>
  <c r="H273" i="10"/>
  <c r="F106" i="10"/>
  <c r="H106" i="10" s="1"/>
  <c r="H267" i="10"/>
  <c r="H285" i="10"/>
  <c r="H278" i="10"/>
  <c r="H69" i="10"/>
  <c r="H9" i="10"/>
  <c r="H156" i="10"/>
  <c r="H84" i="10"/>
  <c r="H39" i="10"/>
  <c r="H88" i="10"/>
  <c r="H295" i="10"/>
  <c r="H66" i="10"/>
  <c r="G134" i="10"/>
  <c r="H157" i="10"/>
  <c r="H138" i="10"/>
  <c r="H238" i="10"/>
  <c r="H29" i="10"/>
  <c r="H247" i="10"/>
  <c r="H215" i="10"/>
  <c r="H281" i="10"/>
  <c r="H271" i="10"/>
  <c r="H294" i="10"/>
  <c r="H274" i="10"/>
  <c r="H210" i="10"/>
  <c r="H242" i="10"/>
  <c r="H96" i="10"/>
  <c r="H198" i="10"/>
  <c r="H34" i="10"/>
  <c r="H102" i="10"/>
  <c r="H276" i="10"/>
  <c r="H28" i="10"/>
  <c r="H269" i="10"/>
  <c r="H31" i="10"/>
  <c r="F162" i="10"/>
  <c r="H162" i="10" s="1"/>
  <c r="H55" i="10"/>
  <c r="H98" i="10"/>
  <c r="H77" i="10"/>
  <c r="H4" i="10"/>
  <c r="H245" i="10"/>
  <c r="H54" i="10"/>
  <c r="H114" i="10"/>
  <c r="G43" i="10"/>
  <c r="H43" i="10" s="1"/>
  <c r="H184" i="10"/>
  <c r="H189" i="10"/>
  <c r="H283" i="10"/>
  <c r="H205" i="10"/>
  <c r="H225" i="10"/>
  <c r="H30" i="10"/>
  <c r="G94" i="10"/>
  <c r="H94" i="10" s="1"/>
  <c r="F236" i="10"/>
  <c r="H279" i="10"/>
  <c r="F168" i="10"/>
  <c r="H187" i="10"/>
  <c r="H15" i="10"/>
  <c r="F190" i="10"/>
  <c r="H190" i="10" s="1"/>
  <c r="J217" i="10"/>
  <c r="F217" i="10"/>
  <c r="H76" i="10"/>
  <c r="G65" i="10"/>
  <c r="H104" i="10"/>
  <c r="G23" i="10"/>
  <c r="H23" i="10" s="1"/>
  <c r="G235" i="10"/>
  <c r="G64" i="10"/>
  <c r="H161" i="10"/>
  <c r="H200" i="10"/>
  <c r="F154" i="10"/>
  <c r="H154" i="10" s="1"/>
  <c r="F13" i="10"/>
  <c r="H13" i="10" s="1"/>
  <c r="J13" i="10"/>
  <c r="F120" i="10"/>
  <c r="G239" i="10"/>
  <c r="G119" i="10"/>
  <c r="H170" i="10"/>
  <c r="G217" i="10"/>
  <c r="G168" i="10"/>
  <c r="J97" i="10"/>
  <c r="F97" i="10"/>
  <c r="H97" i="10" s="1"/>
  <c r="H145" i="10"/>
  <c r="H50" i="10"/>
  <c r="F239" i="10"/>
  <c r="F235" i="10"/>
  <c r="F119" i="10"/>
  <c r="G240" i="10"/>
  <c r="J33" i="10"/>
  <c r="F33" i="10"/>
  <c r="H33" i="10" s="1"/>
  <c r="H142" i="10"/>
  <c r="H266" i="10"/>
  <c r="G167" i="10"/>
  <c r="H127" i="10"/>
  <c r="F64" i="10"/>
  <c r="H234" i="10"/>
  <c r="G236" i="10"/>
  <c r="H21" i="10"/>
  <c r="H260" i="10"/>
  <c r="H137" i="10"/>
  <c r="F65" i="10"/>
  <c r="H65" i="10" s="1"/>
  <c r="H183" i="10"/>
  <c r="H277" i="10"/>
  <c r="H290" i="10"/>
  <c r="H165" i="10"/>
  <c r="J124" i="10"/>
  <c r="F124" i="10"/>
  <c r="H124" i="10" s="1"/>
  <c r="F167" i="10"/>
  <c r="H128" i="10"/>
  <c r="H284" i="10"/>
  <c r="H258" i="10"/>
  <c r="H263" i="10"/>
  <c r="H60" i="10"/>
  <c r="H32" i="10"/>
  <c r="H51" i="10"/>
  <c r="H147" i="10"/>
  <c r="G172" i="10"/>
  <c r="H172" i="10" s="1"/>
  <c r="H181" i="10"/>
  <c r="G120" i="10"/>
  <c r="H301" i="10"/>
  <c r="F240" i="10"/>
  <c r="J99" i="10"/>
  <c r="F99" i="10"/>
  <c r="H99" i="10" s="1"/>
  <c r="G131" i="9"/>
  <c r="F268" i="9"/>
  <c r="G183" i="9"/>
  <c r="F167" i="9"/>
  <c r="G239" i="9"/>
  <c r="G28" i="9"/>
  <c r="G240" i="9"/>
  <c r="G167" i="9"/>
  <c r="F198" i="9"/>
  <c r="J184" i="9"/>
  <c r="F184" i="9"/>
  <c r="J240" i="9"/>
  <c r="F194" i="9"/>
  <c r="F280" i="9"/>
  <c r="G198" i="9"/>
  <c r="F257" i="9"/>
  <c r="F240" i="9"/>
  <c r="G194" i="9"/>
  <c r="F187" i="9"/>
  <c r="G280" i="9"/>
  <c r="F131" i="9"/>
  <c r="G187" i="9"/>
  <c r="F258" i="9"/>
  <c r="J187" i="9"/>
  <c r="F149" i="9"/>
  <c r="F281" i="9"/>
  <c r="G258" i="9"/>
  <c r="G168" i="9"/>
  <c r="G281" i="9"/>
  <c r="J168" i="9"/>
  <c r="G295" i="9"/>
  <c r="F168" i="9"/>
  <c r="G26" i="9"/>
  <c r="G58" i="9"/>
  <c r="G149" i="9"/>
  <c r="F295" i="9"/>
  <c r="G160" i="9"/>
  <c r="G148" i="9"/>
  <c r="G268" i="9"/>
  <c r="F57" i="9"/>
  <c r="F186" i="9"/>
  <c r="F267" i="9"/>
  <c r="J268" i="9"/>
  <c r="F239" i="9"/>
  <c r="F58" i="9"/>
  <c r="F160" i="9"/>
  <c r="G267" i="9"/>
  <c r="F183" i="9"/>
  <c r="H183" i="9" s="1"/>
  <c r="F148" i="9"/>
  <c r="H148" i="9" s="1"/>
  <c r="G184" i="9"/>
  <c r="F13" i="9"/>
  <c r="F132" i="9"/>
  <c r="F21" i="9"/>
  <c r="G34" i="9"/>
  <c r="F34" i="9"/>
  <c r="F67" i="9"/>
  <c r="G132" i="9"/>
  <c r="F161" i="9"/>
  <c r="F294" i="9"/>
  <c r="J132" i="9"/>
  <c r="G294" i="9"/>
  <c r="F223" i="9"/>
  <c r="F199" i="9"/>
  <c r="G223" i="9"/>
  <c r="G199" i="9"/>
  <c r="F218" i="9"/>
  <c r="F156" i="9"/>
  <c r="F222" i="9"/>
  <c r="G71" i="9"/>
  <c r="G218" i="9"/>
  <c r="G222" i="9"/>
  <c r="G152" i="9"/>
  <c r="F247" i="9"/>
  <c r="H247" i="9" s="1"/>
  <c r="F278" i="9"/>
  <c r="F246" i="9"/>
  <c r="F152" i="9"/>
  <c r="F301" i="9"/>
  <c r="J247" i="9"/>
  <c r="J156" i="9"/>
  <c r="G277" i="9"/>
  <c r="H277" i="9" s="1"/>
  <c r="F203" i="9"/>
  <c r="G106" i="9"/>
  <c r="G68" i="9"/>
  <c r="G278" i="9"/>
  <c r="H278" i="9" s="1"/>
  <c r="G301" i="9"/>
  <c r="G203" i="9"/>
  <c r="F193" i="9"/>
  <c r="F166" i="9"/>
  <c r="F27" i="9"/>
  <c r="F275" i="9"/>
  <c r="G221" i="9"/>
  <c r="F202" i="9"/>
  <c r="F10" i="9"/>
  <c r="H10" i="9" s="1"/>
  <c r="G27" i="9"/>
  <c r="F235" i="9"/>
  <c r="G202" i="9"/>
  <c r="F164" i="9"/>
  <c r="H164" i="9" s="1"/>
  <c r="G235" i="9"/>
  <c r="G192" i="9"/>
  <c r="J28" i="9"/>
  <c r="F157" i="9"/>
  <c r="F28" i="9"/>
  <c r="H28" i="9" s="1"/>
  <c r="F221" i="9"/>
  <c r="H221" i="9" s="1"/>
  <c r="F192" i="9"/>
  <c r="G51" i="9"/>
  <c r="G155" i="9"/>
  <c r="G61" i="9"/>
  <c r="G231" i="9"/>
  <c r="H231" i="9" s="1"/>
  <c r="F139" i="9"/>
  <c r="F254" i="9"/>
  <c r="G286" i="9"/>
  <c r="H286" i="9" s="1"/>
  <c r="G139" i="9"/>
  <c r="G165" i="9"/>
  <c r="F84" i="9"/>
  <c r="G254" i="9"/>
  <c r="F61" i="9"/>
  <c r="G95" i="9"/>
  <c r="F210" i="9"/>
  <c r="G287" i="9"/>
  <c r="F241" i="9"/>
  <c r="J68" i="9"/>
  <c r="G62" i="9"/>
  <c r="G210" i="9"/>
  <c r="G173" i="9"/>
  <c r="J287" i="9"/>
  <c r="F173" i="9"/>
  <c r="F172" i="9"/>
  <c r="H172" i="9" s="1"/>
  <c r="F290" i="9"/>
  <c r="F68" i="9"/>
  <c r="G180" i="9"/>
  <c r="G181" i="9"/>
  <c r="F62" i="9"/>
  <c r="H62" i="9" s="1"/>
  <c r="F211" i="9"/>
  <c r="G232" i="9"/>
  <c r="G291" i="9"/>
  <c r="F242" i="9"/>
  <c r="F205" i="9"/>
  <c r="G290" i="9"/>
  <c r="F206" i="9"/>
  <c r="J62" i="9"/>
  <c r="G211" i="9"/>
  <c r="J232" i="9"/>
  <c r="F291" i="9"/>
  <c r="G242" i="9"/>
  <c r="H242" i="9" s="1"/>
  <c r="F95" i="9"/>
  <c r="F180" i="9"/>
  <c r="G70" i="9"/>
  <c r="G206" i="9"/>
  <c r="F232" i="9"/>
  <c r="F99" i="9"/>
  <c r="F70" i="9"/>
  <c r="F255" i="9"/>
  <c r="G50" i="9"/>
  <c r="G99" i="9"/>
  <c r="J71" i="9"/>
  <c r="G255" i="9"/>
  <c r="J51" i="9"/>
  <c r="G140" i="9"/>
  <c r="F231" i="9"/>
  <c r="F243" i="9"/>
  <c r="F71" i="9"/>
  <c r="F51" i="9"/>
  <c r="J140" i="9"/>
  <c r="G243" i="9"/>
  <c r="F155" i="9"/>
  <c r="F140" i="9"/>
  <c r="F165" i="9"/>
  <c r="F97" i="9"/>
  <c r="F106" i="9"/>
  <c r="H284" i="9"/>
  <c r="G282" i="9"/>
  <c r="G297" i="9"/>
  <c r="G23" i="9"/>
  <c r="G137" i="9"/>
  <c r="H261" i="9"/>
  <c r="F141" i="9"/>
  <c r="G141" i="9"/>
  <c r="G92" i="9"/>
  <c r="H92" i="9" s="1"/>
  <c r="F23" i="9"/>
  <c r="H176" i="9"/>
  <c r="M16" i="9"/>
  <c r="H213" i="9"/>
  <c r="G17" i="9"/>
  <c r="H143" i="9"/>
  <c r="F16" i="9"/>
  <c r="F87" i="9"/>
  <c r="G102" i="9"/>
  <c r="G33" i="9"/>
  <c r="F102" i="9"/>
  <c r="F19" i="9"/>
  <c r="F33" i="9"/>
  <c r="G19" i="9"/>
  <c r="F189" i="9"/>
  <c r="G36" i="9"/>
  <c r="G197" i="9"/>
  <c r="G196" i="9"/>
  <c r="G129" i="9"/>
  <c r="H129" i="9" s="1"/>
  <c r="G189" i="9"/>
  <c r="F296" i="9"/>
  <c r="F196" i="9"/>
  <c r="G296" i="9"/>
  <c r="F64" i="9"/>
  <c r="H174" i="9"/>
  <c r="H275" i="9"/>
  <c r="G64" i="9"/>
  <c r="F111" i="9"/>
  <c r="G44" i="9"/>
  <c r="H44" i="9" s="1"/>
  <c r="F65" i="9"/>
  <c r="G188" i="9"/>
  <c r="G128" i="9"/>
  <c r="G65" i="9"/>
  <c r="F297" i="9"/>
  <c r="F36" i="9"/>
  <c r="F188" i="9"/>
  <c r="F128" i="9"/>
  <c r="F63" i="9"/>
  <c r="G298" i="9"/>
  <c r="H298" i="9" s="1"/>
  <c r="G300" i="9"/>
  <c r="F91" i="9"/>
  <c r="G91" i="9"/>
  <c r="G5" i="9"/>
  <c r="G87" i="9"/>
  <c r="G67" i="9"/>
  <c r="H262" i="9"/>
  <c r="G118" i="9"/>
  <c r="H118" i="9" s="1"/>
  <c r="F88" i="9"/>
  <c r="G63" i="9"/>
  <c r="F5" i="9"/>
  <c r="J88" i="9"/>
  <c r="H126" i="9"/>
  <c r="G88" i="9"/>
  <c r="F300" i="9"/>
  <c r="G16" i="9"/>
  <c r="H122" i="9"/>
  <c r="H127" i="9"/>
  <c r="H207" i="9"/>
  <c r="H266" i="9"/>
  <c r="F83" i="9"/>
  <c r="H224" i="9"/>
  <c r="H295" i="9"/>
  <c r="H240" i="9"/>
  <c r="H184" i="9"/>
  <c r="H89" i="9"/>
  <c r="H226" i="9"/>
  <c r="H276" i="9"/>
  <c r="G145" i="9"/>
  <c r="H145" i="9" s="1"/>
  <c r="H14" i="9"/>
  <c r="H272" i="9"/>
  <c r="H260" i="9"/>
  <c r="H30" i="9"/>
  <c r="H158" i="9"/>
  <c r="H259" i="9"/>
  <c r="H281" i="9"/>
  <c r="H123" i="9"/>
  <c r="H178" i="9"/>
  <c r="H54" i="9"/>
  <c r="H228" i="9"/>
  <c r="H116" i="9"/>
  <c r="H76" i="9"/>
  <c r="H79" i="9"/>
  <c r="H270" i="9"/>
  <c r="H198" i="9"/>
  <c r="H287" i="9"/>
  <c r="G157" i="9"/>
  <c r="G161" i="9"/>
  <c r="H237" i="9"/>
  <c r="H271" i="9"/>
  <c r="H168" i="9"/>
  <c r="H230" i="9"/>
  <c r="H147" i="9"/>
  <c r="H154" i="9"/>
  <c r="F169" i="9"/>
  <c r="H169" i="9" s="1"/>
  <c r="H48" i="9"/>
  <c r="H175" i="9"/>
  <c r="J66" i="9"/>
  <c r="F66" i="9"/>
  <c r="G66" i="9"/>
  <c r="F201" i="9"/>
  <c r="H201" i="9" s="1"/>
  <c r="J201" i="9"/>
  <c r="F229" i="9"/>
  <c r="H229" i="9" s="1"/>
  <c r="F137" i="9"/>
  <c r="J137" i="9"/>
  <c r="G100" i="9"/>
  <c r="F100" i="9"/>
  <c r="J101" i="9"/>
  <c r="G101" i="9"/>
  <c r="H113" i="9"/>
  <c r="G52" i="9"/>
  <c r="F52" i="9"/>
  <c r="J52" i="9"/>
  <c r="G253" i="9"/>
  <c r="H253" i="9" s="1"/>
  <c r="J46" i="9"/>
  <c r="F46" i="9"/>
  <c r="G46" i="9"/>
  <c r="H220" i="9"/>
  <c r="J38" i="9"/>
  <c r="F38" i="9"/>
  <c r="G38" i="9"/>
  <c r="F32" i="9"/>
  <c r="J32" i="9"/>
  <c r="G32" i="9"/>
  <c r="J50" i="9"/>
  <c r="F50" i="9"/>
  <c r="F121" i="9"/>
  <c r="H121" i="9" s="1"/>
  <c r="J121" i="9"/>
  <c r="F49" i="9"/>
  <c r="J49" i="9"/>
  <c r="G49" i="9"/>
  <c r="J114" i="9"/>
  <c r="F114" i="9"/>
  <c r="G114" i="9"/>
  <c r="F249" i="9"/>
  <c r="H249" i="9" s="1"/>
  <c r="J249" i="9"/>
  <c r="J26" i="9"/>
  <c r="F26" i="9"/>
  <c r="H26" i="9" s="1"/>
  <c r="F103" i="9"/>
  <c r="G103" i="9"/>
  <c r="J103" i="9"/>
  <c r="J42" i="9"/>
  <c r="F42" i="9"/>
  <c r="G42" i="9"/>
  <c r="G209" i="9"/>
  <c r="H209" i="9" s="1"/>
  <c r="G57" i="9"/>
  <c r="H57" i="9" s="1"/>
  <c r="G56" i="9"/>
  <c r="F56" i="9"/>
  <c r="J57" i="9"/>
  <c r="F185" i="9"/>
  <c r="H185" i="9" s="1"/>
  <c r="J185" i="9"/>
  <c r="H293" i="9"/>
  <c r="H156" i="9"/>
  <c r="H252" i="9"/>
  <c r="H214" i="9"/>
  <c r="F25" i="9"/>
  <c r="J25" i="9"/>
  <c r="G25" i="9"/>
  <c r="F73" i="9"/>
  <c r="J74" i="9"/>
  <c r="F74" i="9"/>
  <c r="H74" i="9" s="1"/>
  <c r="G73" i="9"/>
  <c r="J265" i="9"/>
  <c r="F265" i="9"/>
  <c r="H265" i="9" s="1"/>
  <c r="G82" i="9"/>
  <c r="F81" i="9"/>
  <c r="G81" i="9"/>
  <c r="J82" i="9"/>
  <c r="F82" i="9"/>
  <c r="G29" i="9"/>
  <c r="F29" i="9"/>
  <c r="J29" i="9"/>
  <c r="G108" i="9"/>
  <c r="F108" i="9"/>
  <c r="J108" i="9"/>
  <c r="F15" i="9"/>
  <c r="G15" i="9"/>
  <c r="J15" i="9"/>
  <c r="G193" i="9"/>
  <c r="H193" i="9" s="1"/>
  <c r="J217" i="9"/>
  <c r="F217" i="9"/>
  <c r="H217" i="9" s="1"/>
  <c r="H273" i="9"/>
  <c r="H244" i="9"/>
  <c r="J94" i="9"/>
  <c r="F94" i="9"/>
  <c r="G94" i="9"/>
  <c r="J12" i="9"/>
  <c r="G12" i="9"/>
  <c r="F12" i="9"/>
  <c r="G6" i="9"/>
  <c r="F6" i="9"/>
  <c r="J7" i="9"/>
  <c r="G7" i="9"/>
  <c r="F7" i="9"/>
  <c r="G90" i="9"/>
  <c r="J90" i="9"/>
  <c r="F90" i="9"/>
  <c r="G257" i="9"/>
  <c r="H257" i="9" s="1"/>
  <c r="G80" i="9"/>
  <c r="F80" i="9"/>
  <c r="J80" i="9"/>
  <c r="G241" i="9"/>
  <c r="J43" i="9"/>
  <c r="F43" i="9"/>
  <c r="G43" i="9"/>
  <c r="H110" i="9"/>
  <c r="H250" i="9"/>
  <c r="H166" i="9"/>
  <c r="J13" i="9"/>
  <c r="G13" i="9"/>
  <c r="H13" i="9" s="1"/>
  <c r="J55" i="9"/>
  <c r="F55" i="9"/>
  <c r="G55" i="9"/>
  <c r="G97" i="9"/>
  <c r="J98" i="9"/>
  <c r="J118" i="9"/>
  <c r="G117" i="9"/>
  <c r="F117" i="9"/>
  <c r="F104" i="9"/>
  <c r="J104" i="9"/>
  <c r="G104" i="9"/>
  <c r="H289" i="9"/>
  <c r="G84" i="9"/>
  <c r="H84" i="9" s="1"/>
  <c r="J84" i="9"/>
  <c r="G83" i="9"/>
  <c r="G9" i="9"/>
  <c r="H9" i="9" s="1"/>
  <c r="J9" i="9"/>
  <c r="G8" i="9"/>
  <c r="F8" i="9"/>
  <c r="J18" i="9"/>
  <c r="G18" i="9"/>
  <c r="F18" i="9"/>
  <c r="J86" i="9"/>
  <c r="F86" i="9"/>
  <c r="G86" i="9"/>
  <c r="G39" i="9"/>
  <c r="G40" i="9"/>
  <c r="F40" i="9"/>
  <c r="F39" i="9"/>
  <c r="J40" i="9"/>
  <c r="F153" i="9"/>
  <c r="H153" i="9" s="1"/>
  <c r="J153" i="9"/>
  <c r="G11" i="9"/>
  <c r="F11" i="9"/>
  <c r="J11" i="9"/>
  <c r="F133" i="9"/>
  <c r="H133" i="9" s="1"/>
  <c r="J21" i="9"/>
  <c r="F20" i="9"/>
  <c r="G21" i="9"/>
  <c r="H21" i="9" s="1"/>
  <c r="G20" i="9"/>
  <c r="J233" i="9"/>
  <c r="F233" i="9"/>
  <c r="H233" i="9" s="1"/>
  <c r="G3" i="9"/>
  <c r="F3" i="9"/>
  <c r="J3" i="9"/>
  <c r="J2" i="9"/>
  <c r="F2" i="9"/>
  <c r="G2" i="9"/>
  <c r="J69" i="9"/>
  <c r="G69" i="9"/>
  <c r="F69" i="9"/>
  <c r="G107" i="9"/>
  <c r="F107" i="9"/>
  <c r="J107" i="9"/>
  <c r="H159" i="9"/>
  <c r="H197" i="9"/>
  <c r="H256" i="9"/>
  <c r="H215" i="9"/>
  <c r="H236" i="9"/>
  <c r="H58" i="9"/>
  <c r="H45" i="9"/>
  <c r="G77" i="9"/>
  <c r="J78" i="9"/>
  <c r="F77" i="9"/>
  <c r="G78" i="9"/>
  <c r="H78" i="9" s="1"/>
  <c r="F181" i="9"/>
  <c r="H181" i="9" s="1"/>
  <c r="J60" i="9"/>
  <c r="G60" i="9"/>
  <c r="F60" i="9"/>
  <c r="J59" i="9"/>
  <c r="G59" i="9"/>
  <c r="F59" i="9"/>
  <c r="G109" i="9"/>
  <c r="H109" i="9" s="1"/>
  <c r="J35" i="9"/>
  <c r="F35" i="9"/>
  <c r="G35" i="9"/>
  <c r="H138" i="9"/>
  <c r="H267" i="9"/>
  <c r="H131" i="9"/>
  <c r="H24" i="9"/>
  <c r="H280" i="9"/>
  <c r="H246" i="9"/>
  <c r="H248" i="9"/>
  <c r="F4" i="9"/>
  <c r="G4" i="9"/>
  <c r="J4" i="9"/>
  <c r="G205" i="9"/>
  <c r="G111" i="9"/>
  <c r="H111" i="9" s="1"/>
  <c r="F112" i="9"/>
  <c r="H112" i="9" s="1"/>
  <c r="J112" i="9"/>
  <c r="F101" i="9"/>
  <c r="F282" i="9"/>
  <c r="H282" i="9" s="1"/>
  <c r="J282" i="9"/>
  <c r="F17" i="9"/>
  <c r="F177" i="8"/>
  <c r="F216" i="8"/>
  <c r="F171" i="8"/>
  <c r="F251" i="8"/>
  <c r="G104" i="8"/>
  <c r="F127" i="8"/>
  <c r="G127" i="8"/>
  <c r="G38" i="8"/>
  <c r="F167" i="8"/>
  <c r="J247" i="8"/>
  <c r="G216" i="8"/>
  <c r="G217" i="8"/>
  <c r="F107" i="8"/>
  <c r="G107" i="8"/>
  <c r="F152" i="8"/>
  <c r="H152" i="8" s="1"/>
  <c r="F25" i="8"/>
  <c r="G25" i="8"/>
  <c r="F283" i="8"/>
  <c r="G251" i="8"/>
  <c r="F90" i="8"/>
  <c r="G283" i="8"/>
  <c r="J251" i="8"/>
  <c r="G90" i="8"/>
  <c r="G167" i="8"/>
  <c r="H167" i="8" s="1"/>
  <c r="G87" i="8"/>
  <c r="H87" i="8" s="1"/>
  <c r="F116" i="8"/>
  <c r="H116" i="8" s="1"/>
  <c r="F247" i="8"/>
  <c r="H247" i="8" s="1"/>
  <c r="F26" i="8"/>
  <c r="G26" i="8"/>
  <c r="G95" i="8"/>
  <c r="J124" i="8"/>
  <c r="G12" i="8"/>
  <c r="G13" i="8"/>
  <c r="F159" i="8"/>
  <c r="H159" i="8" s="1"/>
  <c r="G161" i="8"/>
  <c r="F27" i="8"/>
  <c r="H27" i="8" s="1"/>
  <c r="F231" i="8"/>
  <c r="H231" i="8" s="1"/>
  <c r="F120" i="8"/>
  <c r="H120" i="8" s="1"/>
  <c r="J140" i="8"/>
  <c r="J13" i="8"/>
  <c r="F33" i="8"/>
  <c r="F34" i="8"/>
  <c r="G33" i="8"/>
  <c r="F192" i="8"/>
  <c r="H192" i="8" s="1"/>
  <c r="F187" i="8"/>
  <c r="F54" i="8"/>
  <c r="F288" i="8"/>
  <c r="F163" i="8"/>
  <c r="G163" i="8"/>
  <c r="G187" i="8"/>
  <c r="F50" i="8"/>
  <c r="H50" i="8" s="1"/>
  <c r="G54" i="8"/>
  <c r="F123" i="8"/>
  <c r="H200" i="8"/>
  <c r="G288" i="8"/>
  <c r="F143" i="8"/>
  <c r="G124" i="8"/>
  <c r="G139" i="8"/>
  <c r="G143" i="8"/>
  <c r="H203" i="8"/>
  <c r="F82" i="8"/>
  <c r="G82" i="8"/>
  <c r="H199" i="8"/>
  <c r="H260" i="8"/>
  <c r="F46" i="8"/>
  <c r="H151" i="8"/>
  <c r="H176" i="8"/>
  <c r="F180" i="8"/>
  <c r="H263" i="8"/>
  <c r="F240" i="8"/>
  <c r="H12" i="8"/>
  <c r="H212" i="8"/>
  <c r="G83" i="8"/>
  <c r="H83" i="8" s="1"/>
  <c r="G19" i="8"/>
  <c r="H19" i="8" s="1"/>
  <c r="H275" i="8"/>
  <c r="H211" i="8"/>
  <c r="H296" i="8"/>
  <c r="H287" i="8"/>
  <c r="H49" i="8"/>
  <c r="H102" i="8"/>
  <c r="H171" i="8"/>
  <c r="G236" i="8"/>
  <c r="H236" i="8" s="1"/>
  <c r="H161" i="8"/>
  <c r="H215" i="8"/>
  <c r="H91" i="8"/>
  <c r="H103" i="8"/>
  <c r="F13" i="8"/>
  <c r="F7" i="8"/>
  <c r="F217" i="8"/>
  <c r="F255" i="8"/>
  <c r="H295" i="8"/>
  <c r="F201" i="8"/>
  <c r="H201" i="8" s="1"/>
  <c r="H204" i="8"/>
  <c r="F267" i="8"/>
  <c r="H267" i="8" s="1"/>
  <c r="H177" i="8"/>
  <c r="F196" i="8"/>
  <c r="H196" i="8" s="1"/>
  <c r="H86" i="8"/>
  <c r="F111" i="8"/>
  <c r="H111" i="8" s="1"/>
  <c r="E5" i="7"/>
  <c r="J5" i="7" s="1"/>
  <c r="E4" i="7"/>
  <c r="J4" i="7" s="1"/>
  <c r="J9" i="7"/>
  <c r="E6" i="7"/>
  <c r="E7" i="7"/>
  <c r="E8" i="7"/>
  <c r="M6" i="7"/>
  <c r="G286" i="7" s="1"/>
  <c r="E18" i="7"/>
  <c r="E11" i="7"/>
  <c r="E13" i="7"/>
  <c r="E15" i="7"/>
  <c r="E19" i="7"/>
  <c r="E10" i="7"/>
  <c r="E14" i="7"/>
  <c r="E12" i="7"/>
  <c r="E2" i="7"/>
  <c r="E17" i="7"/>
  <c r="E3" i="7"/>
  <c r="E16" i="7"/>
  <c r="J59" i="8"/>
  <c r="F59" i="8"/>
  <c r="G59" i="8"/>
  <c r="J11" i="22"/>
  <c r="F11" i="22"/>
  <c r="G11" i="22"/>
  <c r="G220" i="8"/>
  <c r="F220" i="8"/>
  <c r="J220" i="8"/>
  <c r="H299" i="12"/>
  <c r="H173" i="14"/>
  <c r="H185" i="12"/>
  <c r="J253" i="8"/>
  <c r="G253" i="8"/>
  <c r="F253" i="8"/>
  <c r="J225" i="8"/>
  <c r="G225" i="8"/>
  <c r="F225" i="8"/>
  <c r="H36" i="9"/>
  <c r="H245" i="9"/>
  <c r="H139" i="12"/>
  <c r="H159" i="10"/>
  <c r="H293" i="13"/>
  <c r="H181" i="14"/>
  <c r="G3" i="22"/>
  <c r="J3" i="22"/>
  <c r="F3" i="22"/>
  <c r="H3" i="22" s="1"/>
  <c r="G160" i="8"/>
  <c r="F160" i="8"/>
  <c r="J160" i="8"/>
  <c r="H291" i="10"/>
  <c r="H120" i="12"/>
  <c r="H213" i="14"/>
  <c r="H114" i="13"/>
  <c r="H185" i="14"/>
  <c r="H193" i="14"/>
  <c r="J195" i="8"/>
  <c r="G195" i="8"/>
  <c r="F195" i="8"/>
  <c r="H132" i="10"/>
  <c r="H68" i="12"/>
  <c r="H18" i="10"/>
  <c r="H137" i="13"/>
  <c r="H104" i="13"/>
  <c r="H60" i="12"/>
  <c r="H28" i="12"/>
  <c r="H144" i="9"/>
  <c r="H216" i="9"/>
  <c r="H44" i="14"/>
  <c r="H128" i="13"/>
  <c r="G8" i="22"/>
  <c r="F8" i="22"/>
  <c r="H8" i="22" s="1"/>
  <c r="J8" i="22"/>
  <c r="H119" i="9"/>
  <c r="H230" i="10"/>
  <c r="H135" i="12"/>
  <c r="H247" i="14"/>
  <c r="H289" i="13"/>
  <c r="J94" i="8"/>
  <c r="G94" i="8"/>
  <c r="F94" i="8"/>
  <c r="J243" i="8"/>
  <c r="G243" i="8"/>
  <c r="F243" i="8"/>
  <c r="F142" i="8"/>
  <c r="J142" i="8"/>
  <c r="G142" i="8"/>
  <c r="F250" i="8"/>
  <c r="J250" i="8"/>
  <c r="G250" i="8"/>
  <c r="J56" i="8"/>
  <c r="G56" i="8"/>
  <c r="F56" i="8"/>
  <c r="F110" i="8"/>
  <c r="J110" i="8"/>
  <c r="G110" i="8"/>
  <c r="F254" i="8"/>
  <c r="J254" i="8"/>
  <c r="G254" i="8"/>
  <c r="J257" i="8"/>
  <c r="G257" i="8"/>
  <c r="F257" i="8"/>
  <c r="F210" i="8"/>
  <c r="J210" i="8"/>
  <c r="G210" i="8"/>
  <c r="G69" i="8"/>
  <c r="F69" i="8"/>
  <c r="J69" i="8"/>
  <c r="H125" i="9"/>
  <c r="H296" i="12"/>
  <c r="H83" i="12"/>
  <c r="H124" i="9"/>
  <c r="H196" i="9"/>
  <c r="H268" i="9"/>
  <c r="H86" i="13"/>
  <c r="F276" i="8"/>
  <c r="H276" i="8" s="1"/>
  <c r="H221" i="10"/>
  <c r="H103" i="10"/>
  <c r="H297" i="12"/>
  <c r="H257" i="13"/>
  <c r="H194" i="14"/>
  <c r="H122" i="10"/>
  <c r="H66" i="12"/>
  <c r="H294" i="14"/>
  <c r="H157" i="12"/>
  <c r="H228" i="13"/>
  <c r="H63" i="14"/>
  <c r="H167" i="14"/>
  <c r="J169" i="8"/>
  <c r="G169" i="8"/>
  <c r="F169" i="8"/>
  <c r="G168" i="8"/>
  <c r="F168" i="8"/>
  <c r="J135" i="8"/>
  <c r="G135" i="8"/>
  <c r="F135" i="8"/>
  <c r="F300" i="8"/>
  <c r="H300" i="8" s="1"/>
  <c r="H241" i="10"/>
  <c r="H199" i="12"/>
  <c r="H21" i="12"/>
  <c r="H54" i="12"/>
  <c r="H231" i="14"/>
  <c r="H216" i="14"/>
  <c r="H103" i="14"/>
  <c r="H220" i="14"/>
  <c r="H212" i="13"/>
  <c r="H62" i="14"/>
  <c r="F55" i="8"/>
  <c r="H55" i="8" s="1"/>
  <c r="F124" i="8"/>
  <c r="G244" i="8"/>
  <c r="H244" i="8" s="1"/>
  <c r="F136" i="8"/>
  <c r="H136" i="8" s="1"/>
  <c r="F224" i="8"/>
  <c r="J174" i="11"/>
  <c r="G174" i="11"/>
  <c r="F174" i="11"/>
  <c r="H31" i="13"/>
  <c r="H38" i="17"/>
  <c r="H33" i="18"/>
  <c r="H109" i="21"/>
  <c r="H268" i="14"/>
  <c r="H159" i="22"/>
  <c r="H68" i="10"/>
  <c r="G102" i="15"/>
  <c r="F102" i="15"/>
  <c r="J102" i="15"/>
  <c r="J124" i="15"/>
  <c r="F124" i="15"/>
  <c r="G124" i="15"/>
  <c r="J148" i="15"/>
  <c r="F148" i="15"/>
  <c r="G148" i="15"/>
  <c r="G208" i="15"/>
  <c r="J208" i="15"/>
  <c r="F208" i="15"/>
  <c r="J61" i="15"/>
  <c r="G61" i="15"/>
  <c r="F61" i="15"/>
  <c r="J183" i="15"/>
  <c r="G183" i="15"/>
  <c r="F183" i="15"/>
  <c r="J129" i="15"/>
  <c r="G129" i="15"/>
  <c r="F129" i="15"/>
  <c r="J197" i="15"/>
  <c r="G197" i="15"/>
  <c r="F197" i="15"/>
  <c r="G89" i="15"/>
  <c r="F89" i="15"/>
  <c r="J89" i="15"/>
  <c r="J48" i="15"/>
  <c r="F48" i="15"/>
  <c r="G48" i="15"/>
  <c r="J14" i="15"/>
  <c r="G14" i="15"/>
  <c r="F14" i="15"/>
  <c r="J237" i="15"/>
  <c r="F237" i="15"/>
  <c r="G237" i="15"/>
  <c r="J213" i="15"/>
  <c r="G213" i="15"/>
  <c r="F213" i="15"/>
  <c r="J261" i="15"/>
  <c r="F261" i="15"/>
  <c r="G261" i="15"/>
  <c r="F299" i="15"/>
  <c r="J299" i="15"/>
  <c r="G299" i="15"/>
  <c r="H13" i="16"/>
  <c r="H66" i="20"/>
  <c r="H264" i="19"/>
  <c r="H262" i="20"/>
  <c r="H90" i="17"/>
  <c r="H28" i="21"/>
  <c r="H127" i="14"/>
  <c r="H200" i="16"/>
  <c r="G12" i="22"/>
  <c r="F12" i="22"/>
  <c r="J12" i="22"/>
  <c r="H279" i="9"/>
  <c r="H134" i="9"/>
  <c r="H69" i="12"/>
  <c r="H209" i="13"/>
  <c r="H53" i="9"/>
  <c r="H136" i="9"/>
  <c r="H208" i="9"/>
  <c r="H213" i="13"/>
  <c r="H289" i="12"/>
  <c r="H209" i="10"/>
  <c r="H212" i="12"/>
  <c r="H295" i="12"/>
  <c r="H219" i="9"/>
  <c r="H272" i="12"/>
  <c r="H212" i="9"/>
  <c r="H112" i="14"/>
  <c r="H206" i="13"/>
  <c r="H165" i="14"/>
  <c r="H3" i="12"/>
  <c r="H37" i="10"/>
  <c r="H249" i="10"/>
  <c r="H251" i="14"/>
  <c r="H205" i="13"/>
  <c r="H273" i="13"/>
  <c r="M16" i="22"/>
  <c r="G2" i="22"/>
  <c r="F2" i="22"/>
  <c r="J2" i="22"/>
  <c r="F38" i="8"/>
  <c r="H38" i="8" s="1"/>
  <c r="H87" i="10"/>
  <c r="H170" i="9"/>
  <c r="H189" i="13"/>
  <c r="H16" i="13"/>
  <c r="F24" i="8"/>
  <c r="J24" i="8"/>
  <c r="G24" i="8"/>
  <c r="J3" i="8"/>
  <c r="G3" i="8"/>
  <c r="F3" i="8"/>
  <c r="J60" i="8"/>
  <c r="G60" i="8"/>
  <c r="F60" i="8"/>
  <c r="F122" i="8"/>
  <c r="J122" i="8"/>
  <c r="G122" i="8"/>
  <c r="F266" i="8"/>
  <c r="J266" i="8"/>
  <c r="G266" i="8"/>
  <c r="J269" i="8"/>
  <c r="G269" i="8"/>
  <c r="F269" i="8"/>
  <c r="F222" i="8"/>
  <c r="J222" i="8"/>
  <c r="G222" i="8"/>
  <c r="G73" i="8"/>
  <c r="F73" i="8"/>
  <c r="J73" i="8"/>
  <c r="H121" i="10"/>
  <c r="H125" i="10"/>
  <c r="H167" i="10"/>
  <c r="G292" i="8"/>
  <c r="F292" i="8"/>
  <c r="J292" i="8"/>
  <c r="F188" i="8"/>
  <c r="H188" i="8" s="1"/>
  <c r="H239" i="9"/>
  <c r="H23" i="12"/>
  <c r="H261" i="10"/>
  <c r="H221" i="14"/>
  <c r="H253" i="13"/>
  <c r="J58" i="8"/>
  <c r="G58" i="8"/>
  <c r="F58" i="8"/>
  <c r="J279" i="8"/>
  <c r="G279" i="8"/>
  <c r="F279" i="8"/>
  <c r="H271" i="12"/>
  <c r="H123" i="13"/>
  <c r="G224" i="8"/>
  <c r="G99" i="8"/>
  <c r="H99" i="8" s="1"/>
  <c r="J255" i="11"/>
  <c r="F255" i="11"/>
  <c r="G255" i="11"/>
  <c r="H179" i="16"/>
  <c r="H47" i="16"/>
  <c r="H207" i="15"/>
  <c r="H206" i="16"/>
  <c r="H14" i="17"/>
  <c r="H260" i="17"/>
  <c r="H48" i="18"/>
  <c r="H150" i="19"/>
  <c r="H254" i="15"/>
  <c r="G4" i="15"/>
  <c r="J4" i="15"/>
  <c r="F4" i="15"/>
  <c r="J38" i="15"/>
  <c r="G38" i="15"/>
  <c r="F38" i="15"/>
  <c r="J103" i="15"/>
  <c r="G103" i="15"/>
  <c r="F103" i="15"/>
  <c r="G200" i="15"/>
  <c r="J200" i="15"/>
  <c r="F200" i="15"/>
  <c r="J43" i="15"/>
  <c r="G43" i="15"/>
  <c r="F43" i="15"/>
  <c r="J137" i="15"/>
  <c r="G137" i="15"/>
  <c r="F137" i="15"/>
  <c r="G216" i="15"/>
  <c r="J216" i="15"/>
  <c r="F216" i="15"/>
  <c r="J131" i="15"/>
  <c r="G131" i="15"/>
  <c r="F131" i="15"/>
  <c r="G130" i="15"/>
  <c r="F130" i="15"/>
  <c r="J209" i="15"/>
  <c r="G209" i="15"/>
  <c r="F209" i="15"/>
  <c r="G93" i="15"/>
  <c r="F93" i="15"/>
  <c r="J93" i="15"/>
  <c r="J55" i="15"/>
  <c r="G55" i="15"/>
  <c r="F55" i="15"/>
  <c r="G18" i="15"/>
  <c r="J18" i="15"/>
  <c r="F18" i="15"/>
  <c r="J273" i="15"/>
  <c r="G273" i="15"/>
  <c r="F273" i="15"/>
  <c r="J229" i="15"/>
  <c r="G229" i="15"/>
  <c r="F229" i="15"/>
  <c r="G280" i="15"/>
  <c r="F280" i="15"/>
  <c r="J280" i="15"/>
  <c r="H175" i="16"/>
  <c r="F228" i="15"/>
  <c r="H15" i="17"/>
  <c r="F215" i="15"/>
  <c r="H215" i="15" s="1"/>
  <c r="H115" i="16"/>
  <c r="H282" i="18"/>
  <c r="H12" i="20"/>
  <c r="H176" i="20"/>
  <c r="H250" i="20"/>
  <c r="H226" i="16"/>
  <c r="H165" i="17"/>
  <c r="H116" i="14"/>
  <c r="J156" i="15"/>
  <c r="F156" i="15"/>
  <c r="G156" i="15"/>
  <c r="J66" i="8"/>
  <c r="G66" i="8"/>
  <c r="F66" i="8"/>
  <c r="H262" i="10"/>
  <c r="H38" i="10"/>
  <c r="H18" i="12"/>
  <c r="H88" i="13"/>
  <c r="H242" i="14"/>
  <c r="H41" i="14"/>
  <c r="H131" i="14"/>
  <c r="H19" i="14"/>
  <c r="H124" i="13"/>
  <c r="H58" i="13"/>
  <c r="H130" i="14"/>
  <c r="H98" i="14"/>
  <c r="J70" i="8"/>
  <c r="G70" i="8"/>
  <c r="F70" i="8"/>
  <c r="H75" i="9"/>
  <c r="H76" i="12"/>
  <c r="H93" i="13"/>
  <c r="H226" i="14"/>
  <c r="H155" i="14"/>
  <c r="H124" i="14"/>
  <c r="H13" i="14"/>
  <c r="H177" i="13"/>
  <c r="H157" i="13"/>
  <c r="H81" i="14"/>
  <c r="H281" i="14"/>
  <c r="J67" i="8"/>
  <c r="F67" i="8"/>
  <c r="G67" i="8"/>
  <c r="J16" i="8"/>
  <c r="F16" i="8"/>
  <c r="G16" i="8"/>
  <c r="H105" i="9"/>
  <c r="H263" i="9"/>
  <c r="H259" i="12"/>
  <c r="H162" i="9"/>
  <c r="H234" i="9"/>
  <c r="H263" i="14"/>
  <c r="H140" i="14"/>
  <c r="H76" i="14"/>
  <c r="H201" i="12"/>
  <c r="H37" i="14"/>
  <c r="H53" i="13"/>
  <c r="H154" i="13"/>
  <c r="H61" i="14"/>
  <c r="H89" i="14"/>
  <c r="H154" i="14"/>
  <c r="H237" i="14"/>
  <c r="J273" i="8"/>
  <c r="G273" i="8"/>
  <c r="F273" i="8"/>
  <c r="J165" i="8"/>
  <c r="G165" i="8"/>
  <c r="F165" i="8"/>
  <c r="G272" i="8"/>
  <c r="H272" i="8" s="1"/>
  <c r="H216" i="8"/>
  <c r="H61" i="10"/>
  <c r="H187" i="12"/>
  <c r="H39" i="12"/>
  <c r="H171" i="10"/>
  <c r="H208" i="14"/>
  <c r="H192" i="14"/>
  <c r="H205" i="12"/>
  <c r="H32" i="13"/>
  <c r="H221" i="13"/>
  <c r="H98" i="13"/>
  <c r="H245" i="14"/>
  <c r="H274" i="9"/>
  <c r="H155" i="12"/>
  <c r="H35" i="12"/>
  <c r="H120" i="14"/>
  <c r="H69" i="14"/>
  <c r="H162" i="14"/>
  <c r="H24" i="12"/>
  <c r="H118" i="10"/>
  <c r="H256" i="10"/>
  <c r="H47" i="14"/>
  <c r="F154" i="8"/>
  <c r="J154" i="8"/>
  <c r="G154" i="8"/>
  <c r="F166" i="8"/>
  <c r="J166" i="8"/>
  <c r="G166" i="8"/>
  <c r="J64" i="8"/>
  <c r="G64" i="8"/>
  <c r="F64" i="8"/>
  <c r="F134" i="8"/>
  <c r="J134" i="8"/>
  <c r="G134" i="8"/>
  <c r="F278" i="8"/>
  <c r="J278" i="8"/>
  <c r="G278" i="8"/>
  <c r="J281" i="8"/>
  <c r="G281" i="8"/>
  <c r="F281" i="8"/>
  <c r="F234" i="8"/>
  <c r="J234" i="8"/>
  <c r="G234" i="8"/>
  <c r="G77" i="8"/>
  <c r="F77" i="8"/>
  <c r="J77" i="8"/>
  <c r="H299" i="8"/>
  <c r="H173" i="9"/>
  <c r="H292" i="10"/>
  <c r="H100" i="12"/>
  <c r="H162" i="12"/>
  <c r="H105" i="12"/>
  <c r="H276" i="13"/>
  <c r="H60" i="14"/>
  <c r="H71" i="14"/>
  <c r="H74" i="13"/>
  <c r="H38" i="14"/>
  <c r="H41" i="9"/>
  <c r="H184" i="12"/>
  <c r="H188" i="12"/>
  <c r="H63" i="10"/>
  <c r="H287" i="14"/>
  <c r="H48" i="14"/>
  <c r="H49" i="14"/>
  <c r="H149" i="13"/>
  <c r="H273" i="12"/>
  <c r="H168" i="12"/>
  <c r="H156" i="12"/>
  <c r="H288" i="9"/>
  <c r="H282" i="13"/>
  <c r="H279" i="13"/>
  <c r="H113" i="14"/>
  <c r="H256" i="14"/>
  <c r="J51" i="8"/>
  <c r="F51" i="8"/>
  <c r="G51" i="8"/>
  <c r="J20" i="22"/>
  <c r="G20" i="22"/>
  <c r="F20" i="22"/>
  <c r="J121" i="8"/>
  <c r="G121" i="8"/>
  <c r="F121" i="8"/>
  <c r="H68" i="9"/>
  <c r="H212" i="10"/>
  <c r="H140" i="10"/>
  <c r="H220" i="12"/>
  <c r="H72" i="10"/>
  <c r="H79" i="10"/>
  <c r="H123" i="14"/>
  <c r="H240" i="13"/>
  <c r="H288" i="13"/>
  <c r="H65" i="14"/>
  <c r="H257" i="14"/>
  <c r="F205" i="8"/>
  <c r="H205" i="8" s="1"/>
  <c r="H259" i="8"/>
  <c r="H297" i="16"/>
  <c r="H54" i="16"/>
  <c r="H248" i="17"/>
  <c r="H192" i="16"/>
  <c r="H86" i="17"/>
  <c r="H168" i="17"/>
  <c r="H9" i="18"/>
  <c r="H177" i="18"/>
  <c r="H288" i="18"/>
  <c r="H205" i="21"/>
  <c r="M8" i="21"/>
  <c r="H2" i="21"/>
  <c r="H132" i="21"/>
  <c r="H195" i="21"/>
  <c r="H214" i="21"/>
  <c r="H220" i="16"/>
  <c r="H267" i="13"/>
  <c r="H110" i="14"/>
  <c r="G94" i="15"/>
  <c r="J94" i="15"/>
  <c r="F94" i="15"/>
  <c r="G126" i="15"/>
  <c r="F126" i="15"/>
  <c r="J126" i="15"/>
  <c r="J17" i="15"/>
  <c r="G17" i="15"/>
  <c r="F17" i="15"/>
  <c r="J68" i="15"/>
  <c r="F68" i="15"/>
  <c r="G68" i="15"/>
  <c r="G294" i="15"/>
  <c r="J294" i="15"/>
  <c r="F294" i="15"/>
  <c r="J185" i="15"/>
  <c r="G185" i="15"/>
  <c r="F185" i="15"/>
  <c r="F184" i="15"/>
  <c r="G184" i="15"/>
  <c r="G240" i="15"/>
  <c r="J240" i="15"/>
  <c r="F240" i="15"/>
  <c r="J153" i="15"/>
  <c r="G153" i="15"/>
  <c r="F153" i="15"/>
  <c r="J217" i="15"/>
  <c r="G217" i="15"/>
  <c r="F217" i="15"/>
  <c r="G97" i="15"/>
  <c r="F97" i="15"/>
  <c r="J97" i="15"/>
  <c r="F57" i="15"/>
  <c r="J57" i="15"/>
  <c r="G57" i="15"/>
  <c r="J25" i="15"/>
  <c r="G25" i="15"/>
  <c r="F25" i="15"/>
  <c r="J277" i="15"/>
  <c r="G277" i="15"/>
  <c r="F277" i="15"/>
  <c r="G276" i="15"/>
  <c r="F276" i="15"/>
  <c r="J249" i="15"/>
  <c r="G249" i="15"/>
  <c r="F249" i="15"/>
  <c r="G248" i="15"/>
  <c r="F248" i="15"/>
  <c r="G286" i="15"/>
  <c r="J286" i="15"/>
  <c r="F286" i="15"/>
  <c r="G160" i="15"/>
  <c r="H160" i="15" s="1"/>
  <c r="H293" i="16"/>
  <c r="G228" i="15"/>
  <c r="H169" i="17"/>
  <c r="H272" i="16"/>
  <c r="H296" i="16"/>
  <c r="H197" i="17"/>
  <c r="H105" i="18"/>
  <c r="H227" i="20"/>
  <c r="H36" i="20"/>
  <c r="H223" i="22"/>
  <c r="J68" i="11"/>
  <c r="G68" i="11"/>
  <c r="F68" i="11"/>
  <c r="H286" i="14"/>
  <c r="J42" i="8"/>
  <c r="G42" i="8"/>
  <c r="F42" i="8"/>
  <c r="J52" i="8"/>
  <c r="G52" i="8"/>
  <c r="F52" i="8"/>
  <c r="G65" i="8"/>
  <c r="F65" i="8"/>
  <c r="J65" i="8"/>
  <c r="J109" i="8"/>
  <c r="G109" i="8"/>
  <c r="F109" i="8"/>
  <c r="G232" i="15"/>
  <c r="J232" i="15"/>
  <c r="F232" i="15"/>
  <c r="J107" i="15"/>
  <c r="G107" i="15"/>
  <c r="F107" i="15"/>
  <c r="G106" i="15"/>
  <c r="F106" i="15"/>
  <c r="J221" i="15"/>
  <c r="F221" i="15"/>
  <c r="G221" i="15"/>
  <c r="G220" i="15"/>
  <c r="F220" i="15"/>
  <c r="J141" i="8"/>
  <c r="G141" i="8"/>
  <c r="F141" i="8"/>
  <c r="G140" i="8"/>
  <c r="F140" i="8"/>
  <c r="H127" i="8"/>
  <c r="H72" i="9"/>
  <c r="H256" i="12"/>
  <c r="H252" i="12"/>
  <c r="H34" i="12"/>
  <c r="H129" i="12"/>
  <c r="H33" i="14"/>
  <c r="G18" i="22"/>
  <c r="F18" i="22"/>
  <c r="H18" i="22" s="1"/>
  <c r="J18" i="22"/>
  <c r="J265" i="8"/>
  <c r="G265" i="8"/>
  <c r="F265" i="8"/>
  <c r="H85" i="9"/>
  <c r="H196" i="10"/>
  <c r="H130" i="12"/>
  <c r="H101" i="10"/>
  <c r="H196" i="12"/>
  <c r="H126" i="14"/>
  <c r="J74" i="8"/>
  <c r="G74" i="8"/>
  <c r="F74" i="8"/>
  <c r="H239" i="8"/>
  <c r="H202" i="13"/>
  <c r="H84" i="13"/>
  <c r="H102" i="14"/>
  <c r="H94" i="14"/>
  <c r="G17" i="8"/>
  <c r="F17" i="8"/>
  <c r="J17" i="8"/>
  <c r="H179" i="9"/>
  <c r="H182" i="12"/>
  <c r="H232" i="12"/>
  <c r="H2" i="10"/>
  <c r="H11" i="14"/>
  <c r="H77" i="14"/>
  <c r="F252" i="8"/>
  <c r="F22" i="8"/>
  <c r="G22" i="8"/>
  <c r="J22" i="8"/>
  <c r="F298" i="8"/>
  <c r="J298" i="8"/>
  <c r="G298" i="8"/>
  <c r="J28" i="8"/>
  <c r="G28" i="8"/>
  <c r="F28" i="8"/>
  <c r="J68" i="8"/>
  <c r="G68" i="8"/>
  <c r="F68" i="8"/>
  <c r="F146" i="8"/>
  <c r="J146" i="8"/>
  <c r="G146" i="8"/>
  <c r="F290" i="8"/>
  <c r="J290" i="8"/>
  <c r="G290" i="8"/>
  <c r="G289" i="8"/>
  <c r="F289" i="8"/>
  <c r="J293" i="8"/>
  <c r="G293" i="8"/>
  <c r="F293" i="8"/>
  <c r="F246" i="8"/>
  <c r="J246" i="8"/>
  <c r="G246" i="8"/>
  <c r="G81" i="8"/>
  <c r="F81" i="8"/>
  <c r="J81" i="8"/>
  <c r="H179" i="12"/>
  <c r="H110" i="12"/>
  <c r="H78" i="12"/>
  <c r="H61" i="12"/>
  <c r="H252" i="14"/>
  <c r="H276" i="14"/>
  <c r="H46" i="8"/>
  <c r="H255" i="8"/>
  <c r="H223" i="8"/>
  <c r="J193" i="8"/>
  <c r="G193" i="8"/>
  <c r="F193" i="8"/>
  <c r="H235" i="8"/>
  <c r="H285" i="9"/>
  <c r="H195" i="9"/>
  <c r="H248" i="10"/>
  <c r="H290" i="14"/>
  <c r="H230" i="14"/>
  <c r="J261" i="8"/>
  <c r="G261" i="8"/>
  <c r="F261" i="8"/>
  <c r="H93" i="9"/>
  <c r="H158" i="13"/>
  <c r="H284" i="14"/>
  <c r="H86" i="14"/>
  <c r="H85" i="10"/>
  <c r="H121" i="12"/>
  <c r="H57" i="14"/>
  <c r="H156" i="16"/>
  <c r="H88" i="16"/>
  <c r="H103" i="16"/>
  <c r="H171" i="19"/>
  <c r="H51" i="19"/>
  <c r="H116" i="19"/>
  <c r="M9" i="21"/>
  <c r="M11" i="21" s="1"/>
  <c r="H125" i="21"/>
  <c r="H159" i="21"/>
  <c r="H71" i="22"/>
  <c r="H197" i="22"/>
  <c r="H99" i="16"/>
  <c r="H20" i="13"/>
  <c r="F219" i="15"/>
  <c r="J219" i="15"/>
  <c r="G219" i="15"/>
  <c r="J47" i="15"/>
  <c r="G47" i="15"/>
  <c r="F47" i="15"/>
  <c r="G46" i="15"/>
  <c r="F46" i="15"/>
  <c r="J37" i="15"/>
  <c r="G37" i="15"/>
  <c r="F37" i="15"/>
  <c r="J195" i="15"/>
  <c r="G195" i="15"/>
  <c r="F195" i="15"/>
  <c r="G194" i="15"/>
  <c r="F194" i="15"/>
  <c r="G246" i="15"/>
  <c r="J246" i="15"/>
  <c r="F246" i="15"/>
  <c r="G224" i="15"/>
  <c r="J224" i="15"/>
  <c r="F224" i="15"/>
  <c r="J20" i="15"/>
  <c r="G20" i="15"/>
  <c r="F20" i="15"/>
  <c r="J155" i="15"/>
  <c r="G155" i="15"/>
  <c r="F155" i="15"/>
  <c r="J225" i="15"/>
  <c r="G225" i="15"/>
  <c r="F225" i="15"/>
  <c r="G121" i="15"/>
  <c r="F121" i="15"/>
  <c r="J121" i="15"/>
  <c r="J64" i="15"/>
  <c r="F64" i="15"/>
  <c r="G64" i="15"/>
  <c r="F28" i="15"/>
  <c r="J28" i="15"/>
  <c r="G28" i="15"/>
  <c r="G252" i="15"/>
  <c r="F252" i="15"/>
  <c r="J252" i="15"/>
  <c r="J297" i="15"/>
  <c r="G297" i="15"/>
  <c r="F297" i="15"/>
  <c r="F263" i="15"/>
  <c r="J263" i="15"/>
  <c r="G263" i="15"/>
  <c r="H214" i="16"/>
  <c r="H137" i="19"/>
  <c r="J72" i="15"/>
  <c r="F72" i="15"/>
  <c r="G72" i="15"/>
  <c r="J183" i="8"/>
  <c r="G183" i="8"/>
  <c r="F183" i="8"/>
  <c r="G37" i="8"/>
  <c r="F37" i="8"/>
  <c r="J37" i="8"/>
  <c r="H108" i="8"/>
  <c r="F242" i="8"/>
  <c r="J242" i="8"/>
  <c r="G242" i="8"/>
  <c r="H13" i="8"/>
  <c r="M8" i="14"/>
  <c r="H2" i="14"/>
  <c r="F203" i="15"/>
  <c r="J203" i="15"/>
  <c r="G203" i="15"/>
  <c r="J181" i="15"/>
  <c r="G181" i="15"/>
  <c r="F181" i="15"/>
  <c r="F180" i="15"/>
  <c r="G180" i="15"/>
  <c r="J202" i="15"/>
  <c r="F202" i="15"/>
  <c r="G202" i="15"/>
  <c r="G14" i="8"/>
  <c r="F14" i="8"/>
  <c r="J14" i="8"/>
  <c r="G280" i="8"/>
  <c r="F280" i="8"/>
  <c r="J280" i="8"/>
  <c r="H270" i="10"/>
  <c r="H300" i="13"/>
  <c r="H280" i="13"/>
  <c r="H214" i="13"/>
  <c r="J35" i="8"/>
  <c r="F35" i="8"/>
  <c r="G35" i="8"/>
  <c r="G252" i="8"/>
  <c r="H166" i="10"/>
  <c r="H91" i="10"/>
  <c r="H148" i="12"/>
  <c r="H7" i="12"/>
  <c r="H8" i="12"/>
  <c r="H18" i="13"/>
  <c r="G15" i="22"/>
  <c r="J15" i="22"/>
  <c r="F15" i="22"/>
  <c r="F214" i="8"/>
  <c r="J214" i="8"/>
  <c r="G214" i="8"/>
  <c r="G5" i="8"/>
  <c r="J5" i="8"/>
  <c r="F5" i="8"/>
  <c r="F4" i="8"/>
  <c r="G4" i="8"/>
  <c r="J72" i="8"/>
  <c r="G72" i="8"/>
  <c r="F72" i="8"/>
  <c r="F158" i="8"/>
  <c r="J158" i="8"/>
  <c r="G158" i="8"/>
  <c r="G2" i="8"/>
  <c r="F2" i="8"/>
  <c r="J2" i="8"/>
  <c r="M16" i="8"/>
  <c r="F114" i="8"/>
  <c r="J114" i="8"/>
  <c r="G114" i="8"/>
  <c r="F258" i="8"/>
  <c r="J258" i="8"/>
  <c r="G258" i="8"/>
  <c r="G85" i="8"/>
  <c r="F85" i="8"/>
  <c r="J85" i="8"/>
  <c r="H49" i="22"/>
  <c r="J123" i="15"/>
  <c r="G123" i="15"/>
  <c r="F123" i="15"/>
  <c r="F32" i="15"/>
  <c r="J32" i="15"/>
  <c r="G32" i="15"/>
  <c r="J175" i="15"/>
  <c r="G175" i="15"/>
  <c r="F175" i="15"/>
  <c r="F21" i="15"/>
  <c r="J21" i="15"/>
  <c r="G21" i="15"/>
  <c r="J2" i="15"/>
  <c r="G2" i="15"/>
  <c r="F2" i="15"/>
  <c r="M16" i="15"/>
  <c r="J27" i="15"/>
  <c r="G27" i="15"/>
  <c r="F27" i="15"/>
  <c r="J49" i="15"/>
  <c r="G49" i="15"/>
  <c r="F49" i="15"/>
  <c r="J177" i="15"/>
  <c r="G177" i="15"/>
  <c r="F177" i="15"/>
  <c r="F176" i="15"/>
  <c r="G176" i="15"/>
  <c r="J233" i="15"/>
  <c r="G233" i="15"/>
  <c r="F233" i="15"/>
  <c r="G145" i="15"/>
  <c r="F145" i="15"/>
  <c r="J145" i="15"/>
  <c r="J71" i="15"/>
  <c r="G71" i="15"/>
  <c r="F71" i="15"/>
  <c r="J117" i="15"/>
  <c r="G117" i="15"/>
  <c r="F117" i="15"/>
  <c r="F116" i="15"/>
  <c r="G116" i="15"/>
  <c r="G258" i="15"/>
  <c r="J258" i="15"/>
  <c r="F258" i="15"/>
  <c r="G206" i="15"/>
  <c r="F206" i="15"/>
  <c r="J206" i="15"/>
  <c r="F267" i="15"/>
  <c r="J267" i="15"/>
  <c r="G267" i="15"/>
  <c r="H55" i="18"/>
  <c r="H216" i="20"/>
  <c r="H203" i="19"/>
  <c r="H299" i="21"/>
  <c r="H181" i="19"/>
  <c r="J96" i="15"/>
  <c r="F96" i="15"/>
  <c r="G96" i="15"/>
  <c r="G19" i="22"/>
  <c r="F19" i="22"/>
  <c r="J19" i="22"/>
  <c r="J133" i="8"/>
  <c r="G133" i="8"/>
  <c r="F133" i="8"/>
  <c r="F238" i="8"/>
  <c r="J238" i="8"/>
  <c r="G238" i="8"/>
  <c r="J245" i="8"/>
  <c r="G245" i="8"/>
  <c r="F245" i="8"/>
  <c r="J18" i="8"/>
  <c r="G18" i="8"/>
  <c r="F18" i="8"/>
  <c r="H178" i="15"/>
  <c r="J30" i="15"/>
  <c r="G30" i="15"/>
  <c r="F30" i="15"/>
  <c r="J173" i="15"/>
  <c r="G173" i="15"/>
  <c r="F173" i="15"/>
  <c r="J293" i="15"/>
  <c r="G293" i="15"/>
  <c r="F293" i="15"/>
  <c r="G292" i="15"/>
  <c r="F292" i="15"/>
  <c r="J157" i="8"/>
  <c r="G157" i="8"/>
  <c r="F157" i="8"/>
  <c r="H117" i="14"/>
  <c r="H7" i="8"/>
  <c r="H178" i="12"/>
  <c r="J71" i="8"/>
  <c r="F71" i="8"/>
  <c r="G71" i="8"/>
  <c r="H213" i="10"/>
  <c r="J21" i="22"/>
  <c r="G21" i="22"/>
  <c r="F21" i="22"/>
  <c r="H21" i="22" s="1"/>
  <c r="G112" i="8"/>
  <c r="F112" i="8"/>
  <c r="J112" i="8"/>
  <c r="J39" i="8"/>
  <c r="F39" i="8"/>
  <c r="G39" i="8"/>
  <c r="G45" i="8"/>
  <c r="F45" i="8"/>
  <c r="J45" i="8"/>
  <c r="F226" i="8"/>
  <c r="J226" i="8"/>
  <c r="G226" i="8"/>
  <c r="F202" i="8"/>
  <c r="J202" i="8"/>
  <c r="G202" i="8"/>
  <c r="J30" i="8"/>
  <c r="G30" i="8"/>
  <c r="F30" i="8"/>
  <c r="J76" i="8"/>
  <c r="G76" i="8"/>
  <c r="F76" i="8"/>
  <c r="F170" i="8"/>
  <c r="J170" i="8"/>
  <c r="G170" i="8"/>
  <c r="G20" i="8"/>
  <c r="F20" i="8"/>
  <c r="J20" i="8"/>
  <c r="F126" i="8"/>
  <c r="J126" i="8"/>
  <c r="G126" i="8"/>
  <c r="F270" i="8"/>
  <c r="J270" i="8"/>
  <c r="G270" i="8"/>
  <c r="G89" i="8"/>
  <c r="F89" i="8"/>
  <c r="J89" i="8"/>
  <c r="F264" i="8"/>
  <c r="H255" i="10"/>
  <c r="H2" i="12"/>
  <c r="M8" i="12"/>
  <c r="M20" i="12" s="1"/>
  <c r="L10" i="3" s="1"/>
  <c r="H16" i="12"/>
  <c r="H31" i="12"/>
  <c r="H73" i="14"/>
  <c r="H177" i="9"/>
  <c r="H122" i="13"/>
  <c r="H267" i="12"/>
  <c r="J63" i="15"/>
  <c r="G63" i="15"/>
  <c r="F63" i="15"/>
  <c r="H194" i="16"/>
  <c r="H136" i="20"/>
  <c r="H269" i="20"/>
  <c r="J29" i="15"/>
  <c r="G29" i="15"/>
  <c r="F29" i="15"/>
  <c r="J19" i="15"/>
  <c r="G19" i="15"/>
  <c r="F19" i="15"/>
  <c r="J40" i="15"/>
  <c r="F40" i="15"/>
  <c r="G40" i="15"/>
  <c r="J100" i="15"/>
  <c r="F100" i="15"/>
  <c r="G100" i="15"/>
  <c r="G242" i="15"/>
  <c r="J242" i="15"/>
  <c r="F242" i="15"/>
  <c r="J109" i="15"/>
  <c r="G109" i="15"/>
  <c r="F109" i="15"/>
  <c r="F108" i="15"/>
  <c r="G108" i="15"/>
  <c r="J65" i="15"/>
  <c r="G65" i="15"/>
  <c r="F65" i="15"/>
  <c r="J179" i="15"/>
  <c r="G179" i="15"/>
  <c r="F179" i="15"/>
  <c r="G10" i="15"/>
  <c r="J10" i="15"/>
  <c r="F10" i="15"/>
  <c r="G169" i="15"/>
  <c r="F169" i="15"/>
  <c r="J169" i="15"/>
  <c r="J75" i="15"/>
  <c r="G75" i="15"/>
  <c r="F75" i="15"/>
  <c r="J141" i="15"/>
  <c r="F141" i="15"/>
  <c r="G141" i="15"/>
  <c r="J281" i="15"/>
  <c r="G281" i="15"/>
  <c r="F281" i="15"/>
  <c r="G222" i="15"/>
  <c r="F222" i="15"/>
  <c r="J222" i="15"/>
  <c r="F271" i="15"/>
  <c r="J271" i="15"/>
  <c r="G271" i="15"/>
  <c r="H33" i="20"/>
  <c r="H75" i="10"/>
  <c r="H148" i="10"/>
  <c r="J14" i="22"/>
  <c r="G14" i="22"/>
  <c r="F14" i="22"/>
  <c r="H55" i="12"/>
  <c r="H271" i="14"/>
  <c r="H133" i="14"/>
  <c r="H164" i="14"/>
  <c r="H188" i="13"/>
  <c r="H35" i="13"/>
  <c r="H211" i="13"/>
  <c r="J63" i="8"/>
  <c r="F63" i="8"/>
  <c r="G63" i="8"/>
  <c r="J15" i="8"/>
  <c r="G15" i="8"/>
  <c r="F15" i="8"/>
  <c r="H179" i="10"/>
  <c r="H267" i="14"/>
  <c r="H129" i="14"/>
  <c r="H100" i="14"/>
  <c r="H81" i="13"/>
  <c r="H176" i="14"/>
  <c r="H167" i="9"/>
  <c r="H107" i="12"/>
  <c r="H103" i="12"/>
  <c r="H186" i="9"/>
  <c r="H258" i="9"/>
  <c r="H92" i="14"/>
  <c r="H29" i="13"/>
  <c r="H108" i="13"/>
  <c r="G13" i="22"/>
  <c r="J13" i="22"/>
  <c r="F13" i="22"/>
  <c r="H13" i="22" s="1"/>
  <c r="H62" i="10"/>
  <c r="H188" i="14"/>
  <c r="H200" i="14"/>
  <c r="H253" i="14"/>
  <c r="J16" i="22"/>
  <c r="G16" i="22"/>
  <c r="F16" i="22"/>
  <c r="H16" i="22" s="1"/>
  <c r="G34" i="8"/>
  <c r="H115" i="9"/>
  <c r="H237" i="10"/>
  <c r="H75" i="12"/>
  <c r="H300" i="14"/>
  <c r="H180" i="13"/>
  <c r="J153" i="8"/>
  <c r="G153" i="8"/>
  <c r="F153" i="8"/>
  <c r="G41" i="8"/>
  <c r="F41" i="8"/>
  <c r="J41" i="8"/>
  <c r="F10" i="8"/>
  <c r="H10" i="8" s="1"/>
  <c r="H104" i="8"/>
  <c r="H284" i="12"/>
  <c r="H104" i="12"/>
  <c r="H24" i="14"/>
  <c r="H260" i="13"/>
  <c r="J117" i="8"/>
  <c r="G117" i="8"/>
  <c r="F117" i="8"/>
  <c r="F118" i="8"/>
  <c r="J118" i="8"/>
  <c r="G118" i="8"/>
  <c r="F130" i="8"/>
  <c r="J130" i="8"/>
  <c r="G130" i="8"/>
  <c r="J32" i="8"/>
  <c r="G32" i="8"/>
  <c r="F32" i="8"/>
  <c r="J80" i="8"/>
  <c r="G80" i="8"/>
  <c r="F80" i="8"/>
  <c r="F182" i="8"/>
  <c r="J182" i="8"/>
  <c r="G182" i="8"/>
  <c r="J185" i="8"/>
  <c r="G185" i="8"/>
  <c r="F185" i="8"/>
  <c r="F138" i="8"/>
  <c r="J138" i="8"/>
  <c r="G138" i="8"/>
  <c r="F282" i="8"/>
  <c r="J282" i="8"/>
  <c r="G282" i="8"/>
  <c r="G93" i="8"/>
  <c r="F93" i="8"/>
  <c r="J93" i="8"/>
  <c r="G264" i="8"/>
  <c r="H269" i="9"/>
  <c r="H228" i="10"/>
  <c r="H93" i="10"/>
  <c r="H52" i="12"/>
  <c r="H53" i="10"/>
  <c r="H146" i="12"/>
  <c r="H174" i="12"/>
  <c r="H89" i="13"/>
  <c r="M9" i="12"/>
  <c r="M11" i="12" s="1"/>
  <c r="H243" i="14"/>
  <c r="H104" i="14"/>
  <c r="H204" i="14"/>
  <c r="H191" i="14"/>
  <c r="J173" i="8"/>
  <c r="G173" i="8"/>
  <c r="F173" i="8"/>
  <c r="H250" i="10"/>
  <c r="H228" i="12"/>
  <c r="H180" i="12"/>
  <c r="H194" i="12"/>
  <c r="H239" i="14"/>
  <c r="H298" i="14"/>
  <c r="H67" i="14"/>
  <c r="H236" i="13"/>
  <c r="H294" i="13"/>
  <c r="H175" i="14"/>
  <c r="J149" i="8"/>
  <c r="G149" i="8"/>
  <c r="F149" i="8"/>
  <c r="H98" i="9"/>
  <c r="H277" i="12"/>
  <c r="H9" i="14"/>
  <c r="H144" i="13"/>
  <c r="H4" i="14"/>
  <c r="H6" i="14"/>
  <c r="H159" i="12"/>
  <c r="H233" i="13"/>
  <c r="F213" i="8"/>
  <c r="G184" i="8"/>
  <c r="H184" i="8" s="1"/>
  <c r="F62" i="8"/>
  <c r="F147" i="8"/>
  <c r="H147" i="8" s="1"/>
  <c r="G173" i="11"/>
  <c r="J173" i="11"/>
  <c r="F173" i="11"/>
  <c r="G262" i="15"/>
  <c r="H262" i="15" s="1"/>
  <c r="H246" i="18"/>
  <c r="H160" i="17"/>
  <c r="H78" i="18"/>
  <c r="H244" i="18"/>
  <c r="H301" i="18"/>
  <c r="H94" i="21"/>
  <c r="H256" i="21"/>
  <c r="H285" i="18"/>
  <c r="H299" i="9"/>
  <c r="J147" i="15"/>
  <c r="G147" i="15"/>
  <c r="F147" i="15"/>
  <c r="J99" i="15"/>
  <c r="G99" i="15"/>
  <c r="F99" i="15"/>
  <c r="G5" i="15"/>
  <c r="F5" i="15"/>
  <c r="J5" i="15"/>
  <c r="J67" i="15"/>
  <c r="G67" i="15"/>
  <c r="F67" i="15"/>
  <c r="J36" i="15"/>
  <c r="F36" i="15"/>
  <c r="G36" i="15"/>
  <c r="J111" i="15"/>
  <c r="G111" i="15"/>
  <c r="F111" i="15"/>
  <c r="J269" i="15"/>
  <c r="G269" i="15"/>
  <c r="F269" i="15"/>
  <c r="J53" i="15"/>
  <c r="G53" i="15"/>
  <c r="F53" i="15"/>
  <c r="F15" i="15"/>
  <c r="J15" i="15"/>
  <c r="G15" i="15"/>
  <c r="G193" i="15"/>
  <c r="F193" i="15"/>
  <c r="J193" i="15"/>
  <c r="J79" i="15"/>
  <c r="G79" i="15"/>
  <c r="F79" i="15"/>
  <c r="J165" i="15"/>
  <c r="G165" i="15"/>
  <c r="F165" i="15"/>
  <c r="G300" i="15"/>
  <c r="F300" i="15"/>
  <c r="J300" i="15"/>
  <c r="G238" i="15"/>
  <c r="F238" i="15"/>
  <c r="J238" i="15"/>
  <c r="F275" i="15"/>
  <c r="J275" i="15"/>
  <c r="G275" i="15"/>
  <c r="F199" i="15"/>
  <c r="H162" i="17"/>
  <c r="H207" i="17"/>
  <c r="H85" i="19"/>
  <c r="H247" i="20"/>
  <c r="H160" i="10"/>
  <c r="H19" i="10"/>
  <c r="M9" i="19"/>
  <c r="M11" i="19" s="1"/>
  <c r="H109" i="14"/>
  <c r="G8" i="8"/>
  <c r="F8" i="8"/>
  <c r="J8" i="8"/>
  <c r="H271" i="8"/>
  <c r="H172" i="12"/>
  <c r="H5" i="14"/>
  <c r="H34" i="13"/>
  <c r="J137" i="8"/>
  <c r="G137" i="8"/>
  <c r="F137" i="8"/>
  <c r="H139" i="8"/>
  <c r="H227" i="8"/>
  <c r="H163" i="9"/>
  <c r="H190" i="12"/>
  <c r="H202" i="10"/>
  <c r="H51" i="13"/>
  <c r="H46" i="14"/>
  <c r="H50" i="14"/>
  <c r="H230" i="12"/>
  <c r="H139" i="10"/>
  <c r="H155" i="10"/>
  <c r="H242" i="12"/>
  <c r="H148" i="13"/>
  <c r="H247" i="13"/>
  <c r="H248" i="14"/>
  <c r="J113" i="8"/>
  <c r="G113" i="8"/>
  <c r="F113" i="8"/>
  <c r="G9" i="22"/>
  <c r="J9" i="22"/>
  <c r="F9" i="22"/>
  <c r="H9" i="22" s="1"/>
  <c r="J23" i="8"/>
  <c r="G23" i="8"/>
  <c r="F23" i="8"/>
  <c r="H182" i="10"/>
  <c r="H208" i="12"/>
  <c r="H170" i="12"/>
  <c r="H216" i="10"/>
  <c r="H45" i="13"/>
  <c r="H6" i="13"/>
  <c r="H30" i="14"/>
  <c r="F219" i="8"/>
  <c r="H131" i="8"/>
  <c r="H240" i="8"/>
  <c r="H227" i="9"/>
  <c r="H176" i="12"/>
  <c r="H64" i="13"/>
  <c r="H11" i="13"/>
  <c r="H221" i="12"/>
  <c r="H207" i="13"/>
  <c r="H179" i="14"/>
  <c r="H37" i="9"/>
  <c r="H135" i="9"/>
  <c r="H264" i="10"/>
  <c r="H195" i="12"/>
  <c r="H213" i="12"/>
  <c r="G232" i="8"/>
  <c r="F232" i="8"/>
  <c r="J232" i="8"/>
  <c r="J181" i="8"/>
  <c r="G181" i="8"/>
  <c r="F181" i="8"/>
  <c r="F262" i="8"/>
  <c r="J262" i="8"/>
  <c r="G262" i="8"/>
  <c r="F274" i="8"/>
  <c r="J274" i="8"/>
  <c r="G274" i="8"/>
  <c r="J36" i="8"/>
  <c r="G36" i="8"/>
  <c r="F36" i="8"/>
  <c r="J84" i="8"/>
  <c r="G84" i="8"/>
  <c r="F84" i="8"/>
  <c r="F194" i="8"/>
  <c r="J194" i="8"/>
  <c r="G194" i="8"/>
  <c r="J197" i="8"/>
  <c r="G197" i="8"/>
  <c r="F197" i="8"/>
  <c r="F150" i="8"/>
  <c r="J150" i="8"/>
  <c r="G150" i="8"/>
  <c r="F294" i="8"/>
  <c r="J294" i="8"/>
  <c r="G294" i="8"/>
  <c r="G97" i="8"/>
  <c r="F97" i="8"/>
  <c r="J97" i="8"/>
  <c r="H31" i="9"/>
  <c r="H280" i="12"/>
  <c r="H108" i="14"/>
  <c r="H138" i="13"/>
  <c r="H281" i="13"/>
  <c r="H299" i="14"/>
  <c r="H98" i="8"/>
  <c r="H96" i="12"/>
  <c r="H36" i="12"/>
  <c r="J4" i="22"/>
  <c r="G4" i="22"/>
  <c r="F4" i="22"/>
  <c r="H4" i="22" s="1"/>
  <c r="H123" i="8"/>
  <c r="H179" i="8"/>
  <c r="F144" i="8"/>
  <c r="H144" i="8" s="1"/>
  <c r="H109" i="10"/>
  <c r="H92" i="12"/>
  <c r="H200" i="9"/>
  <c r="H149" i="10"/>
  <c r="H45" i="12"/>
  <c r="H283" i="14"/>
  <c r="H174" i="13"/>
  <c r="H58" i="14"/>
  <c r="J229" i="8"/>
  <c r="G229" i="8"/>
  <c r="F229" i="8"/>
  <c r="H74" i="14"/>
  <c r="G213" i="8"/>
  <c r="J17" i="22"/>
  <c r="G17" i="22"/>
  <c r="F17" i="22"/>
  <c r="H17" i="22" s="1"/>
  <c r="G62" i="8"/>
  <c r="F228" i="8"/>
  <c r="H228" i="8" s="1"/>
  <c r="H114" i="12"/>
  <c r="H169" i="14"/>
  <c r="J92" i="15"/>
  <c r="F92" i="15"/>
  <c r="G92" i="15"/>
  <c r="H265" i="16"/>
  <c r="H21" i="17"/>
  <c r="H288" i="17"/>
  <c r="H14" i="18"/>
  <c r="H36" i="19"/>
  <c r="H68" i="19"/>
  <c r="H62" i="20"/>
  <c r="H103" i="20"/>
  <c r="H106" i="21"/>
  <c r="H189" i="21"/>
  <c r="H210" i="22"/>
  <c r="H292" i="22"/>
  <c r="H161" i="22"/>
  <c r="H100" i="22"/>
  <c r="H120" i="11"/>
  <c r="H223" i="9"/>
  <c r="J3" i="15"/>
  <c r="G3" i="15"/>
  <c r="F3" i="15"/>
  <c r="J24" i="15"/>
  <c r="G24" i="15"/>
  <c r="F24" i="15"/>
  <c r="J59" i="15"/>
  <c r="G59" i="15"/>
  <c r="F59" i="15"/>
  <c r="J191" i="15"/>
  <c r="G191" i="15"/>
  <c r="F191" i="15"/>
  <c r="J113" i="15"/>
  <c r="G113" i="15"/>
  <c r="F113" i="15"/>
  <c r="F112" i="15"/>
  <c r="G112" i="15"/>
  <c r="J133" i="15"/>
  <c r="G133" i="15"/>
  <c r="F133" i="15"/>
  <c r="G6" i="15"/>
  <c r="F6" i="15"/>
  <c r="J6" i="15"/>
  <c r="J69" i="15"/>
  <c r="G69" i="15"/>
  <c r="F69" i="15"/>
  <c r="G22" i="15"/>
  <c r="F22" i="15"/>
  <c r="J22" i="15"/>
  <c r="J241" i="15"/>
  <c r="G241" i="15"/>
  <c r="F241" i="15"/>
  <c r="J83" i="15"/>
  <c r="G83" i="15"/>
  <c r="F83" i="15"/>
  <c r="J189" i="15"/>
  <c r="F189" i="15"/>
  <c r="G189" i="15"/>
  <c r="F188" i="15"/>
  <c r="G188" i="15"/>
  <c r="J285" i="15"/>
  <c r="G285" i="15"/>
  <c r="F285" i="15"/>
  <c r="J253" i="15"/>
  <c r="G253" i="15"/>
  <c r="F253" i="15"/>
  <c r="F279" i="15"/>
  <c r="J279" i="15"/>
  <c r="G279" i="15"/>
  <c r="G298" i="15"/>
  <c r="H298" i="15" s="1"/>
  <c r="G199" i="15"/>
  <c r="H204" i="16"/>
  <c r="H17" i="18"/>
  <c r="H254" i="18"/>
  <c r="H114" i="19"/>
  <c r="H278" i="22"/>
  <c r="H155" i="22"/>
  <c r="H277" i="18"/>
  <c r="H146" i="10"/>
  <c r="H207" i="14"/>
  <c r="H106" i="16"/>
  <c r="J189" i="8"/>
  <c r="G189" i="8"/>
  <c r="F189" i="8"/>
  <c r="J6" i="8"/>
  <c r="G6" i="8"/>
  <c r="F6" i="8"/>
  <c r="G148" i="8"/>
  <c r="F148" i="8"/>
  <c r="J148" i="8"/>
  <c r="F106" i="8"/>
  <c r="J106" i="8"/>
  <c r="G106" i="8"/>
  <c r="F198" i="8"/>
  <c r="J198" i="8"/>
  <c r="G198" i="8"/>
  <c r="J13" i="15"/>
  <c r="G13" i="15"/>
  <c r="F13" i="15"/>
  <c r="G12" i="15"/>
  <c r="F12" i="15"/>
  <c r="G85" i="15"/>
  <c r="F85" i="15"/>
  <c r="J85" i="15"/>
  <c r="J257" i="15"/>
  <c r="F257" i="15"/>
  <c r="G257" i="15"/>
  <c r="J249" i="8"/>
  <c r="G249" i="8"/>
  <c r="F249" i="8"/>
  <c r="H285" i="13"/>
  <c r="J78" i="8"/>
  <c r="G78" i="8"/>
  <c r="F78" i="8"/>
  <c r="H120" i="10"/>
  <c r="G219" i="8"/>
  <c r="H120" i="9"/>
  <c r="H264" i="9"/>
  <c r="H55" i="13"/>
  <c r="H2" i="13"/>
  <c r="M8" i="13"/>
  <c r="H197" i="13"/>
  <c r="H234" i="13"/>
  <c r="H72" i="14"/>
  <c r="H265" i="13"/>
  <c r="J277" i="8"/>
  <c r="G277" i="8"/>
  <c r="F277" i="8"/>
  <c r="J21" i="8"/>
  <c r="G21" i="8"/>
  <c r="F21" i="8"/>
  <c r="F286" i="8"/>
  <c r="J286" i="8"/>
  <c r="G286" i="8"/>
  <c r="J40" i="8"/>
  <c r="G40" i="8"/>
  <c r="F40" i="8"/>
  <c r="J88" i="8"/>
  <c r="G88" i="8"/>
  <c r="F88" i="8"/>
  <c r="F206" i="8"/>
  <c r="J206" i="8"/>
  <c r="G206" i="8"/>
  <c r="J209" i="8"/>
  <c r="G209" i="8"/>
  <c r="F209" i="8"/>
  <c r="F162" i="8"/>
  <c r="J162" i="8"/>
  <c r="G162" i="8"/>
  <c r="G53" i="8"/>
  <c r="F53" i="8"/>
  <c r="J53" i="8"/>
  <c r="G101" i="8"/>
  <c r="F101" i="8"/>
  <c r="J101" i="8"/>
  <c r="H22" i="9"/>
  <c r="H89" i="12"/>
  <c r="H262" i="13"/>
  <c r="G29" i="8"/>
  <c r="F29" i="8"/>
  <c r="J29" i="8"/>
  <c r="F132" i="8"/>
  <c r="H150" i="9"/>
  <c r="H222" i="9"/>
  <c r="H238" i="12"/>
  <c r="H241" i="13"/>
  <c r="H297" i="13"/>
  <c r="J47" i="8"/>
  <c r="F47" i="8"/>
  <c r="G47" i="8"/>
  <c r="H269" i="12"/>
  <c r="H224" i="13"/>
  <c r="M9" i="14"/>
  <c r="M11" i="14" s="1"/>
  <c r="H97" i="13"/>
  <c r="H169" i="13"/>
  <c r="F156" i="8"/>
  <c r="H225" i="9"/>
  <c r="H262" i="12"/>
  <c r="H130" i="9"/>
  <c r="H279" i="14"/>
  <c r="H184" i="14"/>
  <c r="J10" i="22"/>
  <c r="G10" i="22"/>
  <c r="F10" i="22"/>
  <c r="G214" i="15"/>
  <c r="J214" i="15"/>
  <c r="F214" i="15"/>
  <c r="H171" i="20"/>
  <c r="H66" i="16"/>
  <c r="G189" i="11"/>
  <c r="F189" i="11"/>
  <c r="J189" i="11"/>
  <c r="J119" i="15"/>
  <c r="G119" i="15"/>
  <c r="F119" i="15"/>
  <c r="G118" i="15"/>
  <c r="F118" i="15"/>
  <c r="J139" i="15"/>
  <c r="G139" i="15"/>
  <c r="F139" i="15"/>
  <c r="J151" i="15"/>
  <c r="G151" i="15"/>
  <c r="F151" i="15"/>
  <c r="J11" i="15"/>
  <c r="G11" i="15"/>
  <c r="F11" i="15"/>
  <c r="J161" i="15"/>
  <c r="G161" i="15"/>
  <c r="F161" i="15"/>
  <c r="J135" i="15"/>
  <c r="G135" i="15"/>
  <c r="F135" i="15"/>
  <c r="G134" i="15"/>
  <c r="F134" i="15"/>
  <c r="G23" i="15"/>
  <c r="J23" i="15"/>
  <c r="F23" i="15"/>
  <c r="J101" i="15"/>
  <c r="G101" i="15"/>
  <c r="F101" i="15"/>
  <c r="G73" i="15"/>
  <c r="F73" i="15"/>
  <c r="J73" i="15"/>
  <c r="G288" i="15"/>
  <c r="F288" i="15"/>
  <c r="J288" i="15"/>
  <c r="J87" i="15"/>
  <c r="G87" i="15"/>
  <c r="F87" i="15"/>
  <c r="J265" i="15"/>
  <c r="G265" i="15"/>
  <c r="F265" i="15"/>
  <c r="G266" i="15"/>
  <c r="J266" i="15"/>
  <c r="F266" i="15"/>
  <c r="G272" i="15"/>
  <c r="F272" i="15"/>
  <c r="J272" i="15"/>
  <c r="F283" i="15"/>
  <c r="J283" i="15"/>
  <c r="G283" i="15"/>
  <c r="G268" i="8"/>
  <c r="F268" i="8"/>
  <c r="J268" i="8"/>
  <c r="H35" i="14"/>
  <c r="J129" i="8"/>
  <c r="G129" i="8"/>
  <c r="F129" i="8"/>
  <c r="H296" i="10"/>
  <c r="H182" i="9"/>
  <c r="F248" i="8"/>
  <c r="H289" i="10"/>
  <c r="H299" i="13"/>
  <c r="H171" i="13"/>
  <c r="H47" i="9"/>
  <c r="H59" i="10"/>
  <c r="H206" i="10"/>
  <c r="J285" i="8"/>
  <c r="G285" i="8"/>
  <c r="F285" i="8"/>
  <c r="F284" i="8"/>
  <c r="G284" i="8"/>
  <c r="F128" i="8"/>
  <c r="H171" i="9"/>
  <c r="J75" i="8"/>
  <c r="F75" i="8"/>
  <c r="G75" i="8"/>
  <c r="J31" i="8"/>
  <c r="F31" i="8"/>
  <c r="G31" i="8"/>
  <c r="M9" i="13"/>
  <c r="M11" i="13" s="1"/>
  <c r="G172" i="8"/>
  <c r="F172" i="8"/>
  <c r="J172" i="8"/>
  <c r="F164" i="8"/>
  <c r="H146" i="9"/>
  <c r="H239" i="10"/>
  <c r="H263" i="13"/>
  <c r="F178" i="8"/>
  <c r="J178" i="8"/>
  <c r="G178" i="8"/>
  <c r="F190" i="8"/>
  <c r="J190" i="8"/>
  <c r="G190" i="8"/>
  <c r="J44" i="8"/>
  <c r="G44" i="8"/>
  <c r="F44" i="8"/>
  <c r="G43" i="8"/>
  <c r="H43" i="8" s="1"/>
  <c r="J92" i="8"/>
  <c r="G92" i="8"/>
  <c r="F92" i="8"/>
  <c r="F218" i="8"/>
  <c r="J218" i="8"/>
  <c r="G218" i="8"/>
  <c r="J221" i="8"/>
  <c r="G221" i="8"/>
  <c r="F221" i="8"/>
  <c r="F174" i="8"/>
  <c r="J174" i="8"/>
  <c r="G174" i="8"/>
  <c r="G57" i="8"/>
  <c r="F57" i="8"/>
  <c r="J57" i="8"/>
  <c r="H150" i="12"/>
  <c r="H200" i="12"/>
  <c r="G6" i="22"/>
  <c r="F6" i="22"/>
  <c r="H6" i="22" s="1"/>
  <c r="J6" i="22"/>
  <c r="G132" i="8"/>
  <c r="H191" i="9"/>
  <c r="H191" i="12"/>
  <c r="H79" i="12"/>
  <c r="H47" i="12"/>
  <c r="H283" i="9"/>
  <c r="H251" i="13"/>
  <c r="G256" i="8"/>
  <c r="F256" i="8"/>
  <c r="J256" i="8"/>
  <c r="J105" i="8"/>
  <c r="G105" i="8"/>
  <c r="F105" i="8"/>
  <c r="H292" i="9"/>
  <c r="H43" i="12"/>
  <c r="H145" i="14"/>
  <c r="H77" i="13"/>
  <c r="H90" i="13"/>
  <c r="H27" i="14"/>
  <c r="G208" i="8"/>
  <c r="F208" i="8"/>
  <c r="J208" i="8"/>
  <c r="G207" i="8"/>
  <c r="F207" i="8"/>
  <c r="G156" i="8"/>
  <c r="H199" i="9"/>
  <c r="H117" i="10"/>
  <c r="H115" i="12"/>
  <c r="H37" i="12"/>
  <c r="H73" i="17"/>
  <c r="H161" i="16"/>
  <c r="H168" i="16"/>
  <c r="H256" i="16"/>
  <c r="H16" i="17"/>
  <c r="H238" i="18"/>
  <c r="H10" i="18"/>
  <c r="H132" i="18"/>
  <c r="H146" i="18"/>
  <c r="H35" i="19"/>
  <c r="H164" i="19"/>
  <c r="H231" i="20"/>
  <c r="H19" i="21"/>
  <c r="H117" i="16"/>
  <c r="H133" i="16"/>
  <c r="H9" i="17"/>
  <c r="H88" i="18"/>
  <c r="H252" i="18"/>
  <c r="H178" i="21"/>
  <c r="H193" i="12"/>
  <c r="H118" i="13"/>
  <c r="H168" i="13"/>
  <c r="H297" i="14"/>
  <c r="J9" i="15"/>
  <c r="G9" i="15"/>
  <c r="F9" i="15"/>
  <c r="G282" i="15"/>
  <c r="F282" i="15"/>
  <c r="J282" i="15"/>
  <c r="J7" i="15"/>
  <c r="G7" i="15"/>
  <c r="F7" i="15"/>
  <c r="J187" i="15"/>
  <c r="G187" i="15"/>
  <c r="F187" i="15"/>
  <c r="G186" i="15"/>
  <c r="F186" i="15"/>
  <c r="G218" i="15"/>
  <c r="J218" i="15"/>
  <c r="F218" i="15"/>
  <c r="J157" i="15"/>
  <c r="G157" i="15"/>
  <c r="F157" i="15"/>
  <c r="G35" i="15"/>
  <c r="J35" i="15"/>
  <c r="F35" i="15"/>
  <c r="J125" i="15"/>
  <c r="G125" i="15"/>
  <c r="F125" i="15"/>
  <c r="G77" i="15"/>
  <c r="F77" i="15"/>
  <c r="J77" i="15"/>
  <c r="F31" i="15"/>
  <c r="J31" i="15"/>
  <c r="G31" i="15"/>
  <c r="J91" i="15"/>
  <c r="G91" i="15"/>
  <c r="F91" i="15"/>
  <c r="G90" i="15"/>
  <c r="F90" i="15"/>
  <c r="G284" i="15"/>
  <c r="F284" i="15"/>
  <c r="J284" i="15"/>
  <c r="J289" i="15"/>
  <c r="G289" i="15"/>
  <c r="F289" i="15"/>
  <c r="G278" i="15"/>
  <c r="F278" i="15"/>
  <c r="J278" i="15"/>
  <c r="F287" i="15"/>
  <c r="J287" i="15"/>
  <c r="G287" i="15"/>
  <c r="H238" i="16"/>
  <c r="H60" i="17"/>
  <c r="H236" i="18"/>
  <c r="H180" i="18"/>
  <c r="H186" i="19"/>
  <c r="H16" i="20"/>
  <c r="H135" i="20"/>
  <c r="H194" i="21"/>
  <c r="H106" i="20"/>
  <c r="H143" i="22"/>
  <c r="H136" i="10"/>
  <c r="G162" i="15"/>
  <c r="F162" i="15"/>
  <c r="J162" i="15"/>
  <c r="J100" i="8"/>
  <c r="G100" i="8"/>
  <c r="F100" i="8"/>
  <c r="J45" i="15"/>
  <c r="G45" i="15"/>
  <c r="F45" i="15"/>
  <c r="F41" i="15"/>
  <c r="J41" i="15"/>
  <c r="G41" i="15"/>
  <c r="F295" i="15"/>
  <c r="J295" i="15"/>
  <c r="G295" i="15"/>
  <c r="J237" i="8"/>
  <c r="G237" i="8"/>
  <c r="F237" i="8"/>
  <c r="J125" i="8"/>
  <c r="G125" i="8"/>
  <c r="F125" i="8"/>
  <c r="H180" i="8"/>
  <c r="H152" i="10"/>
  <c r="H235" i="12"/>
  <c r="H197" i="12"/>
  <c r="H209" i="12"/>
  <c r="H95" i="14"/>
  <c r="H199" i="13"/>
  <c r="H114" i="14"/>
  <c r="H70" i="14"/>
  <c r="J145" i="8"/>
  <c r="G145" i="8"/>
  <c r="F145" i="8"/>
  <c r="G248" i="8"/>
  <c r="H124" i="12"/>
  <c r="H225" i="12"/>
  <c r="H219" i="14"/>
  <c r="H278" i="13"/>
  <c r="H76" i="13"/>
  <c r="H196" i="13"/>
  <c r="H78" i="13"/>
  <c r="H102" i="13"/>
  <c r="H142" i="14"/>
  <c r="H282" i="10"/>
  <c r="H111" i="10"/>
  <c r="H143" i="14"/>
  <c r="H119" i="14"/>
  <c r="H92" i="13"/>
  <c r="H286" i="12"/>
  <c r="H229" i="14"/>
  <c r="G128" i="8"/>
  <c r="H95" i="8"/>
  <c r="H51" i="9"/>
  <c r="H243" i="12"/>
  <c r="H119" i="12"/>
  <c r="H51" i="12"/>
  <c r="H200" i="13"/>
  <c r="H150" i="13"/>
  <c r="H138" i="14"/>
  <c r="J79" i="8"/>
  <c r="F79" i="8"/>
  <c r="G79" i="8"/>
  <c r="H239" i="12"/>
  <c r="H34" i="14"/>
  <c r="G164" i="8"/>
  <c r="H56" i="12"/>
  <c r="H86" i="10"/>
  <c r="H50" i="12"/>
  <c r="H157" i="14"/>
  <c r="H277" i="13"/>
  <c r="G11" i="8"/>
  <c r="J11" i="8"/>
  <c r="F11" i="8"/>
  <c r="J9" i="8"/>
  <c r="F9" i="8"/>
  <c r="G9" i="8"/>
  <c r="J48" i="8"/>
  <c r="G48" i="8"/>
  <c r="F48" i="8"/>
  <c r="J96" i="8"/>
  <c r="G96" i="8"/>
  <c r="F96" i="8"/>
  <c r="F230" i="8"/>
  <c r="J230" i="8"/>
  <c r="G230" i="8"/>
  <c r="J233" i="8"/>
  <c r="G233" i="8"/>
  <c r="F233" i="8"/>
  <c r="F186" i="8"/>
  <c r="J186" i="8"/>
  <c r="G186" i="8"/>
  <c r="G61" i="8"/>
  <c r="F61" i="8"/>
  <c r="J61" i="8"/>
  <c r="H155" i="8"/>
  <c r="H20" i="12"/>
  <c r="H68" i="13"/>
  <c r="H262" i="14"/>
  <c r="H139" i="14"/>
  <c r="H237" i="12"/>
  <c r="H268" i="13"/>
  <c r="J241" i="8"/>
  <c r="G241" i="8"/>
  <c r="F241" i="8"/>
  <c r="H96" i="9"/>
  <c r="H137" i="12"/>
  <c r="H246" i="14"/>
  <c r="H83" i="14"/>
  <c r="J297" i="8"/>
  <c r="G297" i="8"/>
  <c r="F297" i="8"/>
  <c r="J301" i="8"/>
  <c r="G301" i="8"/>
  <c r="F301" i="8"/>
  <c r="H250" i="12"/>
  <c r="H108" i="10"/>
  <c r="H225" i="13"/>
  <c r="H224" i="14"/>
  <c r="H191" i="8"/>
  <c r="H152" i="12"/>
  <c r="H260" i="12"/>
  <c r="H141" i="14"/>
  <c r="H46" i="13"/>
  <c r="H146" i="14"/>
  <c r="F291" i="8"/>
  <c r="H291" i="8" s="1"/>
  <c r="H115" i="8"/>
  <c r="H41" i="16"/>
  <c r="H132" i="16"/>
  <c r="H188" i="17"/>
  <c r="H268" i="18"/>
  <c r="H209" i="19"/>
  <c r="H63" i="21"/>
  <c r="H275" i="17"/>
  <c r="H57" i="20"/>
  <c r="H192" i="20"/>
  <c r="H265" i="10"/>
  <c r="H28" i="13"/>
  <c r="J143" i="15"/>
  <c r="G143" i="15"/>
  <c r="F143" i="15"/>
  <c r="G142" i="15"/>
  <c r="F142" i="15"/>
  <c r="J163" i="15"/>
  <c r="G163" i="15"/>
  <c r="F163" i="15"/>
  <c r="G198" i="15"/>
  <c r="F198" i="15"/>
  <c r="J198" i="15"/>
  <c r="G234" i="15"/>
  <c r="J234" i="15"/>
  <c r="F234" i="15"/>
  <c r="G226" i="15"/>
  <c r="J226" i="15"/>
  <c r="F226" i="15"/>
  <c r="J159" i="15"/>
  <c r="G159" i="15"/>
  <c r="F159" i="15"/>
  <c r="J105" i="15"/>
  <c r="G105" i="15"/>
  <c r="F105" i="15"/>
  <c r="F104" i="15"/>
  <c r="G104" i="15"/>
  <c r="J149" i="15"/>
  <c r="G149" i="15"/>
  <c r="F149" i="15"/>
  <c r="G81" i="15"/>
  <c r="F81" i="15"/>
  <c r="J81" i="15"/>
  <c r="J39" i="15"/>
  <c r="G39" i="15"/>
  <c r="F39" i="15"/>
  <c r="J95" i="15"/>
  <c r="G95" i="15"/>
  <c r="F95" i="15"/>
  <c r="J205" i="15"/>
  <c r="F205" i="15"/>
  <c r="G205" i="15"/>
  <c r="G204" i="15"/>
  <c r="F204" i="15"/>
  <c r="J245" i="15"/>
  <c r="G245" i="15"/>
  <c r="F245" i="15"/>
  <c r="J301" i="15"/>
  <c r="G301" i="15"/>
  <c r="F301" i="15"/>
  <c r="F291" i="15"/>
  <c r="J291" i="15"/>
  <c r="G291" i="15"/>
  <c r="H229" i="16"/>
  <c r="H65" i="17"/>
  <c r="H129" i="16"/>
  <c r="H161" i="17"/>
  <c r="H4" i="17"/>
  <c r="H292" i="18"/>
  <c r="H42" i="21"/>
  <c r="H258" i="21"/>
  <c r="H106" i="18"/>
  <c r="H187" i="20"/>
  <c r="H293" i="20"/>
  <c r="H151" i="10"/>
  <c r="H283" i="13"/>
  <c r="G98" i="15"/>
  <c r="F98" i="15"/>
  <c r="J98" i="15"/>
  <c r="G66" i="15"/>
  <c r="J66" i="15"/>
  <c r="F66" i="15"/>
  <c r="H246" i="16"/>
  <c r="F251" i="15"/>
  <c r="J251" i="15"/>
  <c r="G251" i="15"/>
  <c r="H258" i="12"/>
  <c r="M16" i="11"/>
  <c r="J2" i="11"/>
  <c r="G2" i="11"/>
  <c r="F2" i="11"/>
  <c r="F149" i="11"/>
  <c r="J149" i="11"/>
  <c r="G149" i="11"/>
  <c r="G201" i="11"/>
  <c r="F201" i="11"/>
  <c r="J201" i="11"/>
  <c r="J239" i="11"/>
  <c r="F239" i="11"/>
  <c r="G239" i="11"/>
  <c r="J165" i="11"/>
  <c r="G165" i="11"/>
  <c r="F165" i="11"/>
  <c r="J76" i="11"/>
  <c r="G76" i="11"/>
  <c r="F76" i="11"/>
  <c r="J99" i="11"/>
  <c r="G99" i="11"/>
  <c r="F99" i="11"/>
  <c r="J71" i="11"/>
  <c r="G71" i="11"/>
  <c r="F71" i="11"/>
  <c r="J179" i="11"/>
  <c r="F179" i="11"/>
  <c r="G179" i="11"/>
  <c r="J59" i="11"/>
  <c r="G59" i="11"/>
  <c r="F59" i="11"/>
  <c r="G265" i="11"/>
  <c r="F265" i="11"/>
  <c r="J265" i="11"/>
  <c r="J51" i="11"/>
  <c r="G51" i="11"/>
  <c r="F51" i="11"/>
  <c r="F164" i="11"/>
  <c r="J164" i="11"/>
  <c r="G164" i="11"/>
  <c r="G110" i="11"/>
  <c r="F110" i="11"/>
  <c r="J110" i="11"/>
  <c r="J15" i="11"/>
  <c r="G15" i="11"/>
  <c r="F15" i="11"/>
  <c r="F200" i="11"/>
  <c r="J200" i="11"/>
  <c r="G200" i="11"/>
  <c r="J73" i="11"/>
  <c r="F73" i="11"/>
  <c r="G73" i="11"/>
  <c r="J187" i="11"/>
  <c r="F187" i="11"/>
  <c r="G187" i="11"/>
  <c r="J19" i="11"/>
  <c r="F19" i="11"/>
  <c r="G19" i="11"/>
  <c r="J9" i="11"/>
  <c r="G9" i="11"/>
  <c r="F9" i="11"/>
  <c r="G122" i="11"/>
  <c r="F122" i="11"/>
  <c r="J122" i="11"/>
  <c r="J77" i="11"/>
  <c r="F77" i="11"/>
  <c r="G77" i="11"/>
  <c r="J238" i="11"/>
  <c r="G238" i="11"/>
  <c r="F238" i="11"/>
  <c r="F160" i="11"/>
  <c r="J160" i="11"/>
  <c r="G160" i="11"/>
  <c r="H6" i="17"/>
  <c r="H165" i="16"/>
  <c r="H46" i="18"/>
  <c r="H49" i="21"/>
  <c r="H258" i="18"/>
  <c r="H147" i="17"/>
  <c r="H267" i="20"/>
  <c r="H34" i="9"/>
  <c r="J16" i="15"/>
  <c r="G16" i="15"/>
  <c r="F16" i="15"/>
  <c r="H5" i="18"/>
  <c r="H44" i="20"/>
  <c r="H292" i="21"/>
  <c r="H126" i="21"/>
  <c r="H207" i="10"/>
  <c r="G34" i="15"/>
  <c r="F34" i="15"/>
  <c r="J34" i="15"/>
  <c r="H170" i="16"/>
  <c r="H274" i="16"/>
  <c r="H124" i="19"/>
  <c r="H251" i="9"/>
  <c r="H44" i="17"/>
  <c r="H242" i="16"/>
  <c r="H54" i="18"/>
  <c r="H94" i="19"/>
  <c r="H202" i="16"/>
  <c r="H275" i="14"/>
  <c r="H137" i="14"/>
  <c r="H246" i="19"/>
  <c r="H60" i="19"/>
  <c r="H27" i="20"/>
  <c r="H199" i="22"/>
  <c r="H255" i="12"/>
  <c r="J63" i="11"/>
  <c r="G63" i="11"/>
  <c r="F63" i="11"/>
  <c r="H152" i="16"/>
  <c r="H2" i="18"/>
  <c r="M8" i="18"/>
  <c r="H261" i="18"/>
  <c r="H25" i="19"/>
  <c r="H167" i="19"/>
  <c r="H128" i="19"/>
  <c r="H188" i="19"/>
  <c r="H289" i="20"/>
  <c r="H212" i="22"/>
  <c r="H242" i="17"/>
  <c r="H276" i="18"/>
  <c r="H238" i="20"/>
  <c r="H179" i="20"/>
  <c r="H3" i="20"/>
  <c r="H285" i="20"/>
  <c r="H201" i="21"/>
  <c r="H8" i="21"/>
  <c r="H197" i="21"/>
  <c r="H252" i="22"/>
  <c r="H50" i="22"/>
  <c r="H206" i="21"/>
  <c r="H131" i="22"/>
  <c r="H254" i="22"/>
  <c r="H289" i="18"/>
  <c r="H218" i="19"/>
  <c r="H73" i="21"/>
  <c r="H190" i="21"/>
  <c r="H178" i="10"/>
  <c r="H74" i="10"/>
  <c r="G264" i="15"/>
  <c r="F264" i="15"/>
  <c r="J264" i="15"/>
  <c r="H171" i="16"/>
  <c r="H39" i="16"/>
  <c r="H259" i="17"/>
  <c r="H188" i="16"/>
  <c r="H131" i="16"/>
  <c r="H183" i="17"/>
  <c r="H73" i="18"/>
  <c r="H29" i="20"/>
  <c r="H168" i="20"/>
  <c r="H49" i="20"/>
  <c r="H249" i="21"/>
  <c r="H48" i="21"/>
  <c r="H68" i="21"/>
  <c r="H229" i="21"/>
  <c r="H217" i="12"/>
  <c r="H209" i="14"/>
  <c r="H237" i="16"/>
  <c r="H76" i="16"/>
  <c r="H275" i="16"/>
  <c r="H105" i="17"/>
  <c r="H81" i="17"/>
  <c r="H211" i="17"/>
  <c r="H202" i="19"/>
  <c r="H136" i="19"/>
  <c r="H276" i="19"/>
  <c r="H231" i="19"/>
  <c r="H237" i="20"/>
  <c r="H205" i="20"/>
  <c r="H296" i="21"/>
  <c r="H52" i="21"/>
  <c r="H133" i="22"/>
  <c r="H218" i="21"/>
  <c r="H32" i="22"/>
  <c r="H142" i="13"/>
  <c r="G250" i="15"/>
  <c r="J250" i="15"/>
  <c r="F250" i="15"/>
  <c r="H23" i="17"/>
  <c r="H5" i="16"/>
  <c r="H177" i="16"/>
  <c r="H193" i="17"/>
  <c r="H183" i="18"/>
  <c r="H166" i="19"/>
  <c r="H155" i="19"/>
  <c r="H115" i="19"/>
  <c r="H225" i="21"/>
  <c r="H36" i="21"/>
  <c r="H148" i="21"/>
  <c r="H81" i="22"/>
  <c r="H67" i="12"/>
  <c r="H176" i="10"/>
  <c r="G217" i="11"/>
  <c r="F217" i="11"/>
  <c r="J217" i="11"/>
  <c r="J104" i="11"/>
  <c r="G104" i="11"/>
  <c r="F104" i="11"/>
  <c r="G185" i="11"/>
  <c r="F185" i="11"/>
  <c r="J185" i="11"/>
  <c r="J88" i="11"/>
  <c r="G88" i="11"/>
  <c r="F88" i="11"/>
  <c r="J275" i="11"/>
  <c r="F275" i="11"/>
  <c r="G275" i="11"/>
  <c r="J44" i="11"/>
  <c r="G44" i="11"/>
  <c r="F44" i="11"/>
  <c r="J290" i="11"/>
  <c r="G290" i="11"/>
  <c r="F290" i="11"/>
  <c r="J56" i="11"/>
  <c r="G56" i="11"/>
  <c r="F56" i="11"/>
  <c r="G281" i="11"/>
  <c r="F281" i="11"/>
  <c r="J281" i="11"/>
  <c r="G221" i="11"/>
  <c r="F221" i="11"/>
  <c r="J221" i="11"/>
  <c r="G249" i="11"/>
  <c r="F249" i="11"/>
  <c r="J249" i="11"/>
  <c r="J13" i="11"/>
  <c r="F13" i="11"/>
  <c r="G13" i="11"/>
  <c r="G134" i="11"/>
  <c r="F134" i="11"/>
  <c r="J134" i="11"/>
  <c r="G62" i="11"/>
  <c r="F62" i="11"/>
  <c r="J62" i="11"/>
  <c r="J203" i="11"/>
  <c r="F203" i="11"/>
  <c r="G203" i="11"/>
  <c r="J81" i="11"/>
  <c r="F81" i="11"/>
  <c r="G81" i="11"/>
  <c r="J190" i="11"/>
  <c r="G190" i="11"/>
  <c r="F190" i="11"/>
  <c r="F158" i="11"/>
  <c r="J158" i="11"/>
  <c r="G158" i="11"/>
  <c r="G34" i="11"/>
  <c r="F34" i="11"/>
  <c r="J34" i="11"/>
  <c r="G130" i="11"/>
  <c r="F130" i="11"/>
  <c r="J130" i="11"/>
  <c r="J85" i="11"/>
  <c r="F85" i="11"/>
  <c r="G85" i="11"/>
  <c r="J298" i="11"/>
  <c r="G298" i="11"/>
  <c r="F298" i="11"/>
  <c r="F192" i="11"/>
  <c r="G192" i="11"/>
  <c r="J192" i="11"/>
  <c r="H39" i="14"/>
  <c r="G174" i="15"/>
  <c r="F174" i="15"/>
  <c r="J174" i="15"/>
  <c r="H217" i="16"/>
  <c r="H245" i="16"/>
  <c r="H283" i="16"/>
  <c r="H222" i="19"/>
  <c r="H76" i="19"/>
  <c r="H196" i="19"/>
  <c r="H2" i="20"/>
  <c r="M8" i="20"/>
  <c r="H28" i="20"/>
  <c r="H154" i="22"/>
  <c r="H264" i="21"/>
  <c r="H198" i="16"/>
  <c r="H146" i="16"/>
  <c r="H232" i="20"/>
  <c r="H71" i="21"/>
  <c r="H228" i="22"/>
  <c r="H301" i="14"/>
  <c r="H166" i="16"/>
  <c r="H189" i="16"/>
  <c r="H271" i="16"/>
  <c r="H57" i="18"/>
  <c r="H184" i="19"/>
  <c r="H218" i="20"/>
  <c r="H167" i="20"/>
  <c r="H151" i="20"/>
  <c r="H77" i="20"/>
  <c r="H153" i="20"/>
  <c r="H45" i="21"/>
  <c r="H99" i="21"/>
  <c r="H295" i="20"/>
  <c r="H151" i="21"/>
  <c r="H274" i="22"/>
  <c r="H232" i="22"/>
  <c r="H219" i="22"/>
  <c r="H243" i="10"/>
  <c r="H211" i="10"/>
  <c r="G110" i="15"/>
  <c r="F110" i="15"/>
  <c r="J110" i="15"/>
  <c r="H127" i="17"/>
  <c r="H53" i="18"/>
  <c r="H151" i="18"/>
  <c r="H263" i="18"/>
  <c r="H157" i="19"/>
  <c r="H172" i="21"/>
  <c r="H286" i="21"/>
  <c r="H112" i="22"/>
  <c r="H67" i="13"/>
  <c r="H203" i="14"/>
  <c r="H147" i="16"/>
  <c r="H4" i="16"/>
  <c r="H231" i="17"/>
  <c r="H218" i="17"/>
  <c r="H27" i="18"/>
  <c r="H112" i="17"/>
  <c r="H216" i="18"/>
  <c r="H131" i="19"/>
  <c r="H204" i="18"/>
  <c r="H287" i="19"/>
  <c r="H229" i="10"/>
  <c r="G22" i="11"/>
  <c r="F22" i="11"/>
  <c r="J22" i="11"/>
  <c r="H69" i="17"/>
  <c r="H121" i="16"/>
  <c r="H236" i="17"/>
  <c r="H262" i="16"/>
  <c r="H233" i="17"/>
  <c r="H244" i="16"/>
  <c r="H139" i="17"/>
  <c r="H193" i="18"/>
  <c r="H145" i="19"/>
  <c r="H245" i="19"/>
  <c r="H6" i="20"/>
  <c r="H252" i="21"/>
  <c r="J64" i="11"/>
  <c r="G64" i="11"/>
  <c r="F64" i="11"/>
  <c r="G290" i="15"/>
  <c r="J290" i="15"/>
  <c r="F290" i="15"/>
  <c r="M9" i="18"/>
  <c r="M11" i="18" s="1"/>
  <c r="H187" i="19"/>
  <c r="H77" i="21"/>
  <c r="H180" i="22"/>
  <c r="H211" i="22"/>
  <c r="H29" i="22"/>
  <c r="H10" i="10"/>
  <c r="H48" i="10"/>
  <c r="H196" i="14"/>
  <c r="H269" i="14"/>
  <c r="H285" i="16"/>
  <c r="H29" i="16"/>
  <c r="H248" i="16"/>
  <c r="H227" i="16"/>
  <c r="H300" i="16"/>
  <c r="H57" i="17"/>
  <c r="H27" i="17"/>
  <c r="H272" i="18"/>
  <c r="H96" i="18"/>
  <c r="H28" i="17"/>
  <c r="H225" i="19"/>
  <c r="H295" i="21"/>
  <c r="H235" i="21"/>
  <c r="H17" i="21"/>
  <c r="H31" i="21"/>
  <c r="H202" i="21"/>
  <c r="H234" i="22"/>
  <c r="H38" i="22"/>
  <c r="H87" i="22"/>
  <c r="H127" i="22"/>
  <c r="H24" i="19"/>
  <c r="H78" i="10"/>
  <c r="G42" i="15"/>
  <c r="J42" i="15"/>
  <c r="F42" i="15"/>
  <c r="H76" i="17"/>
  <c r="H290" i="18"/>
  <c r="H87" i="18"/>
  <c r="H59" i="18"/>
  <c r="H254" i="17"/>
  <c r="H191" i="18"/>
  <c r="H172" i="19"/>
  <c r="H38" i="20"/>
  <c r="H230" i="20"/>
  <c r="H280" i="20"/>
  <c r="H15" i="20"/>
  <c r="H301" i="20"/>
  <c r="H57" i="21"/>
  <c r="H26" i="21"/>
  <c r="H173" i="21"/>
  <c r="H198" i="21"/>
  <c r="H262" i="22"/>
  <c r="H204" i="21"/>
  <c r="H228" i="21"/>
  <c r="H255" i="22"/>
  <c r="H5" i="10"/>
  <c r="J76" i="15"/>
  <c r="F76" i="15"/>
  <c r="G76" i="15"/>
  <c r="H163" i="16"/>
  <c r="H31" i="16"/>
  <c r="H32" i="16"/>
  <c r="H92" i="16"/>
  <c r="H280" i="16"/>
  <c r="H65" i="18"/>
  <c r="H250" i="19"/>
  <c r="H76" i="20"/>
  <c r="H26" i="20"/>
  <c r="H215" i="20"/>
  <c r="H147" i="20"/>
  <c r="H74" i="20"/>
  <c r="H63" i="20"/>
  <c r="H162" i="20"/>
  <c r="H133" i="20"/>
  <c r="H231" i="21"/>
  <c r="H239" i="21"/>
  <c r="H5" i="21"/>
  <c r="H177" i="21"/>
  <c r="H229" i="22"/>
  <c r="H216" i="21"/>
  <c r="H287" i="22"/>
  <c r="H63" i="22"/>
  <c r="J153" i="11"/>
  <c r="G153" i="11"/>
  <c r="F153" i="11"/>
  <c r="J291" i="11"/>
  <c r="F291" i="11"/>
  <c r="G291" i="11"/>
  <c r="J96" i="11"/>
  <c r="G96" i="11"/>
  <c r="F96" i="11"/>
  <c r="J271" i="11"/>
  <c r="F271" i="11"/>
  <c r="G271" i="11"/>
  <c r="J80" i="11"/>
  <c r="G80" i="11"/>
  <c r="F80" i="11"/>
  <c r="J52" i="11"/>
  <c r="G52" i="11"/>
  <c r="F52" i="11"/>
  <c r="J214" i="11"/>
  <c r="G214" i="11"/>
  <c r="F214" i="11"/>
  <c r="G225" i="11"/>
  <c r="F225" i="11"/>
  <c r="J225" i="11"/>
  <c r="G237" i="11"/>
  <c r="F237" i="11"/>
  <c r="J237" i="11"/>
  <c r="J136" i="11"/>
  <c r="G136" i="11"/>
  <c r="F136" i="11"/>
  <c r="G205" i="11"/>
  <c r="F205" i="11"/>
  <c r="J205" i="11"/>
  <c r="J3" i="11"/>
  <c r="F3" i="11"/>
  <c r="G3" i="11"/>
  <c r="F236" i="11"/>
  <c r="G236" i="11"/>
  <c r="J236" i="11"/>
  <c r="J6" i="11"/>
  <c r="G6" i="11"/>
  <c r="F6" i="11"/>
  <c r="J206" i="11"/>
  <c r="G206" i="11"/>
  <c r="F206" i="11"/>
  <c r="J89" i="11"/>
  <c r="F89" i="11"/>
  <c r="G89" i="11"/>
  <c r="J250" i="11"/>
  <c r="G250" i="11"/>
  <c r="F250" i="11"/>
  <c r="F188" i="11"/>
  <c r="G188" i="11"/>
  <c r="J188" i="11"/>
  <c r="G42" i="11"/>
  <c r="F42" i="11"/>
  <c r="J42" i="11"/>
  <c r="G138" i="11"/>
  <c r="F138" i="11"/>
  <c r="J138" i="11"/>
  <c r="J93" i="11"/>
  <c r="F93" i="11"/>
  <c r="G93" i="11"/>
  <c r="F252" i="11"/>
  <c r="G252" i="11"/>
  <c r="J252" i="11"/>
  <c r="F208" i="11"/>
  <c r="G208" i="11"/>
  <c r="J208" i="11"/>
  <c r="G268" i="15"/>
  <c r="F268" i="15"/>
  <c r="J268" i="15"/>
  <c r="H176" i="16"/>
  <c r="M9" i="20"/>
  <c r="M11" i="20" s="1"/>
  <c r="H211" i="20"/>
  <c r="H144" i="20"/>
  <c r="H96" i="20"/>
  <c r="H55" i="20"/>
  <c r="H267" i="21"/>
  <c r="H182" i="21"/>
  <c r="H281" i="22"/>
  <c r="H26" i="22"/>
  <c r="H96" i="22"/>
  <c r="H66" i="18"/>
  <c r="H82" i="17"/>
  <c r="H280" i="17"/>
  <c r="H210" i="18"/>
  <c r="H293" i="18"/>
  <c r="H283" i="18"/>
  <c r="H259" i="18"/>
  <c r="H45" i="20"/>
  <c r="H82" i="21"/>
  <c r="H238" i="21"/>
  <c r="G182" i="15"/>
  <c r="F182" i="15"/>
  <c r="J182" i="15"/>
  <c r="H205" i="18"/>
  <c r="H226" i="18"/>
  <c r="H124" i="18"/>
  <c r="H153" i="18"/>
  <c r="H175" i="8"/>
  <c r="H94" i="13"/>
  <c r="H173" i="12"/>
  <c r="H205" i="16"/>
  <c r="H24" i="16"/>
  <c r="H185" i="18"/>
  <c r="H226" i="19"/>
  <c r="H224" i="19"/>
  <c r="H113" i="20"/>
  <c r="H255" i="21"/>
  <c r="H137" i="21"/>
  <c r="H67" i="21"/>
  <c r="H35" i="21"/>
  <c r="H186" i="21"/>
  <c r="H54" i="22"/>
  <c r="H240" i="21"/>
  <c r="H170" i="13"/>
  <c r="J152" i="15"/>
  <c r="F152" i="15"/>
  <c r="G152" i="15"/>
  <c r="H42" i="13"/>
  <c r="J196" i="15"/>
  <c r="F196" i="15"/>
  <c r="G196" i="15"/>
  <c r="G138" i="15"/>
  <c r="F138" i="15"/>
  <c r="J138" i="15"/>
  <c r="H181" i="17"/>
  <c r="H197" i="16"/>
  <c r="H264" i="16"/>
  <c r="H209" i="17"/>
  <c r="H271" i="17"/>
  <c r="H284" i="18"/>
  <c r="H126" i="18"/>
  <c r="H43" i="17"/>
  <c r="H147" i="18"/>
  <c r="H50" i="19"/>
  <c r="H152" i="19"/>
  <c r="H144" i="19"/>
  <c r="H93" i="20"/>
  <c r="H164" i="21"/>
  <c r="H169" i="22"/>
  <c r="G293" i="11"/>
  <c r="F293" i="11"/>
  <c r="J293" i="11"/>
  <c r="G296" i="15"/>
  <c r="F296" i="15"/>
  <c r="J296" i="15"/>
  <c r="J120" i="15"/>
  <c r="F120" i="15"/>
  <c r="G120" i="15"/>
  <c r="H100" i="10"/>
  <c r="J112" i="11"/>
  <c r="G112" i="11"/>
  <c r="F112" i="11"/>
  <c r="J294" i="11"/>
  <c r="G294" i="11"/>
  <c r="F294" i="11"/>
  <c r="J278" i="11"/>
  <c r="G278" i="11"/>
  <c r="F278" i="11"/>
  <c r="G301" i="11"/>
  <c r="F301" i="11"/>
  <c r="J301" i="11"/>
  <c r="J195" i="11"/>
  <c r="F195" i="11"/>
  <c r="G195" i="11"/>
  <c r="J28" i="11"/>
  <c r="G28" i="11"/>
  <c r="F28" i="11"/>
  <c r="J151" i="11"/>
  <c r="G151" i="11"/>
  <c r="F151" i="11"/>
  <c r="J159" i="11"/>
  <c r="G159" i="11"/>
  <c r="F159" i="11"/>
  <c r="J144" i="11"/>
  <c r="G144" i="11"/>
  <c r="F144" i="11"/>
  <c r="J40" i="11"/>
  <c r="G40" i="11"/>
  <c r="F40" i="11"/>
  <c r="J161" i="11"/>
  <c r="G161" i="11"/>
  <c r="F161" i="11"/>
  <c r="G54" i="11"/>
  <c r="F54" i="11"/>
  <c r="J54" i="11"/>
  <c r="G30" i="11"/>
  <c r="F30" i="11"/>
  <c r="J30" i="11"/>
  <c r="F20" i="11"/>
  <c r="J20" i="11"/>
  <c r="G20" i="11"/>
  <c r="J266" i="11"/>
  <c r="G266" i="11"/>
  <c r="F266" i="11"/>
  <c r="J97" i="11"/>
  <c r="F97" i="11"/>
  <c r="H97" i="11" s="1"/>
  <c r="G97" i="11"/>
  <c r="F280" i="11"/>
  <c r="J280" i="11"/>
  <c r="G280" i="11"/>
  <c r="F284" i="11"/>
  <c r="G284" i="11"/>
  <c r="J284" i="11"/>
  <c r="G50" i="11"/>
  <c r="F50" i="11"/>
  <c r="J50" i="11"/>
  <c r="G146" i="11"/>
  <c r="F146" i="11"/>
  <c r="J146" i="11"/>
  <c r="J101" i="11"/>
  <c r="F101" i="11"/>
  <c r="G101" i="11"/>
  <c r="F180" i="11"/>
  <c r="J180" i="11"/>
  <c r="G180" i="11"/>
  <c r="F224" i="11"/>
  <c r="G224" i="11"/>
  <c r="J224" i="11"/>
  <c r="H254" i="10"/>
  <c r="M9" i="17"/>
  <c r="M11" i="17" s="1"/>
  <c r="H218" i="10"/>
  <c r="J60" i="15"/>
  <c r="F60" i="15"/>
  <c r="G60" i="15"/>
  <c r="J128" i="15"/>
  <c r="F128" i="15"/>
  <c r="G128" i="15"/>
  <c r="J132" i="11"/>
  <c r="G132" i="11"/>
  <c r="F132" i="11"/>
  <c r="H36" i="10"/>
  <c r="J127" i="15"/>
  <c r="G127" i="15"/>
  <c r="F127" i="15"/>
  <c r="G70" i="15"/>
  <c r="J70" i="15"/>
  <c r="F70" i="15"/>
  <c r="G62" i="15"/>
  <c r="F62" i="15"/>
  <c r="J62" i="15"/>
  <c r="F211" i="15"/>
  <c r="J211" i="15"/>
  <c r="G211" i="15"/>
  <c r="H234" i="20"/>
  <c r="H271" i="20"/>
  <c r="G245" i="11"/>
  <c r="F245" i="11"/>
  <c r="J245" i="11"/>
  <c r="H102" i="22"/>
  <c r="F156" i="11"/>
  <c r="J156" i="11"/>
  <c r="G156" i="11"/>
  <c r="J103" i="11"/>
  <c r="G103" i="11"/>
  <c r="F103" i="11"/>
  <c r="J287" i="11"/>
  <c r="F287" i="11"/>
  <c r="G287" i="11"/>
  <c r="J211" i="11"/>
  <c r="F211" i="11"/>
  <c r="G211" i="11"/>
  <c r="G261" i="11"/>
  <c r="F261" i="11"/>
  <c r="J261" i="11"/>
  <c r="G157" i="11"/>
  <c r="J157" i="11"/>
  <c r="F157" i="11"/>
  <c r="G193" i="11"/>
  <c r="F193" i="11"/>
  <c r="J193" i="11"/>
  <c r="J178" i="11"/>
  <c r="G178" i="11"/>
  <c r="F178" i="11"/>
  <c r="J48" i="11"/>
  <c r="G48" i="11"/>
  <c r="F48" i="11"/>
  <c r="J175" i="11"/>
  <c r="F175" i="11"/>
  <c r="G175" i="11"/>
  <c r="J128" i="11"/>
  <c r="G128" i="11"/>
  <c r="F128" i="11"/>
  <c r="G94" i="11"/>
  <c r="F94" i="11"/>
  <c r="J94" i="11"/>
  <c r="G78" i="11"/>
  <c r="F78" i="11"/>
  <c r="J78" i="11"/>
  <c r="F166" i="11"/>
  <c r="J166" i="11"/>
  <c r="G166" i="11"/>
  <c r="F296" i="11"/>
  <c r="J296" i="11"/>
  <c r="G296" i="11"/>
  <c r="J105" i="11"/>
  <c r="F105" i="11"/>
  <c r="G105" i="11"/>
  <c r="J283" i="11"/>
  <c r="F283" i="11"/>
  <c r="G283" i="11"/>
  <c r="J12" i="11"/>
  <c r="G12" i="11"/>
  <c r="F12" i="11"/>
  <c r="G58" i="11"/>
  <c r="F58" i="11"/>
  <c r="J58" i="11"/>
  <c r="F162" i="11"/>
  <c r="G162" i="11"/>
  <c r="J162" i="11"/>
  <c r="J109" i="11"/>
  <c r="F109" i="11"/>
  <c r="G109" i="11"/>
  <c r="F196" i="11"/>
  <c r="J196" i="11"/>
  <c r="G196" i="11"/>
  <c r="F240" i="11"/>
  <c r="G240" i="11"/>
  <c r="J240" i="11"/>
  <c r="H268" i="16"/>
  <c r="H6" i="18"/>
  <c r="H161" i="18"/>
  <c r="H37" i="19"/>
  <c r="H174" i="19"/>
  <c r="J171" i="15"/>
  <c r="G171" i="15"/>
  <c r="F171" i="15"/>
  <c r="H201" i="17"/>
  <c r="H287" i="17"/>
  <c r="H150" i="18"/>
  <c r="H268" i="10"/>
  <c r="J24" i="11"/>
  <c r="G24" i="11"/>
  <c r="F24" i="11"/>
  <c r="J56" i="15"/>
  <c r="F56" i="15"/>
  <c r="G56" i="15"/>
  <c r="H38" i="18"/>
  <c r="H143" i="19"/>
  <c r="H18" i="20"/>
  <c r="H85" i="20"/>
  <c r="H4" i="20"/>
  <c r="H49" i="10"/>
  <c r="G54" i="15"/>
  <c r="J54" i="15"/>
  <c r="F54" i="15"/>
  <c r="H190" i="18"/>
  <c r="H142" i="19"/>
  <c r="H276" i="21"/>
  <c r="H122" i="22"/>
  <c r="H99" i="12"/>
  <c r="H233" i="10"/>
  <c r="J88" i="15"/>
  <c r="F88" i="15"/>
  <c r="G88" i="15"/>
  <c r="J132" i="15"/>
  <c r="F132" i="15"/>
  <c r="G132" i="15"/>
  <c r="H25" i="18"/>
  <c r="H243" i="20"/>
  <c r="H200" i="20"/>
  <c r="H182" i="13"/>
  <c r="H190" i="13"/>
  <c r="H41" i="17"/>
  <c r="H141" i="16"/>
  <c r="H128" i="17"/>
  <c r="H292" i="16"/>
  <c r="H195" i="17"/>
  <c r="H211" i="18"/>
  <c r="H86" i="19"/>
  <c r="H183" i="22"/>
  <c r="H195" i="13"/>
  <c r="G58" i="15"/>
  <c r="J58" i="15"/>
  <c r="F58" i="15"/>
  <c r="H251" i="16"/>
  <c r="H74" i="19"/>
  <c r="H120" i="21"/>
  <c r="H28" i="22"/>
  <c r="H177" i="10"/>
  <c r="F4" i="11"/>
  <c r="G4" i="11"/>
  <c r="J4" i="11"/>
  <c r="J116" i="11"/>
  <c r="G116" i="11"/>
  <c r="F116" i="11"/>
  <c r="J95" i="11"/>
  <c r="G95" i="11"/>
  <c r="F95" i="11"/>
  <c r="J87" i="11"/>
  <c r="G87" i="11"/>
  <c r="F87" i="11"/>
  <c r="J198" i="11"/>
  <c r="G198" i="11"/>
  <c r="F198" i="11"/>
  <c r="G285" i="11"/>
  <c r="F285" i="11"/>
  <c r="J285" i="11"/>
  <c r="J67" i="11"/>
  <c r="G67" i="11"/>
  <c r="F67" i="11"/>
  <c r="J155" i="11"/>
  <c r="G155" i="11"/>
  <c r="F155" i="11"/>
  <c r="J199" i="11"/>
  <c r="F199" i="11"/>
  <c r="G199" i="11"/>
  <c r="J135" i="11"/>
  <c r="G135" i="11"/>
  <c r="F135" i="11"/>
  <c r="J32" i="11"/>
  <c r="G32" i="11"/>
  <c r="F32" i="11"/>
  <c r="G118" i="11"/>
  <c r="F118" i="11"/>
  <c r="J118" i="11"/>
  <c r="F220" i="11"/>
  <c r="G220" i="11"/>
  <c r="J220" i="11"/>
  <c r="J186" i="11"/>
  <c r="G186" i="11"/>
  <c r="F186" i="11"/>
  <c r="J299" i="11"/>
  <c r="F299" i="11"/>
  <c r="G299" i="11"/>
  <c r="J113" i="11"/>
  <c r="F113" i="11"/>
  <c r="G113" i="11"/>
  <c r="J286" i="11"/>
  <c r="G286" i="11"/>
  <c r="F286" i="11"/>
  <c r="G26" i="11"/>
  <c r="J26" i="11"/>
  <c r="F26" i="11"/>
  <c r="G66" i="11"/>
  <c r="F66" i="11"/>
  <c r="J66" i="11"/>
  <c r="F268" i="11"/>
  <c r="G268" i="11"/>
  <c r="J268" i="11"/>
  <c r="J117" i="11"/>
  <c r="F117" i="11"/>
  <c r="G117" i="11"/>
  <c r="F212" i="11"/>
  <c r="J212" i="11"/>
  <c r="G212" i="11"/>
  <c r="F256" i="11"/>
  <c r="G256" i="11"/>
  <c r="J256" i="11"/>
  <c r="H49" i="16"/>
  <c r="H13" i="17"/>
  <c r="H104" i="17"/>
  <c r="H74" i="17"/>
  <c r="H28" i="19"/>
  <c r="H177" i="19"/>
  <c r="H229" i="20"/>
  <c r="H146" i="21"/>
  <c r="H80" i="22"/>
  <c r="H156" i="18"/>
  <c r="H193" i="19"/>
  <c r="H261" i="12"/>
  <c r="J167" i="15"/>
  <c r="G167" i="15"/>
  <c r="F167" i="15"/>
  <c r="H203" i="16"/>
  <c r="H71" i="16"/>
  <c r="H136" i="16"/>
  <c r="H225" i="16"/>
  <c r="H132" i="17"/>
  <c r="H58" i="17"/>
  <c r="H127" i="18"/>
  <c r="H135" i="18"/>
  <c r="H292" i="20"/>
  <c r="H268" i="20"/>
  <c r="H120" i="20"/>
  <c r="H79" i="20"/>
  <c r="H67" i="20"/>
  <c r="H207" i="21"/>
  <c r="H104" i="21"/>
  <c r="H10" i="21"/>
  <c r="H133" i="21"/>
  <c r="H134" i="21"/>
  <c r="H127" i="21"/>
  <c r="H224" i="21"/>
  <c r="H33" i="8"/>
  <c r="G82" i="15"/>
  <c r="J82" i="15"/>
  <c r="F82" i="15"/>
  <c r="H231" i="16"/>
  <c r="H172" i="17"/>
  <c r="H100" i="17"/>
  <c r="H33" i="17"/>
  <c r="H64" i="17"/>
  <c r="H131" i="17"/>
  <c r="H261" i="17"/>
  <c r="H157" i="18"/>
  <c r="H271" i="18"/>
  <c r="H63" i="19"/>
  <c r="H201" i="19"/>
  <c r="H87" i="20"/>
  <c r="H136" i="22"/>
  <c r="H294" i="12"/>
  <c r="G210" i="15"/>
  <c r="J210" i="15"/>
  <c r="F210" i="15"/>
  <c r="H154" i="17"/>
  <c r="H58" i="18"/>
  <c r="H93" i="19"/>
  <c r="H243" i="19"/>
  <c r="H217" i="20"/>
  <c r="H157" i="20"/>
  <c r="H235" i="16"/>
  <c r="H97" i="20"/>
  <c r="H89" i="17"/>
  <c r="H152" i="18"/>
  <c r="M8" i="19"/>
  <c r="M20" i="19" s="1"/>
  <c r="L17" i="3" s="1"/>
  <c r="H2" i="19"/>
  <c r="H123" i="20"/>
  <c r="H91" i="20"/>
  <c r="H261" i="21"/>
  <c r="H60" i="21"/>
  <c r="H191" i="21"/>
  <c r="H162" i="21"/>
  <c r="H72" i="22"/>
  <c r="H248" i="12"/>
  <c r="J192" i="15"/>
  <c r="F192" i="15"/>
  <c r="G192" i="15"/>
  <c r="G154" i="15"/>
  <c r="F154" i="15"/>
  <c r="J154" i="15"/>
  <c r="H62" i="17"/>
  <c r="H167" i="17"/>
  <c r="H89" i="18"/>
  <c r="H3" i="19"/>
  <c r="H194" i="19"/>
  <c r="H39" i="20"/>
  <c r="H176" i="19"/>
  <c r="H188" i="20"/>
  <c r="J26" i="15"/>
  <c r="G26" i="15"/>
  <c r="F26" i="15"/>
  <c r="H203" i="17"/>
  <c r="H13" i="18"/>
  <c r="J111" i="11"/>
  <c r="G111" i="11"/>
  <c r="F111" i="11"/>
  <c r="J247" i="11"/>
  <c r="F247" i="11"/>
  <c r="G247" i="11"/>
  <c r="J108" i="11"/>
  <c r="G108" i="11"/>
  <c r="F108" i="11"/>
  <c r="J100" i="11"/>
  <c r="G100" i="11"/>
  <c r="F100" i="11"/>
  <c r="J79" i="11"/>
  <c r="G79" i="11"/>
  <c r="F79" i="11"/>
  <c r="J262" i="11"/>
  <c r="G262" i="11"/>
  <c r="F262" i="11"/>
  <c r="G14" i="11"/>
  <c r="F14" i="11"/>
  <c r="J14" i="11"/>
  <c r="J55" i="11"/>
  <c r="G55" i="11"/>
  <c r="F55" i="11"/>
  <c r="J143" i="11"/>
  <c r="G143" i="11"/>
  <c r="F143" i="11"/>
  <c r="J39" i="11"/>
  <c r="G39" i="11"/>
  <c r="F39" i="11"/>
  <c r="J127" i="11"/>
  <c r="G127" i="11"/>
  <c r="F127" i="11"/>
  <c r="G142" i="11"/>
  <c r="F142" i="11"/>
  <c r="J142" i="11"/>
  <c r="F8" i="11"/>
  <c r="J8" i="11"/>
  <c r="G8" i="11"/>
  <c r="F216" i="11"/>
  <c r="J216" i="11"/>
  <c r="G216" i="11"/>
  <c r="J23" i="11"/>
  <c r="F23" i="11"/>
  <c r="G23" i="11"/>
  <c r="J121" i="11"/>
  <c r="F121" i="11"/>
  <c r="G121" i="11"/>
  <c r="F204" i="11"/>
  <c r="G204" i="11"/>
  <c r="J204" i="11"/>
  <c r="F168" i="11"/>
  <c r="J168" i="11"/>
  <c r="G168" i="11"/>
  <c r="G74" i="11"/>
  <c r="F74" i="11"/>
  <c r="J74" i="11"/>
  <c r="J29" i="11"/>
  <c r="F29" i="11"/>
  <c r="G29" i="11"/>
  <c r="J125" i="11"/>
  <c r="F125" i="11"/>
  <c r="G125" i="11"/>
  <c r="F228" i="11"/>
  <c r="J228" i="11"/>
  <c r="G228" i="11"/>
  <c r="J258" i="11"/>
  <c r="G258" i="11"/>
  <c r="F258" i="11"/>
  <c r="H107" i="17"/>
  <c r="H7" i="18"/>
  <c r="H167" i="18"/>
  <c r="J80" i="15"/>
  <c r="F80" i="15"/>
  <c r="G80" i="15"/>
  <c r="G146" i="15"/>
  <c r="F146" i="15"/>
  <c r="J146" i="15"/>
  <c r="H247" i="19"/>
  <c r="H288" i="21"/>
  <c r="H154" i="21"/>
  <c r="H145" i="22"/>
  <c r="H268" i="21"/>
  <c r="H52" i="22"/>
  <c r="J33" i="15"/>
  <c r="G33" i="15"/>
  <c r="F33" i="15"/>
  <c r="J84" i="15"/>
  <c r="F84" i="15"/>
  <c r="G84" i="15"/>
  <c r="H111" i="16"/>
  <c r="H146" i="17"/>
  <c r="H259" i="15"/>
  <c r="H115" i="18"/>
  <c r="H125" i="22"/>
  <c r="G233" i="11"/>
  <c r="F233" i="11"/>
  <c r="J233" i="11"/>
  <c r="H218" i="14"/>
  <c r="G86" i="15"/>
  <c r="J86" i="15"/>
  <c r="F86" i="15"/>
  <c r="H259" i="16"/>
  <c r="H151" i="17"/>
  <c r="H257" i="17"/>
  <c r="H40" i="12"/>
  <c r="G274" i="15"/>
  <c r="F274" i="15"/>
  <c r="J274" i="15"/>
  <c r="H187" i="16"/>
  <c r="H55" i="16"/>
  <c r="H281" i="17"/>
  <c r="H147" i="19"/>
  <c r="H259" i="19"/>
  <c r="H120" i="22"/>
  <c r="H29" i="18"/>
  <c r="H26" i="19"/>
  <c r="H145" i="21"/>
  <c r="H190" i="22"/>
  <c r="H279" i="19"/>
  <c r="H297" i="10"/>
  <c r="H40" i="10"/>
  <c r="H41" i="10"/>
  <c r="H67" i="10"/>
  <c r="H42" i="10"/>
  <c r="H193" i="10"/>
  <c r="H37" i="17"/>
  <c r="H51" i="18"/>
  <c r="H98" i="18"/>
  <c r="H75" i="19"/>
  <c r="H149" i="21"/>
  <c r="H188" i="21"/>
  <c r="H180" i="21"/>
  <c r="H194" i="22"/>
  <c r="H210" i="13"/>
  <c r="H277" i="14"/>
  <c r="H215" i="16"/>
  <c r="H83" i="16"/>
  <c r="H95" i="17"/>
  <c r="H201" i="18"/>
  <c r="H141" i="19"/>
  <c r="H295" i="19"/>
  <c r="H163" i="20"/>
  <c r="H108" i="20"/>
  <c r="H149" i="22"/>
  <c r="H41" i="22"/>
  <c r="H25" i="22"/>
  <c r="H115" i="10"/>
  <c r="H2" i="16"/>
  <c r="H29" i="17"/>
  <c r="H100" i="18"/>
  <c r="H270" i="18"/>
  <c r="H260" i="18"/>
  <c r="H290" i="17"/>
  <c r="H215" i="18"/>
  <c r="H274" i="20"/>
  <c r="H288" i="22"/>
  <c r="H204" i="22"/>
  <c r="H61" i="22"/>
  <c r="H84" i="12"/>
  <c r="J35" i="11"/>
  <c r="G35" i="11"/>
  <c r="F35" i="11"/>
  <c r="J124" i="11"/>
  <c r="G124" i="11"/>
  <c r="F124" i="11"/>
  <c r="G289" i="11"/>
  <c r="F289" i="11"/>
  <c r="J289" i="11"/>
  <c r="J210" i="11"/>
  <c r="G210" i="11"/>
  <c r="F210" i="11"/>
  <c r="G197" i="11"/>
  <c r="F197" i="11"/>
  <c r="J197" i="11"/>
  <c r="J227" i="11"/>
  <c r="F227" i="11"/>
  <c r="G227" i="11"/>
  <c r="J72" i="11"/>
  <c r="G72" i="11"/>
  <c r="F72" i="11"/>
  <c r="J223" i="11"/>
  <c r="F223" i="11"/>
  <c r="G223" i="11"/>
  <c r="G257" i="11"/>
  <c r="F257" i="11"/>
  <c r="J257" i="11"/>
  <c r="J47" i="11"/>
  <c r="G47" i="11"/>
  <c r="F47" i="11"/>
  <c r="J194" i="11"/>
  <c r="G194" i="11"/>
  <c r="F194" i="11"/>
  <c r="J31" i="11"/>
  <c r="G31" i="11"/>
  <c r="F31" i="11"/>
  <c r="J163" i="11"/>
  <c r="G163" i="11"/>
  <c r="F163" i="11"/>
  <c r="G11" i="11"/>
  <c r="F11" i="11"/>
  <c r="J11" i="11"/>
  <c r="J219" i="11"/>
  <c r="F219" i="11"/>
  <c r="G219" i="11"/>
  <c r="J33" i="11"/>
  <c r="F33" i="11"/>
  <c r="G33" i="11"/>
  <c r="J129" i="11"/>
  <c r="F129" i="11"/>
  <c r="G129" i="11"/>
  <c r="F300" i="11"/>
  <c r="G300" i="11"/>
  <c r="J300" i="11"/>
  <c r="J171" i="11"/>
  <c r="F171" i="11"/>
  <c r="G171" i="11"/>
  <c r="G82" i="11"/>
  <c r="F82" i="11"/>
  <c r="J82" i="11"/>
  <c r="J37" i="11"/>
  <c r="F37" i="11"/>
  <c r="G37" i="11"/>
  <c r="J133" i="11"/>
  <c r="F133" i="11"/>
  <c r="G133" i="11"/>
  <c r="F244" i="11"/>
  <c r="J244" i="11"/>
  <c r="G244" i="11"/>
  <c r="F272" i="11"/>
  <c r="G272" i="11"/>
  <c r="J272" i="11"/>
  <c r="H180" i="14"/>
  <c r="G150" i="15"/>
  <c r="F150" i="15"/>
  <c r="J150" i="15"/>
  <c r="H46" i="16"/>
  <c r="H264" i="18"/>
  <c r="H240" i="18"/>
  <c r="H267" i="18"/>
  <c r="H172" i="20"/>
  <c r="H245" i="20"/>
  <c r="H11" i="18"/>
  <c r="H101" i="20"/>
  <c r="H74" i="21"/>
  <c r="J144" i="15"/>
  <c r="F144" i="15"/>
  <c r="G144" i="15"/>
  <c r="M8" i="17"/>
  <c r="H2" i="17"/>
  <c r="H216" i="17"/>
  <c r="H35" i="18"/>
  <c r="H88" i="17"/>
  <c r="H117" i="18"/>
  <c r="H124" i="22"/>
  <c r="H46" i="10"/>
  <c r="F235" i="15"/>
  <c r="J235" i="15"/>
  <c r="G235" i="15"/>
  <c r="H151" i="16"/>
  <c r="H10" i="16"/>
  <c r="H102" i="17"/>
  <c r="H206" i="18"/>
  <c r="H272" i="22"/>
  <c r="H296" i="22"/>
  <c r="J259" i="11"/>
  <c r="F259" i="11"/>
  <c r="G259" i="11"/>
  <c r="H95" i="13"/>
  <c r="H292" i="13"/>
  <c r="J8" i="15"/>
  <c r="G8" i="15"/>
  <c r="F8" i="15"/>
  <c r="J168" i="15"/>
  <c r="F168" i="15"/>
  <c r="G168" i="15"/>
  <c r="H174" i="17"/>
  <c r="H49" i="18"/>
  <c r="H285" i="17"/>
  <c r="H142" i="20"/>
  <c r="H257" i="20"/>
  <c r="H264" i="22"/>
  <c r="G170" i="15"/>
  <c r="F170" i="15"/>
  <c r="J170" i="15"/>
  <c r="H37" i="21"/>
  <c r="H186" i="22"/>
  <c r="H141" i="10"/>
  <c r="H78" i="16"/>
  <c r="H133" i="17"/>
  <c r="H164" i="17"/>
  <c r="H194" i="18"/>
  <c r="H220" i="18"/>
  <c r="H12" i="18"/>
  <c r="H162" i="18"/>
  <c r="H213" i="18"/>
  <c r="H97" i="19"/>
  <c r="H284" i="19"/>
  <c r="H185" i="20"/>
  <c r="H150" i="21"/>
  <c r="H187" i="22"/>
  <c r="H118" i="18"/>
  <c r="H65" i="19"/>
  <c r="H238" i="19"/>
  <c r="H54" i="19"/>
  <c r="H268" i="19"/>
  <c r="H272" i="19"/>
  <c r="H56" i="20"/>
  <c r="H111" i="20"/>
  <c r="H187" i="14"/>
  <c r="H243" i="17"/>
  <c r="H298" i="10"/>
  <c r="H132" i="9"/>
  <c r="H204" i="9"/>
  <c r="H300" i="10"/>
  <c r="H16" i="10"/>
  <c r="H150" i="10"/>
  <c r="H190" i="14"/>
  <c r="H75" i="14"/>
  <c r="H218" i="16"/>
  <c r="H239" i="17"/>
  <c r="H53" i="17"/>
  <c r="H19" i="17"/>
  <c r="H298" i="18"/>
  <c r="H300" i="17"/>
  <c r="H216" i="19"/>
  <c r="H227" i="19"/>
  <c r="H186" i="20"/>
  <c r="H102" i="20"/>
  <c r="H127" i="20"/>
  <c r="H141" i="20"/>
  <c r="H54" i="21"/>
  <c r="H34" i="21"/>
  <c r="H208" i="22"/>
  <c r="H90" i="14"/>
  <c r="G244" i="15"/>
  <c r="F244" i="15"/>
  <c r="J244" i="15"/>
  <c r="H139" i="16"/>
  <c r="H294" i="16"/>
  <c r="H153" i="16"/>
  <c r="H45" i="17"/>
  <c r="H217" i="17"/>
  <c r="H47" i="17"/>
  <c r="H20" i="18"/>
  <c r="H283" i="19"/>
  <c r="H65" i="20"/>
  <c r="H118" i="21"/>
  <c r="J51" i="15"/>
  <c r="G51" i="15"/>
  <c r="F51" i="15"/>
  <c r="H3" i="16"/>
  <c r="H154" i="16"/>
  <c r="H91" i="17"/>
  <c r="H270" i="17"/>
  <c r="H43" i="18"/>
  <c r="H144" i="18"/>
  <c r="H139" i="19"/>
  <c r="H233" i="19"/>
  <c r="H217" i="19"/>
  <c r="H101" i="21"/>
  <c r="H15" i="12"/>
  <c r="H222" i="12"/>
  <c r="G273" i="11"/>
  <c r="F273" i="11"/>
  <c r="J273" i="11"/>
  <c r="J242" i="11"/>
  <c r="G242" i="11"/>
  <c r="F242" i="11"/>
  <c r="J263" i="11"/>
  <c r="F263" i="11"/>
  <c r="G263" i="11"/>
  <c r="J226" i="11"/>
  <c r="G226" i="11"/>
  <c r="F226" i="11"/>
  <c r="J92" i="11"/>
  <c r="G92" i="11"/>
  <c r="F92" i="11"/>
  <c r="J295" i="11"/>
  <c r="F295" i="11"/>
  <c r="G295" i="11"/>
  <c r="F16" i="11"/>
  <c r="G16" i="11"/>
  <c r="J16" i="11"/>
  <c r="F150" i="11"/>
  <c r="G150" i="11"/>
  <c r="J150" i="11"/>
  <c r="J231" i="11"/>
  <c r="F231" i="11"/>
  <c r="G231" i="11"/>
  <c r="F148" i="11"/>
  <c r="J148" i="11"/>
  <c r="G148" i="11"/>
  <c r="G181" i="11"/>
  <c r="F181" i="11"/>
  <c r="J181" i="11"/>
  <c r="G46" i="11"/>
  <c r="F46" i="11"/>
  <c r="J46" i="11"/>
  <c r="G70" i="11"/>
  <c r="F70" i="11"/>
  <c r="J70" i="11"/>
  <c r="J222" i="11"/>
  <c r="G222" i="11"/>
  <c r="F222" i="11"/>
  <c r="J41" i="11"/>
  <c r="F41" i="11"/>
  <c r="G41" i="11"/>
  <c r="J137" i="11"/>
  <c r="F137" i="11"/>
  <c r="G137" i="11"/>
  <c r="J234" i="11"/>
  <c r="G234" i="11"/>
  <c r="F234" i="11"/>
  <c r="J218" i="11"/>
  <c r="G218" i="11"/>
  <c r="F218" i="11"/>
  <c r="G90" i="11"/>
  <c r="F90" i="11"/>
  <c r="J90" i="11"/>
  <c r="J45" i="11"/>
  <c r="F45" i="11"/>
  <c r="G45" i="11"/>
  <c r="J141" i="11"/>
  <c r="F141" i="11"/>
  <c r="G141" i="11"/>
  <c r="F260" i="11"/>
  <c r="J260" i="11"/>
  <c r="G260" i="11"/>
  <c r="J274" i="11"/>
  <c r="G274" i="11"/>
  <c r="F274" i="11"/>
  <c r="H207" i="16"/>
  <c r="H75" i="16"/>
  <c r="H113" i="16"/>
  <c r="H124" i="17"/>
  <c r="H39" i="18"/>
  <c r="H80" i="17"/>
  <c r="H102" i="19"/>
  <c r="H221" i="19"/>
  <c r="H97" i="21"/>
  <c r="H186" i="17"/>
  <c r="H193" i="20"/>
  <c r="H114" i="15"/>
  <c r="H116" i="16"/>
  <c r="H291" i="16"/>
  <c r="H125" i="16"/>
  <c r="H116" i="18"/>
  <c r="H214" i="19"/>
  <c r="H101" i="19"/>
  <c r="H92" i="19"/>
  <c r="H48" i="20"/>
  <c r="H116" i="21"/>
  <c r="H97" i="22"/>
  <c r="H142" i="9"/>
  <c r="H190" i="9"/>
  <c r="H238" i="9"/>
  <c r="J140" i="15"/>
  <c r="F140" i="15"/>
  <c r="G140" i="15"/>
  <c r="H34" i="16"/>
  <c r="H32" i="17"/>
  <c r="H270" i="19"/>
  <c r="H52" i="19"/>
  <c r="H301" i="22"/>
  <c r="H203" i="9"/>
  <c r="H220" i="13"/>
  <c r="H212" i="14"/>
  <c r="G256" i="15"/>
  <c r="F256" i="15"/>
  <c r="J256" i="15"/>
  <c r="H118" i="16"/>
  <c r="H27" i="19"/>
  <c r="H121" i="19"/>
  <c r="H249" i="19"/>
  <c r="H105" i="20"/>
  <c r="H281" i="18"/>
  <c r="H231" i="10"/>
  <c r="G260" i="15"/>
  <c r="F260" i="15"/>
  <c r="J260" i="15"/>
  <c r="H19" i="16"/>
  <c r="H114" i="16"/>
  <c r="H94" i="17"/>
  <c r="H282" i="17"/>
  <c r="H138" i="19"/>
  <c r="H252" i="20"/>
  <c r="H157" i="22"/>
  <c r="H111" i="12"/>
  <c r="H123" i="12"/>
  <c r="G166" i="15"/>
  <c r="F166" i="15"/>
  <c r="J166" i="15"/>
  <c r="H61" i="17"/>
  <c r="H220" i="22"/>
  <c r="H30" i="22"/>
  <c r="H148" i="22"/>
  <c r="G215" i="11"/>
  <c r="H137" i="20"/>
  <c r="H55" i="21"/>
  <c r="H219" i="21"/>
  <c r="H216" i="22"/>
  <c r="H62" i="22"/>
  <c r="H43" i="22"/>
  <c r="H178" i="22"/>
  <c r="H190" i="16"/>
  <c r="H159" i="19"/>
  <c r="H215" i="21"/>
  <c r="G7" i="22"/>
  <c r="J7" i="22"/>
  <c r="F7" i="22"/>
  <c r="H58" i="10"/>
  <c r="H89" i="10"/>
  <c r="G269" i="11"/>
  <c r="F269" i="11"/>
  <c r="J269" i="11"/>
  <c r="H219" i="16"/>
  <c r="H87" i="16"/>
  <c r="F231" i="15"/>
  <c r="J231" i="15"/>
  <c r="G231" i="15"/>
  <c r="H119" i="16"/>
  <c r="H215" i="17"/>
  <c r="H289" i="17"/>
  <c r="H291" i="18"/>
  <c r="H180" i="20"/>
  <c r="H131" i="20"/>
  <c r="H48" i="22"/>
  <c r="H121" i="22"/>
  <c r="H298" i="13"/>
  <c r="G158" i="15"/>
  <c r="F158" i="15"/>
  <c r="J158" i="15"/>
  <c r="H25" i="17"/>
  <c r="F227" i="15"/>
  <c r="J227" i="15"/>
  <c r="G227" i="15"/>
  <c r="H223" i="17"/>
  <c r="H19" i="18"/>
  <c r="H71" i="17"/>
  <c r="H235" i="19"/>
  <c r="H124" i="21"/>
  <c r="H137" i="22"/>
  <c r="H56" i="22"/>
  <c r="H158" i="10"/>
  <c r="J44" i="15"/>
  <c r="F44" i="15"/>
  <c r="G44" i="15"/>
  <c r="H276" i="16"/>
  <c r="H56" i="17"/>
  <c r="H113" i="17"/>
  <c r="H250" i="18"/>
  <c r="H56" i="18"/>
  <c r="H9" i="20"/>
  <c r="H288" i="19"/>
  <c r="H213" i="20"/>
  <c r="H44" i="22"/>
  <c r="H251" i="12"/>
  <c r="J279" i="11"/>
  <c r="F279" i="11"/>
  <c r="G279" i="11"/>
  <c r="J230" i="11"/>
  <c r="G230" i="11"/>
  <c r="F230" i="11"/>
  <c r="G229" i="11"/>
  <c r="F229" i="11"/>
  <c r="J229" i="11"/>
  <c r="G209" i="11"/>
  <c r="F209" i="11"/>
  <c r="J209" i="11"/>
  <c r="J170" i="11"/>
  <c r="G170" i="11"/>
  <c r="F170" i="11"/>
  <c r="J182" i="11"/>
  <c r="G182" i="11"/>
  <c r="F182" i="11"/>
  <c r="J169" i="11"/>
  <c r="G169" i="11"/>
  <c r="F169" i="11"/>
  <c r="J43" i="11"/>
  <c r="G43" i="11"/>
  <c r="F43" i="11"/>
  <c r="J131" i="11"/>
  <c r="G131" i="11"/>
  <c r="F131" i="11"/>
  <c r="J107" i="11"/>
  <c r="G107" i="11"/>
  <c r="F107" i="11"/>
  <c r="J140" i="11"/>
  <c r="G140" i="11"/>
  <c r="F140" i="11"/>
  <c r="J25" i="11"/>
  <c r="F25" i="11"/>
  <c r="G25" i="11"/>
  <c r="G102" i="11"/>
  <c r="F102" i="11"/>
  <c r="J102" i="11"/>
  <c r="J282" i="11"/>
  <c r="G282" i="11"/>
  <c r="F282" i="11"/>
  <c r="J49" i="11"/>
  <c r="F49" i="11"/>
  <c r="G49" i="11"/>
  <c r="J145" i="11"/>
  <c r="F145" i="11"/>
  <c r="G145" i="11"/>
  <c r="F264" i="11"/>
  <c r="J264" i="11"/>
  <c r="G264" i="11"/>
  <c r="F248" i="11"/>
  <c r="J248" i="11"/>
  <c r="G248" i="11"/>
  <c r="G98" i="11"/>
  <c r="F98" i="11"/>
  <c r="J98" i="11"/>
  <c r="J53" i="11"/>
  <c r="F53" i="11"/>
  <c r="G53" i="11"/>
  <c r="J202" i="11"/>
  <c r="G202" i="11"/>
  <c r="F202" i="11"/>
  <c r="F276" i="11"/>
  <c r="J276" i="11"/>
  <c r="G276" i="11"/>
  <c r="F288" i="11"/>
  <c r="G288" i="11"/>
  <c r="J288" i="11"/>
  <c r="H158" i="14"/>
  <c r="G78" i="15"/>
  <c r="J78" i="15"/>
  <c r="F78" i="15"/>
  <c r="H37" i="16"/>
  <c r="H11" i="16"/>
  <c r="H145" i="18"/>
  <c r="H48" i="19"/>
  <c r="H34" i="20"/>
  <c r="H222" i="21"/>
  <c r="H129" i="22"/>
  <c r="H252" i="17"/>
  <c r="H228" i="18"/>
  <c r="H109" i="20"/>
  <c r="H209" i="21"/>
  <c r="H70" i="22"/>
  <c r="G230" i="15"/>
  <c r="J230" i="15"/>
  <c r="F230" i="15"/>
  <c r="H16" i="16"/>
  <c r="H228" i="17"/>
  <c r="H68" i="18"/>
  <c r="H5" i="19"/>
  <c r="H56" i="19"/>
  <c r="H112" i="19"/>
  <c r="H240" i="19"/>
  <c r="H207" i="20"/>
  <c r="H276" i="20"/>
  <c r="H86" i="20"/>
  <c r="H275" i="20"/>
  <c r="H211" i="21"/>
  <c r="H289" i="22"/>
  <c r="H75" i="22"/>
  <c r="H232" i="21"/>
  <c r="H147" i="22"/>
  <c r="H140" i="16"/>
  <c r="H40" i="18"/>
  <c r="H237" i="17"/>
  <c r="H101" i="18"/>
  <c r="H99" i="17"/>
  <c r="H139" i="18"/>
  <c r="H182" i="18"/>
  <c r="H164" i="20"/>
  <c r="H173" i="19"/>
  <c r="H238" i="22"/>
  <c r="H108" i="22"/>
  <c r="H195" i="16"/>
  <c r="H63" i="16"/>
  <c r="H254" i="16"/>
  <c r="H140" i="17"/>
  <c r="H78" i="20"/>
  <c r="H239" i="19"/>
  <c r="H70" i="20"/>
  <c r="H241" i="21"/>
  <c r="H136" i="21"/>
  <c r="J115" i="15"/>
  <c r="G115" i="15"/>
  <c r="F115" i="15"/>
  <c r="J164" i="15"/>
  <c r="F164" i="15"/>
  <c r="G164" i="15"/>
  <c r="H173" i="16"/>
  <c r="H189" i="17"/>
  <c r="H18" i="18"/>
  <c r="H217" i="18"/>
  <c r="H69" i="19"/>
  <c r="H89" i="20"/>
  <c r="H169" i="20"/>
  <c r="H237" i="21"/>
  <c r="H6" i="21"/>
  <c r="H244" i="21"/>
  <c r="H171" i="22"/>
  <c r="H243" i="22"/>
  <c r="H14" i="10"/>
  <c r="H13" i="13"/>
  <c r="H106" i="17"/>
  <c r="H8" i="17"/>
  <c r="H107" i="16"/>
  <c r="H150" i="17"/>
  <c r="H41" i="18"/>
  <c r="H237" i="18"/>
  <c r="H230" i="19"/>
  <c r="H110" i="19"/>
  <c r="H11" i="20"/>
  <c r="F215" i="11"/>
  <c r="H162" i="22"/>
  <c r="H213" i="22"/>
  <c r="H128" i="20"/>
  <c r="H73" i="22"/>
  <c r="J5" i="22"/>
  <c r="G5" i="22"/>
  <c r="F5" i="22"/>
  <c r="H5" i="22" s="1"/>
  <c r="H105" i="10"/>
  <c r="H73" i="10"/>
  <c r="G177" i="11"/>
  <c r="F177" i="11"/>
  <c r="J177" i="11"/>
  <c r="H150" i="14"/>
  <c r="H249" i="14"/>
  <c r="G236" i="15"/>
  <c r="J236" i="15"/>
  <c r="F236" i="15"/>
  <c r="H40" i="17"/>
  <c r="H173" i="17"/>
  <c r="H255" i="16"/>
  <c r="H42" i="18"/>
  <c r="H91" i="18"/>
  <c r="H76" i="18"/>
  <c r="H10" i="19"/>
  <c r="H61" i="21"/>
  <c r="H16" i="21"/>
  <c r="H193" i="21"/>
  <c r="H58" i="22"/>
  <c r="H47" i="22"/>
  <c r="H249" i="22"/>
  <c r="H237" i="22"/>
  <c r="F239" i="15"/>
  <c r="J239" i="15"/>
  <c r="G239" i="15"/>
  <c r="F247" i="15"/>
  <c r="J247" i="15"/>
  <c r="G247" i="15"/>
  <c r="H278" i="16"/>
  <c r="H64" i="18"/>
  <c r="H273" i="18"/>
  <c r="H274" i="18"/>
  <c r="H30" i="18"/>
  <c r="H286" i="17"/>
  <c r="H162" i="19"/>
  <c r="H64" i="20"/>
  <c r="H156" i="20"/>
  <c r="H47" i="21"/>
  <c r="H129" i="21"/>
  <c r="H90" i="21"/>
  <c r="H259" i="21"/>
  <c r="H223" i="21"/>
  <c r="H290" i="22"/>
  <c r="H92" i="22"/>
  <c r="H189" i="22"/>
  <c r="H98" i="21"/>
  <c r="H141" i="13"/>
  <c r="H273" i="14"/>
  <c r="H71" i="19"/>
  <c r="H169" i="19"/>
  <c r="H223" i="19"/>
  <c r="H300" i="20"/>
  <c r="H178" i="20"/>
  <c r="H61" i="20"/>
  <c r="H170" i="20"/>
  <c r="H53" i="21"/>
  <c r="H39" i="21"/>
  <c r="H263" i="21"/>
  <c r="H251" i="21"/>
  <c r="H22" i="22"/>
  <c r="H111" i="22"/>
  <c r="H222" i="22"/>
  <c r="H214" i="22"/>
  <c r="H218" i="12"/>
  <c r="J84" i="11"/>
  <c r="G84" i="11"/>
  <c r="F84" i="11"/>
  <c r="J36" i="11"/>
  <c r="G36" i="11"/>
  <c r="F36" i="11"/>
  <c r="J147" i="11"/>
  <c r="G147" i="11"/>
  <c r="F147" i="11"/>
  <c r="J123" i="11"/>
  <c r="G123" i="11"/>
  <c r="F123" i="11"/>
  <c r="G213" i="11"/>
  <c r="F213" i="11"/>
  <c r="J213" i="11"/>
  <c r="G241" i="11"/>
  <c r="F241" i="11"/>
  <c r="J241" i="11"/>
  <c r="G297" i="11"/>
  <c r="F297" i="11"/>
  <c r="J297" i="11"/>
  <c r="J60" i="11"/>
  <c r="G60" i="11"/>
  <c r="F60" i="11"/>
  <c r="G17" i="11"/>
  <c r="F17" i="11"/>
  <c r="J17" i="11"/>
  <c r="F10" i="11"/>
  <c r="J10" i="11"/>
  <c r="G10" i="11"/>
  <c r="J83" i="11"/>
  <c r="G83" i="11"/>
  <c r="F83" i="11"/>
  <c r="G38" i="11"/>
  <c r="F38" i="11"/>
  <c r="J38" i="11"/>
  <c r="G126" i="11"/>
  <c r="F126" i="11"/>
  <c r="J126" i="11"/>
  <c r="J18" i="11"/>
  <c r="F18" i="11"/>
  <c r="G18" i="11"/>
  <c r="J57" i="11"/>
  <c r="F57" i="11"/>
  <c r="G57" i="11"/>
  <c r="G167" i="11"/>
  <c r="F167" i="11"/>
  <c r="J167" i="11"/>
  <c r="J267" i="11"/>
  <c r="F267" i="11"/>
  <c r="G267" i="11"/>
  <c r="J251" i="11"/>
  <c r="F251" i="11"/>
  <c r="G251" i="11"/>
  <c r="G106" i="11"/>
  <c r="F106" i="11"/>
  <c r="J106" i="11"/>
  <c r="J61" i="11"/>
  <c r="F61" i="11"/>
  <c r="G61" i="11"/>
  <c r="F232" i="11"/>
  <c r="J232" i="11"/>
  <c r="G232" i="11"/>
  <c r="F292" i="11"/>
  <c r="J292" i="11"/>
  <c r="G292" i="11"/>
  <c r="J21" i="11"/>
  <c r="G21" i="11"/>
  <c r="F21" i="11"/>
  <c r="G122" i="15"/>
  <c r="F122" i="15"/>
  <c r="J122" i="15"/>
  <c r="H18" i="16"/>
  <c r="H46" i="20"/>
  <c r="G270" i="15"/>
  <c r="J270" i="15"/>
  <c r="F270" i="15"/>
  <c r="J172" i="15"/>
  <c r="F172" i="15"/>
  <c r="G172" i="15"/>
  <c r="J136" i="15"/>
  <c r="F136" i="15"/>
  <c r="G136" i="15"/>
  <c r="H112" i="12"/>
  <c r="H118" i="14"/>
  <c r="H267" i="17"/>
  <c r="H101" i="16"/>
  <c r="H295" i="16"/>
  <c r="H230" i="18"/>
  <c r="H241" i="17"/>
  <c r="H148" i="19"/>
  <c r="H213" i="19"/>
  <c r="H24" i="22"/>
  <c r="H156" i="22"/>
  <c r="H279" i="16"/>
  <c r="H200" i="17"/>
  <c r="H184" i="17"/>
  <c r="H62" i="18"/>
  <c r="H296" i="18"/>
  <c r="H152" i="22"/>
  <c r="H298" i="21"/>
  <c r="H241" i="22"/>
  <c r="G74" i="15"/>
  <c r="J74" i="15"/>
  <c r="F74" i="15"/>
  <c r="F255" i="15"/>
  <c r="J255" i="15"/>
  <c r="G255" i="15"/>
  <c r="H47" i="18"/>
  <c r="H285" i="19"/>
  <c r="H209" i="22"/>
  <c r="H119" i="8"/>
  <c r="H73" i="16"/>
  <c r="F243" i="15"/>
  <c r="J243" i="15"/>
  <c r="G243" i="15"/>
  <c r="H280" i="18"/>
  <c r="H83" i="18"/>
  <c r="H80" i="18"/>
  <c r="H128" i="18"/>
  <c r="H19" i="20"/>
  <c r="H293" i="22"/>
  <c r="H234" i="21"/>
  <c r="G277" i="11"/>
  <c r="F277" i="11"/>
  <c r="J277" i="11"/>
  <c r="J75" i="11"/>
  <c r="G75" i="11"/>
  <c r="F75" i="11"/>
  <c r="J27" i="11"/>
  <c r="G27" i="11"/>
  <c r="F27" i="11"/>
  <c r="J243" i="11"/>
  <c r="F243" i="11"/>
  <c r="G243" i="11"/>
  <c r="J246" i="11"/>
  <c r="G246" i="11"/>
  <c r="F246" i="11"/>
  <c r="J183" i="11"/>
  <c r="F183" i="11"/>
  <c r="G183" i="11"/>
  <c r="J191" i="11"/>
  <c r="F191" i="11"/>
  <c r="G191" i="11"/>
  <c r="G253" i="11"/>
  <c r="F253" i="11"/>
  <c r="J253" i="11"/>
  <c r="J91" i="11"/>
  <c r="G91" i="11"/>
  <c r="F91" i="11"/>
  <c r="J115" i="11"/>
  <c r="G115" i="11"/>
  <c r="F115" i="11"/>
  <c r="J139" i="11"/>
  <c r="G139" i="11"/>
  <c r="F139" i="11"/>
  <c r="J7" i="11"/>
  <c r="F7" i="11"/>
  <c r="G7" i="11"/>
  <c r="G86" i="11"/>
  <c r="F86" i="11"/>
  <c r="J86" i="11"/>
  <c r="G5" i="11"/>
  <c r="F5" i="11"/>
  <c r="J5" i="11"/>
  <c r="F176" i="11"/>
  <c r="J176" i="11"/>
  <c r="G176" i="11"/>
  <c r="J65" i="11"/>
  <c r="F65" i="11"/>
  <c r="G65" i="11"/>
  <c r="F184" i="11"/>
  <c r="J184" i="11"/>
  <c r="G184" i="11"/>
  <c r="J270" i="11"/>
  <c r="G270" i="11"/>
  <c r="F270" i="11"/>
  <c r="J254" i="11"/>
  <c r="G254" i="11"/>
  <c r="F254" i="11"/>
  <c r="G114" i="11"/>
  <c r="F114" i="11"/>
  <c r="J114" i="11"/>
  <c r="J69" i="11"/>
  <c r="F69" i="11"/>
  <c r="G69" i="11"/>
  <c r="J235" i="11"/>
  <c r="F235" i="11"/>
  <c r="G235" i="11"/>
  <c r="F172" i="11"/>
  <c r="J172" i="11"/>
  <c r="G172" i="11"/>
  <c r="F152" i="11"/>
  <c r="J152" i="11"/>
  <c r="G152" i="11"/>
  <c r="H238" i="13"/>
  <c r="G201" i="15"/>
  <c r="F201" i="15"/>
  <c r="J201" i="15"/>
  <c r="H265" i="18"/>
  <c r="H79" i="18"/>
  <c r="H196" i="21"/>
  <c r="H130" i="21"/>
  <c r="H138" i="22"/>
  <c r="H161" i="19"/>
  <c r="J52" i="15"/>
  <c r="F52" i="15"/>
  <c r="G52" i="15"/>
  <c r="H213" i="16"/>
  <c r="H57" i="16"/>
  <c r="H24" i="18"/>
  <c r="G212" i="15"/>
  <c r="F212" i="15"/>
  <c r="J212" i="15"/>
  <c r="H3" i="18"/>
  <c r="H255" i="17"/>
  <c r="H126" i="20"/>
  <c r="H166" i="20"/>
  <c r="H226" i="22"/>
  <c r="H168" i="22"/>
  <c r="H124" i="16"/>
  <c r="H185" i="16"/>
  <c r="H266" i="16"/>
  <c r="H149" i="16"/>
  <c r="H239" i="16"/>
  <c r="H278" i="19"/>
  <c r="H165" i="19"/>
  <c r="H152" i="20"/>
  <c r="H270" i="22"/>
  <c r="H250" i="21"/>
  <c r="H289" i="16"/>
  <c r="H122" i="16"/>
  <c r="H228" i="16"/>
  <c r="H221" i="17"/>
  <c r="H256" i="17"/>
  <c r="H52" i="18"/>
  <c r="H248" i="19"/>
  <c r="H225" i="14"/>
  <c r="H45" i="16"/>
  <c r="F223" i="15"/>
  <c r="J223" i="15"/>
  <c r="G223" i="15"/>
  <c r="H129" i="17"/>
  <c r="H162" i="16"/>
  <c r="H186" i="16"/>
  <c r="H120" i="16"/>
  <c r="H36" i="17"/>
  <c r="H23" i="18"/>
  <c r="H247" i="17"/>
  <c r="H165" i="20"/>
  <c r="H153" i="10"/>
  <c r="H74" i="16"/>
  <c r="H269" i="16"/>
  <c r="H142" i="16"/>
  <c r="H176" i="18"/>
  <c r="M20" i="21" l="1"/>
  <c r="L19" i="3" s="1"/>
  <c r="H6" i="19"/>
  <c r="H14" i="19"/>
  <c r="H17" i="16"/>
  <c r="H90" i="16"/>
  <c r="H50" i="16"/>
  <c r="H72" i="16"/>
  <c r="H89" i="16"/>
  <c r="M9" i="16"/>
  <c r="M11" i="16" s="1"/>
  <c r="M8" i="16"/>
  <c r="M20" i="16" s="1"/>
  <c r="L14" i="3" s="1"/>
  <c r="H42" i="16"/>
  <c r="H52" i="16"/>
  <c r="H51" i="16"/>
  <c r="H242" i="15"/>
  <c r="H35" i="15"/>
  <c r="H167" i="15"/>
  <c r="H246" i="15"/>
  <c r="H277" i="15"/>
  <c r="H126" i="15"/>
  <c r="H38" i="15"/>
  <c r="H253" i="15"/>
  <c r="H166" i="15"/>
  <c r="H120" i="15"/>
  <c r="H87" i="15"/>
  <c r="H14" i="15"/>
  <c r="H78" i="15"/>
  <c r="H210" i="15"/>
  <c r="H212" i="15"/>
  <c r="H256" i="15"/>
  <c r="H131" i="15"/>
  <c r="H268" i="15"/>
  <c r="H6" i="15"/>
  <c r="H213" i="15"/>
  <c r="H211" i="15"/>
  <c r="H144" i="15"/>
  <c r="H260" i="15"/>
  <c r="H252" i="15"/>
  <c r="H47" i="15"/>
  <c r="H280" i="15"/>
  <c r="H270" i="15"/>
  <c r="H236" i="15"/>
  <c r="H58" i="15"/>
  <c r="H171" i="15"/>
  <c r="H159" i="15"/>
  <c r="H100" i="15"/>
  <c r="H150" i="15"/>
  <c r="H62" i="15"/>
  <c r="H134" i="15"/>
  <c r="H231" i="15"/>
  <c r="H266" i="15"/>
  <c r="H279" i="15"/>
  <c r="H60" i="15"/>
  <c r="H152" i="15"/>
  <c r="H184" i="15"/>
  <c r="H61" i="15"/>
  <c r="H179" i="15"/>
  <c r="H168" i="15"/>
  <c r="H112" i="15"/>
  <c r="H196" i="15"/>
  <c r="H226" i="15"/>
  <c r="H122" i="15"/>
  <c r="H16" i="15"/>
  <c r="H143" i="15"/>
  <c r="H191" i="15"/>
  <c r="H238" i="15"/>
  <c r="H193" i="15"/>
  <c r="H17" i="15"/>
  <c r="H50" i="15"/>
  <c r="H82" i="15"/>
  <c r="H200" i="15"/>
  <c r="H115" i="15"/>
  <c r="H244" i="15"/>
  <c r="H33" i="15"/>
  <c r="H251" i="15"/>
  <c r="H301" i="15"/>
  <c r="H161" i="15"/>
  <c r="H118" i="15"/>
  <c r="H12" i="15"/>
  <c r="H300" i="15"/>
  <c r="H29" i="15"/>
  <c r="H49" i="15"/>
  <c r="H225" i="15"/>
  <c r="H55" i="15"/>
  <c r="H89" i="15"/>
  <c r="H102" i="15"/>
  <c r="H34" i="15"/>
  <c r="H66" i="15"/>
  <c r="H198" i="15"/>
  <c r="H9" i="15"/>
  <c r="H119" i="15"/>
  <c r="H13" i="15"/>
  <c r="H92" i="15"/>
  <c r="H53" i="15"/>
  <c r="H67" i="15"/>
  <c r="H258" i="15"/>
  <c r="H145" i="15"/>
  <c r="H221" i="15"/>
  <c r="H216" i="15"/>
  <c r="H197" i="15"/>
  <c r="H110" i="15"/>
  <c r="H11" i="15"/>
  <c r="H27" i="15"/>
  <c r="H155" i="15"/>
  <c r="H194" i="15"/>
  <c r="H286" i="15"/>
  <c r="H94" i="15"/>
  <c r="H65" i="15"/>
  <c r="H30" i="15"/>
  <c r="H153" i="15"/>
  <c r="H52" i="15"/>
  <c r="H44" i="15"/>
  <c r="H98" i="15"/>
  <c r="H204" i="15"/>
  <c r="H91" i="15"/>
  <c r="H151" i="15"/>
  <c r="H3" i="15"/>
  <c r="H5" i="15"/>
  <c r="H63" i="15"/>
  <c r="H116" i="15"/>
  <c r="H181" i="15"/>
  <c r="H20" i="15"/>
  <c r="H209" i="15"/>
  <c r="H250" i="15"/>
  <c r="H149" i="15"/>
  <c r="H45" i="15"/>
  <c r="H272" i="15"/>
  <c r="H99" i="15"/>
  <c r="H169" i="15"/>
  <c r="H176" i="15"/>
  <c r="H4" i="15"/>
  <c r="H183" i="15"/>
  <c r="H57" i="15"/>
  <c r="H76" i="15"/>
  <c r="H59" i="15"/>
  <c r="H36" i="15"/>
  <c r="H96" i="15"/>
  <c r="H21" i="15"/>
  <c r="H185" i="15"/>
  <c r="H105" i="15"/>
  <c r="H265" i="15"/>
  <c r="H101" i="15"/>
  <c r="H175" i="15"/>
  <c r="H72" i="15"/>
  <c r="H245" i="15"/>
  <c r="H162" i="15"/>
  <c r="H229" i="15"/>
  <c r="H23" i="15"/>
  <c r="H93" i="15"/>
  <c r="H8" i="15"/>
  <c r="H187" i="15"/>
  <c r="H28" i="15"/>
  <c r="H170" i="15"/>
  <c r="H219" i="15"/>
  <c r="H107" i="15"/>
  <c r="H56" i="15"/>
  <c r="H142" i="15"/>
  <c r="H240" i="15"/>
  <c r="H299" i="15"/>
  <c r="H223" i="15"/>
  <c r="H189" i="15"/>
  <c r="H263" i="15"/>
  <c r="H249" i="15"/>
  <c r="H86" i="15"/>
  <c r="H205" i="15"/>
  <c r="H135" i="15"/>
  <c r="H139" i="15"/>
  <c r="H177" i="15"/>
  <c r="H297" i="15"/>
  <c r="H18" i="15"/>
  <c r="H130" i="15"/>
  <c r="H247" i="15"/>
  <c r="H146" i="15"/>
  <c r="H234" i="15"/>
  <c r="H83" i="15"/>
  <c r="H281" i="15"/>
  <c r="H10" i="15"/>
  <c r="H293" i="15"/>
  <c r="H267" i="15"/>
  <c r="H121" i="15"/>
  <c r="H228" i="15"/>
  <c r="M20" i="14"/>
  <c r="L12" i="3" s="1"/>
  <c r="H237" i="11"/>
  <c r="H9" i="11"/>
  <c r="H51" i="11"/>
  <c r="H156" i="11"/>
  <c r="H89" i="11"/>
  <c r="H271" i="11"/>
  <c r="H38" i="11"/>
  <c r="H45" i="11"/>
  <c r="H137" i="11"/>
  <c r="H36" i="11"/>
  <c r="H41" i="11"/>
  <c r="H263" i="11"/>
  <c r="H204" i="11"/>
  <c r="H143" i="11"/>
  <c r="H104" i="11"/>
  <c r="H265" i="11"/>
  <c r="H282" i="11"/>
  <c r="H107" i="11"/>
  <c r="H182" i="11"/>
  <c r="H62" i="11"/>
  <c r="H221" i="11"/>
  <c r="H113" i="11"/>
  <c r="H86" i="11"/>
  <c r="H55" i="11"/>
  <c r="H100" i="11"/>
  <c r="H66" i="11"/>
  <c r="H65" i="11"/>
  <c r="H7" i="11"/>
  <c r="H252" i="11"/>
  <c r="H152" i="11"/>
  <c r="H43" i="11"/>
  <c r="H234" i="11"/>
  <c r="H92" i="11"/>
  <c r="H163" i="11"/>
  <c r="H35" i="11"/>
  <c r="H74" i="11"/>
  <c r="H14" i="11"/>
  <c r="H212" i="11"/>
  <c r="H109" i="11"/>
  <c r="H283" i="11"/>
  <c r="H40" i="11"/>
  <c r="H250" i="11"/>
  <c r="H80" i="11"/>
  <c r="H130" i="11"/>
  <c r="H13" i="11"/>
  <c r="H254" i="11"/>
  <c r="H139" i="11"/>
  <c r="H27" i="11"/>
  <c r="H60" i="11"/>
  <c r="H123" i="11"/>
  <c r="H70" i="11"/>
  <c r="H273" i="11"/>
  <c r="H257" i="11"/>
  <c r="H197" i="11"/>
  <c r="H286" i="11"/>
  <c r="H198" i="11"/>
  <c r="H140" i="11"/>
  <c r="H210" i="11"/>
  <c r="H247" i="11"/>
  <c r="H94" i="11"/>
  <c r="H211" i="11"/>
  <c r="H112" i="11"/>
  <c r="H293" i="11"/>
  <c r="H203" i="11"/>
  <c r="H75" i="11"/>
  <c r="H83" i="11"/>
  <c r="H98" i="11"/>
  <c r="H229" i="11"/>
  <c r="H155" i="11"/>
  <c r="H245" i="11"/>
  <c r="H30" i="11"/>
  <c r="H138" i="11"/>
  <c r="H225" i="11"/>
  <c r="H64" i="11"/>
  <c r="H15" i="11"/>
  <c r="H106" i="11"/>
  <c r="H79" i="11"/>
  <c r="H111" i="11"/>
  <c r="H201" i="11"/>
  <c r="H230" i="11"/>
  <c r="H194" i="11"/>
  <c r="H193" i="11"/>
  <c r="H90" i="11"/>
  <c r="H289" i="11"/>
  <c r="H95" i="11"/>
  <c r="H146" i="11"/>
  <c r="H205" i="11"/>
  <c r="H69" i="11"/>
  <c r="H251" i="11"/>
  <c r="H292" i="11"/>
  <c r="H202" i="11"/>
  <c r="H131" i="11"/>
  <c r="H222" i="11"/>
  <c r="H242" i="11"/>
  <c r="H47" i="11"/>
  <c r="H124" i="11"/>
  <c r="H175" i="11"/>
  <c r="H151" i="11"/>
  <c r="H85" i="11"/>
  <c r="H84" i="11"/>
  <c r="H102" i="11"/>
  <c r="H196" i="11"/>
  <c r="H166" i="11"/>
  <c r="H50" i="11"/>
  <c r="H253" i="11"/>
  <c r="H213" i="11"/>
  <c r="H264" i="11"/>
  <c r="H148" i="11"/>
  <c r="H258" i="11"/>
  <c r="H127" i="11"/>
  <c r="H108" i="11"/>
  <c r="H285" i="11"/>
  <c r="H48" i="11"/>
  <c r="H188" i="11"/>
  <c r="H56" i="11"/>
  <c r="H88" i="11"/>
  <c r="H63" i="11"/>
  <c r="H189" i="11"/>
  <c r="H53" i="11"/>
  <c r="H145" i="11"/>
  <c r="H231" i="11"/>
  <c r="H191" i="11"/>
  <c r="H215" i="11"/>
  <c r="H39" i="11"/>
  <c r="H262" i="11"/>
  <c r="H24" i="11"/>
  <c r="H236" i="11"/>
  <c r="H290" i="11"/>
  <c r="H239" i="11"/>
  <c r="H255" i="11"/>
  <c r="H174" i="11"/>
  <c r="H169" i="11"/>
  <c r="H160" i="11"/>
  <c r="H270" i="11"/>
  <c r="H21" i="11"/>
  <c r="H216" i="11"/>
  <c r="H195" i="11"/>
  <c r="H192" i="11"/>
  <c r="H183" i="11"/>
  <c r="H57" i="11"/>
  <c r="H288" i="11"/>
  <c r="H150" i="11"/>
  <c r="H298" i="11"/>
  <c r="H274" i="11"/>
  <c r="H72" i="11"/>
  <c r="H268" i="11"/>
  <c r="H246" i="11"/>
  <c r="H219" i="11"/>
  <c r="H8" i="11"/>
  <c r="H32" i="11"/>
  <c r="H76" i="11"/>
  <c r="H276" i="11"/>
  <c r="H12" i="11"/>
  <c r="H157" i="11"/>
  <c r="H190" i="11"/>
  <c r="H10" i="11"/>
  <c r="H29" i="11"/>
  <c r="H121" i="11"/>
  <c r="H256" i="11"/>
  <c r="H132" i="11"/>
  <c r="H6" i="11"/>
  <c r="H217" i="11"/>
  <c r="H295" i="11"/>
  <c r="H227" i="11"/>
  <c r="H26" i="11"/>
  <c r="H186" i="11"/>
  <c r="H116" i="11"/>
  <c r="H173" i="10"/>
  <c r="H83" i="10"/>
  <c r="H163" i="10"/>
  <c r="H134" i="10"/>
  <c r="H240" i="10"/>
  <c r="H253" i="10"/>
  <c r="H24" i="10"/>
  <c r="H224" i="10"/>
  <c r="H252" i="10"/>
  <c r="H235" i="10"/>
  <c r="H223" i="10"/>
  <c r="H25" i="10"/>
  <c r="H293" i="10"/>
  <c r="H203" i="10"/>
  <c r="H71" i="10"/>
  <c r="H226" i="10"/>
  <c r="H299" i="10"/>
  <c r="H22" i="10"/>
  <c r="H217" i="10"/>
  <c r="M8" i="10"/>
  <c r="M20" i="10" s="1"/>
  <c r="L8" i="3" s="1"/>
  <c r="H64" i="10"/>
  <c r="H119" i="10"/>
  <c r="M9" i="10"/>
  <c r="M11" i="10" s="1"/>
  <c r="H168" i="10"/>
  <c r="H236" i="10"/>
  <c r="H152" i="9"/>
  <c r="H297" i="9"/>
  <c r="H139" i="9"/>
  <c r="H97" i="9"/>
  <c r="H241" i="9"/>
  <c r="H95" i="9"/>
  <c r="H294" i="9"/>
  <c r="H149" i="9"/>
  <c r="H194" i="9"/>
  <c r="H187" i="9"/>
  <c r="H141" i="9"/>
  <c r="H140" i="9"/>
  <c r="H210" i="9"/>
  <c r="H106" i="9"/>
  <c r="H218" i="9"/>
  <c r="H160" i="9"/>
  <c r="H33" i="9"/>
  <c r="H17" i="9"/>
  <c r="H155" i="9"/>
  <c r="H161" i="9"/>
  <c r="H67" i="9"/>
  <c r="H23" i="9"/>
  <c r="H71" i="9"/>
  <c r="H232" i="9"/>
  <c r="H165" i="9"/>
  <c r="H27" i="9"/>
  <c r="H301" i="9"/>
  <c r="H157" i="9"/>
  <c r="H291" i="9"/>
  <c r="H205" i="9"/>
  <c r="H50" i="9"/>
  <c r="H235" i="9"/>
  <c r="H128" i="9"/>
  <c r="H255" i="9"/>
  <c r="H61" i="9"/>
  <c r="H99" i="9"/>
  <c r="M9" i="9"/>
  <c r="H180" i="9"/>
  <c r="H243" i="9"/>
  <c r="H290" i="9"/>
  <c r="H192" i="9"/>
  <c r="H202" i="9"/>
  <c r="H296" i="9"/>
  <c r="H102" i="9"/>
  <c r="H70" i="9"/>
  <c r="H206" i="9"/>
  <c r="H254" i="9"/>
  <c r="H137" i="9"/>
  <c r="H189" i="9"/>
  <c r="H211" i="9"/>
  <c r="H188" i="9"/>
  <c r="H19" i="9"/>
  <c r="H16" i="9"/>
  <c r="H65" i="9"/>
  <c r="H63" i="9"/>
  <c r="H87" i="9"/>
  <c r="H91" i="9"/>
  <c r="H64" i="9"/>
  <c r="H43" i="9"/>
  <c r="H300" i="9"/>
  <c r="H108" i="9"/>
  <c r="H42" i="9"/>
  <c r="H5" i="9"/>
  <c r="H101" i="9"/>
  <c r="H38" i="9"/>
  <c r="H49" i="9"/>
  <c r="H88" i="9"/>
  <c r="H83" i="9"/>
  <c r="H12" i="9"/>
  <c r="H15" i="9"/>
  <c r="H82" i="9"/>
  <c r="H56" i="9"/>
  <c r="H114" i="9"/>
  <c r="H7" i="9"/>
  <c r="H100" i="9"/>
  <c r="M8" i="9"/>
  <c r="M20" i="9" s="1"/>
  <c r="L7" i="3" s="1"/>
  <c r="H25" i="9"/>
  <c r="H35" i="9"/>
  <c r="H55" i="9"/>
  <c r="H80" i="9"/>
  <c r="H59" i="9"/>
  <c r="H69" i="9"/>
  <c r="H107" i="9"/>
  <c r="H66" i="9"/>
  <c r="H18" i="9"/>
  <c r="H60" i="9"/>
  <c r="H4" i="9"/>
  <c r="H39" i="9"/>
  <c r="H3" i="9"/>
  <c r="H11" i="9"/>
  <c r="H40" i="9"/>
  <c r="H103" i="9"/>
  <c r="H2" i="9"/>
  <c r="H52" i="9"/>
  <c r="H20" i="9"/>
  <c r="H81" i="9"/>
  <c r="H8" i="9"/>
  <c r="H90" i="9"/>
  <c r="H94" i="9"/>
  <c r="H32" i="9"/>
  <c r="H77" i="9"/>
  <c r="H104" i="9"/>
  <c r="H117" i="9"/>
  <c r="H6" i="9"/>
  <c r="H29" i="9"/>
  <c r="H73" i="9"/>
  <c r="H46" i="9"/>
  <c r="H86" i="9"/>
  <c r="H283" i="8"/>
  <c r="H251" i="8"/>
  <c r="H163" i="8"/>
  <c r="H90" i="8"/>
  <c r="H217" i="8"/>
  <c r="H54" i="8"/>
  <c r="H26" i="8"/>
  <c r="H25" i="8"/>
  <c r="H107" i="8"/>
  <c r="H124" i="8"/>
  <c r="H34" i="8"/>
  <c r="H187" i="8"/>
  <c r="H82" i="8"/>
  <c r="H288" i="8"/>
  <c r="H143" i="8"/>
  <c r="H237" i="8"/>
  <c r="H100" i="8"/>
  <c r="H249" i="8"/>
  <c r="H220" i="8"/>
  <c r="H81" i="8"/>
  <c r="H58" i="8"/>
  <c r="H174" i="8"/>
  <c r="H47" i="8"/>
  <c r="H5" i="8"/>
  <c r="H232" i="8"/>
  <c r="H233" i="8"/>
  <c r="H6" i="8"/>
  <c r="H45" i="8"/>
  <c r="H36" i="8"/>
  <c r="H76" i="8"/>
  <c r="H77" i="8"/>
  <c r="H135" i="8"/>
  <c r="H66" i="8"/>
  <c r="H22" i="8"/>
  <c r="H154" i="8"/>
  <c r="H162" i="8"/>
  <c r="H294" i="8"/>
  <c r="H284" i="8"/>
  <c r="H229" i="8"/>
  <c r="H28" i="8"/>
  <c r="H134" i="8"/>
  <c r="H52" i="8"/>
  <c r="H70" i="8"/>
  <c r="H197" i="8"/>
  <c r="H14" i="8"/>
  <c r="H31" i="8"/>
  <c r="H195" i="8"/>
  <c r="H230" i="8"/>
  <c r="H178" i="8"/>
  <c r="H198" i="8"/>
  <c r="H158" i="8"/>
  <c r="H298" i="8"/>
  <c r="H96" i="8"/>
  <c r="H57" i="8"/>
  <c r="H80" i="8"/>
  <c r="H153" i="8"/>
  <c r="H15" i="8"/>
  <c r="H20" i="8"/>
  <c r="H112" i="8"/>
  <c r="H157" i="8"/>
  <c r="H238" i="8"/>
  <c r="H72" i="8"/>
  <c r="H261" i="8"/>
  <c r="H94" i="8"/>
  <c r="H253" i="8"/>
  <c r="H206" i="8"/>
  <c r="H274" i="8"/>
  <c r="H219" i="8"/>
  <c r="H93" i="8"/>
  <c r="H234" i="8"/>
  <c r="H269" i="8"/>
  <c r="H160" i="8"/>
  <c r="H225" i="8"/>
  <c r="H61" i="8"/>
  <c r="H268" i="8"/>
  <c r="H194" i="8"/>
  <c r="H262" i="8"/>
  <c r="H133" i="8"/>
  <c r="H258" i="8"/>
  <c r="H109" i="8"/>
  <c r="H78" i="8"/>
  <c r="H106" i="8"/>
  <c r="H84" i="8"/>
  <c r="H181" i="8"/>
  <c r="H149" i="8"/>
  <c r="H242" i="8"/>
  <c r="H146" i="8"/>
  <c r="H48" i="8"/>
  <c r="H125" i="8"/>
  <c r="H44" i="8"/>
  <c r="H89" i="8"/>
  <c r="H18" i="8"/>
  <c r="H68" i="8"/>
  <c r="H252" i="8"/>
  <c r="H213" i="8"/>
  <c r="H280" i="8"/>
  <c r="H37" i="8"/>
  <c r="H165" i="8"/>
  <c r="H73" i="8"/>
  <c r="H297" i="8"/>
  <c r="H9" i="8"/>
  <c r="H285" i="8"/>
  <c r="H286" i="8"/>
  <c r="H150" i="8"/>
  <c r="H71" i="8"/>
  <c r="H245" i="8"/>
  <c r="H67" i="8"/>
  <c r="H60" i="8"/>
  <c r="H11" i="8"/>
  <c r="H101" i="8"/>
  <c r="H193" i="8"/>
  <c r="H74" i="8"/>
  <c r="H141" i="8"/>
  <c r="H168" i="8"/>
  <c r="G288" i="7"/>
  <c r="F214" i="7"/>
  <c r="G166" i="7"/>
  <c r="G226" i="7"/>
  <c r="G248" i="7"/>
  <c r="G2" i="7"/>
  <c r="F246" i="7"/>
  <c r="F21" i="7"/>
  <c r="G204" i="7"/>
  <c r="G216" i="7"/>
  <c r="F170" i="7"/>
  <c r="F242" i="7"/>
  <c r="J19" i="7"/>
  <c r="G19" i="7"/>
  <c r="F19" i="7"/>
  <c r="J15" i="7"/>
  <c r="F15" i="7"/>
  <c r="G15" i="7"/>
  <c r="J13" i="7"/>
  <c r="G13" i="7"/>
  <c r="F13" i="7"/>
  <c r="H13" i="7" s="1"/>
  <c r="G278" i="7"/>
  <c r="G268" i="7"/>
  <c r="J11" i="7"/>
  <c r="F11" i="7"/>
  <c r="G11" i="7"/>
  <c r="G182" i="7"/>
  <c r="J18" i="7"/>
  <c r="F18" i="7"/>
  <c r="J16" i="7"/>
  <c r="G16" i="7"/>
  <c r="F16" i="7"/>
  <c r="G18" i="7"/>
  <c r="F262" i="7"/>
  <c r="G56" i="7"/>
  <c r="G41" i="7"/>
  <c r="F134" i="7"/>
  <c r="F70" i="7"/>
  <c r="F38" i="7"/>
  <c r="F118" i="7"/>
  <c r="F57" i="7"/>
  <c r="F248" i="7"/>
  <c r="H248" i="7" s="1"/>
  <c r="G43" i="7"/>
  <c r="F207" i="7"/>
  <c r="F36" i="7"/>
  <c r="F265" i="7"/>
  <c r="G74" i="7"/>
  <c r="F131" i="7"/>
  <c r="G87" i="7"/>
  <c r="F100" i="7"/>
  <c r="G224" i="7"/>
  <c r="F120" i="7"/>
  <c r="G157" i="7"/>
  <c r="G253" i="7"/>
  <c r="G272" i="7"/>
  <c r="G179" i="7"/>
  <c r="F175" i="7"/>
  <c r="G258" i="7"/>
  <c r="F165" i="7"/>
  <c r="G294" i="7"/>
  <c r="G289" i="7"/>
  <c r="G287" i="7"/>
  <c r="G298" i="7"/>
  <c r="G52" i="7"/>
  <c r="F133" i="7"/>
  <c r="F142" i="7"/>
  <c r="G21" i="7"/>
  <c r="H21" i="7" s="1"/>
  <c r="F234" i="7"/>
  <c r="G264" i="7"/>
  <c r="F161" i="7"/>
  <c r="F104" i="7"/>
  <c r="F188" i="7"/>
  <c r="G108" i="7"/>
  <c r="F238" i="7"/>
  <c r="F280" i="7"/>
  <c r="G270" i="7"/>
  <c r="M7" i="7"/>
  <c r="G94" i="7"/>
  <c r="F62" i="7"/>
  <c r="G25" i="7"/>
  <c r="F102" i="7"/>
  <c r="F86" i="7"/>
  <c r="F47" i="7"/>
  <c r="G140" i="7"/>
  <c r="G48" i="7"/>
  <c r="F48" i="7"/>
  <c r="H48" i="7" s="1"/>
  <c r="G234" i="7"/>
  <c r="G206" i="7"/>
  <c r="G147" i="7"/>
  <c r="F74" i="7"/>
  <c r="F213" i="7"/>
  <c r="F224" i="7"/>
  <c r="F71" i="7"/>
  <c r="F157" i="7"/>
  <c r="H157" i="7" s="1"/>
  <c r="F212" i="7"/>
  <c r="F272" i="7"/>
  <c r="H272" i="7" s="1"/>
  <c r="F179" i="7"/>
  <c r="G69" i="7"/>
  <c r="G127" i="7"/>
  <c r="F258" i="7"/>
  <c r="G152" i="7"/>
  <c r="G163" i="7"/>
  <c r="G132" i="7"/>
  <c r="F115" i="7"/>
  <c r="G291" i="7"/>
  <c r="G176" i="7"/>
  <c r="G284" i="7"/>
  <c r="F287" i="7"/>
  <c r="H287" i="7" s="1"/>
  <c r="F298" i="7"/>
  <c r="H298" i="7" s="1"/>
  <c r="F52" i="7"/>
  <c r="H52" i="7" s="1"/>
  <c r="F127" i="7"/>
  <c r="H127" i="7" s="1"/>
  <c r="G137" i="7"/>
  <c r="G49" i="7"/>
  <c r="G221" i="7"/>
  <c r="G261" i="7"/>
  <c r="G292" i="7"/>
  <c r="G218" i="7"/>
  <c r="G149" i="7"/>
  <c r="F108" i="7"/>
  <c r="H108" i="7" s="1"/>
  <c r="F168" i="7"/>
  <c r="F87" i="7"/>
  <c r="H87" i="7" s="1"/>
  <c r="G238" i="7"/>
  <c r="G181" i="7"/>
  <c r="G116" i="7"/>
  <c r="G161" i="7"/>
  <c r="G47" i="7"/>
  <c r="G73" i="7"/>
  <c r="F59" i="7"/>
  <c r="G102" i="7"/>
  <c r="G32" i="7"/>
  <c r="F32" i="7"/>
  <c r="H32" i="7" s="1"/>
  <c r="G42" i="7"/>
  <c r="G57" i="7"/>
  <c r="G118" i="7"/>
  <c r="G45" i="7"/>
  <c r="F206" i="7"/>
  <c r="H206" i="7" s="1"/>
  <c r="G130" i="7"/>
  <c r="F35" i="7"/>
  <c r="F147" i="7"/>
  <c r="H147" i="7" s="1"/>
  <c r="F216" i="7"/>
  <c r="G99" i="7"/>
  <c r="G210" i="7"/>
  <c r="F253" i="7"/>
  <c r="H253" i="7" s="1"/>
  <c r="F69" i="7"/>
  <c r="H69" i="7" s="1"/>
  <c r="F236" i="7"/>
  <c r="F163" i="7"/>
  <c r="H163" i="7" s="1"/>
  <c r="F180" i="7"/>
  <c r="F132" i="7"/>
  <c r="G68" i="7"/>
  <c r="F184" i="7"/>
  <c r="F291" i="7"/>
  <c r="F289" i="7"/>
  <c r="H289" i="7" s="1"/>
  <c r="G92" i="7"/>
  <c r="G246" i="7"/>
  <c r="H246" i="7" s="1"/>
  <c r="F137" i="7"/>
  <c r="H137" i="7" s="1"/>
  <c r="G50" i="7"/>
  <c r="G144" i="7"/>
  <c r="F244" i="7"/>
  <c r="F221" i="7"/>
  <c r="G162" i="7"/>
  <c r="F164" i="7"/>
  <c r="F218" i="7"/>
  <c r="F149" i="7"/>
  <c r="F113" i="7"/>
  <c r="G112" i="7"/>
  <c r="G202" i="7"/>
  <c r="G156" i="7"/>
  <c r="F181" i="7"/>
  <c r="H181" i="7" s="1"/>
  <c r="G277" i="7"/>
  <c r="F116" i="7"/>
  <c r="H116" i="7" s="1"/>
  <c r="G33" i="7"/>
  <c r="G230" i="7"/>
  <c r="G31" i="7"/>
  <c r="G59" i="7"/>
  <c r="G89" i="7"/>
  <c r="G61" i="7"/>
  <c r="F61" i="7"/>
  <c r="F58" i="7"/>
  <c r="G93" i="7"/>
  <c r="G173" i="7"/>
  <c r="F130" i="7"/>
  <c r="G35" i="7"/>
  <c r="F146" i="7"/>
  <c r="F99" i="7"/>
  <c r="G203" i="7"/>
  <c r="G199" i="7"/>
  <c r="G85" i="7"/>
  <c r="F210" i="7"/>
  <c r="H210" i="7" s="1"/>
  <c r="G220" i="7"/>
  <c r="G212" i="7"/>
  <c r="G251" i="7"/>
  <c r="G180" i="7"/>
  <c r="F68" i="7"/>
  <c r="G276" i="7"/>
  <c r="G290" i="7"/>
  <c r="G145" i="7"/>
  <c r="G153" i="7"/>
  <c r="G197" i="7"/>
  <c r="F92" i="7"/>
  <c r="G281" i="7"/>
  <c r="F50" i="7"/>
  <c r="F144" i="7"/>
  <c r="F261" i="7"/>
  <c r="H261" i="7" s="1"/>
  <c r="G117" i="7"/>
  <c r="F162" i="7"/>
  <c r="H162" i="7" s="1"/>
  <c r="G83" i="7"/>
  <c r="G239" i="7"/>
  <c r="G174" i="7"/>
  <c r="F65" i="7"/>
  <c r="F230" i="7"/>
  <c r="H230" i="7" s="1"/>
  <c r="F112" i="7"/>
  <c r="G299" i="7"/>
  <c r="G122" i="7"/>
  <c r="G26" i="7"/>
  <c r="F54" i="7"/>
  <c r="F20" i="7"/>
  <c r="F42" i="7"/>
  <c r="G109" i="7"/>
  <c r="F109" i="7"/>
  <c r="G30" i="7"/>
  <c r="G62" i="7"/>
  <c r="F156" i="7"/>
  <c r="F173" i="7"/>
  <c r="G129" i="7"/>
  <c r="G146" i="7"/>
  <c r="F141" i="7"/>
  <c r="F203" i="7"/>
  <c r="H203" i="7" s="1"/>
  <c r="F199" i="7"/>
  <c r="H199" i="7" s="1"/>
  <c r="F85" i="7"/>
  <c r="H85" i="7" s="1"/>
  <c r="G275" i="7"/>
  <c r="G201" i="7"/>
  <c r="G228" i="7"/>
  <c r="G236" i="7"/>
  <c r="F251" i="7"/>
  <c r="G167" i="7"/>
  <c r="F260" i="7"/>
  <c r="G155" i="7"/>
  <c r="F276" i="7"/>
  <c r="F290" i="7"/>
  <c r="H290" i="7" s="1"/>
  <c r="F145" i="7"/>
  <c r="H145" i="7" s="1"/>
  <c r="F153" i="7"/>
  <c r="H153" i="7" s="1"/>
  <c r="F197" i="7"/>
  <c r="H197" i="7" s="1"/>
  <c r="G267" i="7"/>
  <c r="F266" i="7"/>
  <c r="G195" i="7"/>
  <c r="F117" i="7"/>
  <c r="G164" i="7"/>
  <c r="G241" i="7"/>
  <c r="F239" i="7"/>
  <c r="G114" i="7"/>
  <c r="F174" i="7"/>
  <c r="H174" i="7" s="1"/>
  <c r="F204" i="7"/>
  <c r="H204" i="7" s="1"/>
  <c r="G111" i="7"/>
  <c r="G168" i="7"/>
  <c r="G51" i="7"/>
  <c r="F299" i="7"/>
  <c r="F277" i="7"/>
  <c r="H277" i="7" s="1"/>
  <c r="G198" i="7"/>
  <c r="F200" i="7"/>
  <c r="F270" i="7"/>
  <c r="H270" i="7" s="1"/>
  <c r="G280" i="7"/>
  <c r="F45" i="7"/>
  <c r="H45" i="7" s="1"/>
  <c r="F44" i="7"/>
  <c r="G78" i="7"/>
  <c r="F89" i="7"/>
  <c r="H89" i="7" s="1"/>
  <c r="G81" i="7"/>
  <c r="G110" i="7"/>
  <c r="G28" i="7"/>
  <c r="G172" i="7"/>
  <c r="F129" i="7"/>
  <c r="G223" i="7"/>
  <c r="F143" i="7"/>
  <c r="G196" i="7"/>
  <c r="F275" i="7"/>
  <c r="F201" i="7"/>
  <c r="H201" i="7" s="1"/>
  <c r="G82" i="7"/>
  <c r="G293" i="7"/>
  <c r="F228" i="7"/>
  <c r="H228" i="7" s="1"/>
  <c r="G71" i="7"/>
  <c r="F167" i="7"/>
  <c r="G66" i="7"/>
  <c r="G254" i="7"/>
  <c r="F155" i="7"/>
  <c r="G88" i="7"/>
  <c r="F182" i="7"/>
  <c r="G225" i="7"/>
  <c r="F267" i="7"/>
  <c r="H267" i="7" s="1"/>
  <c r="F281" i="7"/>
  <c r="H281" i="7" s="1"/>
  <c r="G300" i="7"/>
  <c r="F286" i="7"/>
  <c r="H286" i="7" s="1"/>
  <c r="G208" i="7"/>
  <c r="F195" i="7"/>
  <c r="G257" i="7"/>
  <c r="F83" i="7"/>
  <c r="H83" i="7" s="1"/>
  <c r="G205" i="7"/>
  <c r="F114" i="7"/>
  <c r="H114" i="7" s="1"/>
  <c r="G160" i="7"/>
  <c r="G67" i="7"/>
  <c r="G193" i="7"/>
  <c r="G279" i="7"/>
  <c r="G170" i="7"/>
  <c r="F198" i="7"/>
  <c r="H198" i="7" s="1"/>
  <c r="G119" i="7"/>
  <c r="F301" i="7"/>
  <c r="F93" i="7"/>
  <c r="H93" i="7" s="1"/>
  <c r="F121" i="7"/>
  <c r="G29" i="7"/>
  <c r="F39" i="7"/>
  <c r="G126" i="7"/>
  <c r="F55" i="7"/>
  <c r="G86" i="7"/>
  <c r="F60" i="7"/>
  <c r="F166" i="7"/>
  <c r="F172" i="7"/>
  <c r="H172" i="7" s="1"/>
  <c r="F63" i="7"/>
  <c r="F223" i="7"/>
  <c r="G296" i="7"/>
  <c r="F196" i="7"/>
  <c r="F82" i="7"/>
  <c r="F226" i="7"/>
  <c r="H226" i="7" s="1"/>
  <c r="F293" i="7"/>
  <c r="G80" i="7"/>
  <c r="F66" i="7"/>
  <c r="H66" i="7" s="1"/>
  <c r="G260" i="7"/>
  <c r="F254" i="7"/>
  <c r="H254" i="7" s="1"/>
  <c r="G269" i="7"/>
  <c r="G151" i="7"/>
  <c r="F88" i="7"/>
  <c r="G250" i="7"/>
  <c r="G247" i="7"/>
  <c r="G283" i="7"/>
  <c r="G139" i="7"/>
  <c r="F106" i="7"/>
  <c r="G245" i="7"/>
  <c r="F300" i="7"/>
  <c r="H300" i="7" s="1"/>
  <c r="F208" i="7"/>
  <c r="H208" i="7" s="1"/>
  <c r="G37" i="7"/>
  <c r="F205" i="7"/>
  <c r="H205" i="7" s="1"/>
  <c r="F241" i="7"/>
  <c r="G235" i="7"/>
  <c r="F176" i="7"/>
  <c r="H176" i="7" s="1"/>
  <c r="F160" i="7"/>
  <c r="F193" i="7"/>
  <c r="G237" i="7"/>
  <c r="F279" i="7"/>
  <c r="G186" i="7"/>
  <c r="G113" i="7"/>
  <c r="F67" i="7"/>
  <c r="H67" i="7" s="1"/>
  <c r="G159" i="7"/>
  <c r="G215" i="7"/>
  <c r="G200" i="7"/>
  <c r="F219" i="7"/>
  <c r="G63" i="7"/>
  <c r="F28" i="7"/>
  <c r="H28" i="7" s="1"/>
  <c r="F105" i="7"/>
  <c r="G77" i="7"/>
  <c r="G20" i="7"/>
  <c r="G39" i="7"/>
  <c r="G38" i="7"/>
  <c r="G55" i="7"/>
  <c r="G242" i="7"/>
  <c r="H242" i="7" s="1"/>
  <c r="F30" i="7"/>
  <c r="H30" i="7" s="1"/>
  <c r="G70" i="7"/>
  <c r="F135" i="7"/>
  <c r="F49" i="7"/>
  <c r="H49" i="7" s="1"/>
  <c r="G115" i="7"/>
  <c r="G24" i="7"/>
  <c r="G222" i="7"/>
  <c r="G297" i="7"/>
  <c r="F296" i="7"/>
  <c r="H296" i="7" s="1"/>
  <c r="G190" i="7"/>
  <c r="G76" i="7"/>
  <c r="F123" i="7"/>
  <c r="G231" i="7"/>
  <c r="F80" i="7"/>
  <c r="F119" i="7"/>
  <c r="H119" i="7" s="1"/>
  <c r="F269" i="7"/>
  <c r="F151" i="7"/>
  <c r="H151" i="7" s="1"/>
  <c r="F250" i="7"/>
  <c r="H250" i="7" s="1"/>
  <c r="G227" i="7"/>
  <c r="F247" i="7"/>
  <c r="F283" i="7"/>
  <c r="F139" i="7"/>
  <c r="H139" i="7" s="1"/>
  <c r="F91" i="7"/>
  <c r="F225" i="7"/>
  <c r="H225" i="7" s="1"/>
  <c r="F245" i="7"/>
  <c r="G96" i="7"/>
  <c r="F282" i="7"/>
  <c r="G243" i="7"/>
  <c r="F257" i="7"/>
  <c r="H257" i="7" s="1"/>
  <c r="F37" i="7"/>
  <c r="H37" i="7" s="1"/>
  <c r="G266" i="7"/>
  <c r="G240" i="7"/>
  <c r="F235" i="7"/>
  <c r="H235" i="7" s="1"/>
  <c r="G34" i="7"/>
  <c r="G188" i="7"/>
  <c r="F186" i="7"/>
  <c r="G65" i="7"/>
  <c r="F159" i="7"/>
  <c r="F215" i="7"/>
  <c r="G98" i="7"/>
  <c r="F4" i="7"/>
  <c r="H4" i="7" s="1"/>
  <c r="G214" i="7"/>
  <c r="H214" i="7" s="1"/>
  <c r="F233" i="7"/>
  <c r="G44" i="7"/>
  <c r="G134" i="7"/>
  <c r="G125" i="7"/>
  <c r="F29" i="7"/>
  <c r="H29" i="7" s="1"/>
  <c r="G46" i="7"/>
  <c r="F27" i="7"/>
  <c r="F110" i="7"/>
  <c r="H110" i="7" s="1"/>
  <c r="G158" i="7"/>
  <c r="G103" i="7"/>
  <c r="F24" i="7"/>
  <c r="H24" i="7" s="1"/>
  <c r="F222" i="7"/>
  <c r="F138" i="7"/>
  <c r="G150" i="7"/>
  <c r="G72" i="7"/>
  <c r="G187" i="7"/>
  <c r="F76" i="7"/>
  <c r="H76" i="7" s="1"/>
  <c r="G123" i="7"/>
  <c r="G178" i="7"/>
  <c r="G189" i="7"/>
  <c r="F231" i="7"/>
  <c r="G79" i="7"/>
  <c r="F122" i="7"/>
  <c r="H122" i="7" s="1"/>
  <c r="G229" i="7"/>
  <c r="G252" i="7"/>
  <c r="F107" i="7"/>
  <c r="G136" i="7"/>
  <c r="F227" i="7"/>
  <c r="H227" i="7" s="1"/>
  <c r="G22" i="7"/>
  <c r="G91" i="7"/>
  <c r="G138" i="7"/>
  <c r="G185" i="7"/>
  <c r="F96" i="7"/>
  <c r="G106" i="7"/>
  <c r="F243" i="7"/>
  <c r="H243" i="7" s="1"/>
  <c r="G232" i="7"/>
  <c r="G194" i="7"/>
  <c r="F90" i="7"/>
  <c r="F34" i="7"/>
  <c r="G171" i="7"/>
  <c r="F237" i="7"/>
  <c r="H237" i="7" s="1"/>
  <c r="F33" i="7"/>
  <c r="H33" i="7" s="1"/>
  <c r="G217" i="7"/>
  <c r="F98" i="7"/>
  <c r="G4" i="7"/>
  <c r="F278" i="7"/>
  <c r="G263" i="7"/>
  <c r="G121" i="7"/>
  <c r="F56" i="7"/>
  <c r="H56" i="7" s="1"/>
  <c r="F41" i="7"/>
  <c r="H41" i="7" s="1"/>
  <c r="G58" i="7"/>
  <c r="F78" i="7"/>
  <c r="H78" i="7" s="1"/>
  <c r="F94" i="7"/>
  <c r="H94" i="7" s="1"/>
  <c r="G54" i="7"/>
  <c r="G60" i="7"/>
  <c r="F240" i="7"/>
  <c r="F288" i="7"/>
  <c r="H288" i="7" s="1"/>
  <c r="F297" i="7"/>
  <c r="H297" i="7" s="1"/>
  <c r="G259" i="7"/>
  <c r="F150" i="7"/>
  <c r="F190" i="7"/>
  <c r="G255" i="7"/>
  <c r="F72" i="7"/>
  <c r="H72" i="7" s="1"/>
  <c r="G191" i="7"/>
  <c r="F187" i="7"/>
  <c r="F81" i="7"/>
  <c r="H81" i="7" s="1"/>
  <c r="G273" i="7"/>
  <c r="F189" i="7"/>
  <c r="H189" i="7" s="1"/>
  <c r="F294" i="7"/>
  <c r="H294" i="7" s="1"/>
  <c r="F252" i="7"/>
  <c r="H252" i="7" s="1"/>
  <c r="G107" i="7"/>
  <c r="G249" i="7"/>
  <c r="F136" i="7"/>
  <c r="G53" i="7"/>
  <c r="F97" i="7"/>
  <c r="G131" i="7"/>
  <c r="G285" i="7"/>
  <c r="F185" i="7"/>
  <c r="H185" i="7" s="1"/>
  <c r="F268" i="7"/>
  <c r="F232" i="7"/>
  <c r="G282" i="7"/>
  <c r="G183" i="7"/>
  <c r="G301" i="7"/>
  <c r="G256" i="7"/>
  <c r="F95" i="7"/>
  <c r="F171" i="7"/>
  <c r="G233" i="7"/>
  <c r="G101" i="7"/>
  <c r="G211" i="7"/>
  <c r="G64" i="7"/>
  <c r="F263" i="7"/>
  <c r="G105" i="7"/>
  <c r="F26" i="7"/>
  <c r="H26" i="7" s="1"/>
  <c r="F77" i="7"/>
  <c r="H77" i="7" s="1"/>
  <c r="F31" i="7"/>
  <c r="H31" i="7" s="1"/>
  <c r="G143" i="7"/>
  <c r="G40" i="7"/>
  <c r="F40" i="7"/>
  <c r="F51" i="7"/>
  <c r="H51" i="7" s="1"/>
  <c r="F43" i="7"/>
  <c r="H43" i="7" s="1"/>
  <c r="G23" i="7"/>
  <c r="G265" i="7"/>
  <c r="G90" i="7"/>
  <c r="F75" i="7"/>
  <c r="F220" i="7"/>
  <c r="H220" i="7" s="1"/>
  <c r="F259" i="7"/>
  <c r="G169" i="7"/>
  <c r="F255" i="7"/>
  <c r="G295" i="7"/>
  <c r="F191" i="7"/>
  <c r="G124" i="7"/>
  <c r="F178" i="7"/>
  <c r="H178" i="7" s="1"/>
  <c r="G128" i="7"/>
  <c r="G271" i="7"/>
  <c r="G177" i="7"/>
  <c r="F229" i="7"/>
  <c r="G84" i="7"/>
  <c r="F274" i="7"/>
  <c r="G148" i="7"/>
  <c r="G209" i="7"/>
  <c r="F53" i="7"/>
  <c r="F22" i="7"/>
  <c r="H22" i="7" s="1"/>
  <c r="G274" i="7"/>
  <c r="G95" i="7"/>
  <c r="F264" i="7"/>
  <c r="H264" i="7" s="1"/>
  <c r="F194" i="7"/>
  <c r="H194" i="7" s="1"/>
  <c r="F183" i="7"/>
  <c r="H183" i="7" s="1"/>
  <c r="F256" i="7"/>
  <c r="G219" i="7"/>
  <c r="F101" i="7"/>
  <c r="G135" i="7"/>
  <c r="F217" i="7"/>
  <c r="H217" i="7" s="1"/>
  <c r="F211" i="7"/>
  <c r="F64" i="7"/>
  <c r="F292" i="7"/>
  <c r="H292" i="7" s="1"/>
  <c r="F79" i="7"/>
  <c r="H79" i="7" s="1"/>
  <c r="G262" i="7"/>
  <c r="F46" i="7"/>
  <c r="H46" i="7" s="1"/>
  <c r="F73" i="7"/>
  <c r="H73" i="7" s="1"/>
  <c r="F125" i="7"/>
  <c r="F25" i="7"/>
  <c r="H25" i="7" s="1"/>
  <c r="F154" i="7"/>
  <c r="G27" i="7"/>
  <c r="G154" i="7"/>
  <c r="F140" i="7"/>
  <c r="H140" i="7" s="1"/>
  <c r="G141" i="7"/>
  <c r="F126" i="7"/>
  <c r="H126" i="7" s="1"/>
  <c r="G207" i="7"/>
  <c r="G36" i="7"/>
  <c r="F23" i="7"/>
  <c r="G75" i="7"/>
  <c r="G97" i="7"/>
  <c r="G100" i="7"/>
  <c r="F169" i="7"/>
  <c r="G213" i="7"/>
  <c r="G120" i="7"/>
  <c r="F295" i="7"/>
  <c r="H295" i="7" s="1"/>
  <c r="F124" i="7"/>
  <c r="H124" i="7" s="1"/>
  <c r="F192" i="7"/>
  <c r="F273" i="7"/>
  <c r="H273" i="7" s="1"/>
  <c r="G175" i="7"/>
  <c r="F202" i="7"/>
  <c r="H202" i="7" s="1"/>
  <c r="F128" i="7"/>
  <c r="F152" i="7"/>
  <c r="H152" i="7" s="1"/>
  <c r="F271" i="7"/>
  <c r="F177" i="7"/>
  <c r="F84" i="7"/>
  <c r="H84" i="7" s="1"/>
  <c r="F148" i="7"/>
  <c r="H148" i="7" s="1"/>
  <c r="F249" i="7"/>
  <c r="H249" i="7" s="1"/>
  <c r="G165" i="7"/>
  <c r="F209" i="7"/>
  <c r="F284" i="7"/>
  <c r="H284" i="7" s="1"/>
  <c r="F285" i="7"/>
  <c r="H285" i="7" s="1"/>
  <c r="G133" i="7"/>
  <c r="G142" i="7"/>
  <c r="G104" i="7"/>
  <c r="H216" i="7"/>
  <c r="J3" i="7"/>
  <c r="G3" i="7"/>
  <c r="J8" i="7"/>
  <c r="G8" i="7"/>
  <c r="F8" i="7"/>
  <c r="H170" i="7"/>
  <c r="H166" i="7"/>
  <c r="J17" i="7"/>
  <c r="F17" i="7"/>
  <c r="H17" i="7" s="1"/>
  <c r="G17" i="7"/>
  <c r="J7" i="7"/>
  <c r="F7" i="7"/>
  <c r="G7" i="7"/>
  <c r="F3" i="7"/>
  <c r="H3" i="7" s="1"/>
  <c r="G192" i="7"/>
  <c r="G184" i="7"/>
  <c r="H184" i="7" s="1"/>
  <c r="J2" i="7"/>
  <c r="M16" i="7"/>
  <c r="J6" i="7"/>
  <c r="F5" i="7"/>
  <c r="F6" i="7"/>
  <c r="H6" i="7" s="1"/>
  <c r="G6" i="7"/>
  <c r="G5" i="7"/>
  <c r="F158" i="7"/>
  <c r="H158" i="7" s="1"/>
  <c r="F103" i="7"/>
  <c r="H103" i="7" s="1"/>
  <c r="G12" i="7"/>
  <c r="F12" i="7"/>
  <c r="J12" i="7"/>
  <c r="F9" i="7"/>
  <c r="G244" i="7"/>
  <c r="H244" i="7" s="1"/>
  <c r="J14" i="7"/>
  <c r="F14" i="7"/>
  <c r="G14" i="7"/>
  <c r="G9" i="7"/>
  <c r="F111" i="7"/>
  <c r="H111" i="7" s="1"/>
  <c r="F2" i="7"/>
  <c r="H2" i="7" s="1"/>
  <c r="J10" i="7"/>
  <c r="F10" i="7"/>
  <c r="G10" i="7"/>
  <c r="H176" i="11"/>
  <c r="H232" i="11"/>
  <c r="H269" i="11"/>
  <c r="H141" i="11"/>
  <c r="H46" i="11"/>
  <c r="H31" i="11"/>
  <c r="M10" i="16"/>
  <c r="M12" i="16"/>
  <c r="H80" i="15"/>
  <c r="H228" i="11"/>
  <c r="H135" i="11"/>
  <c r="H67" i="11"/>
  <c r="H87" i="11"/>
  <c r="H58" i="11"/>
  <c r="H105" i="11"/>
  <c r="H78" i="11"/>
  <c r="H301" i="11"/>
  <c r="H93" i="11"/>
  <c r="H3" i="11"/>
  <c r="H290" i="15"/>
  <c r="H249" i="11"/>
  <c r="H275" i="11"/>
  <c r="H264" i="15"/>
  <c r="H73" i="11"/>
  <c r="H110" i="11"/>
  <c r="H149" i="11"/>
  <c r="H145" i="8"/>
  <c r="H295" i="15"/>
  <c r="H289" i="15"/>
  <c r="H73" i="15"/>
  <c r="H156" i="8"/>
  <c r="H189" i="8"/>
  <c r="H285" i="15"/>
  <c r="H113" i="15"/>
  <c r="H24" i="15"/>
  <c r="H79" i="15"/>
  <c r="H62" i="8"/>
  <c r="H30" i="8"/>
  <c r="H173" i="15"/>
  <c r="H71" i="15"/>
  <c r="H114" i="8"/>
  <c r="H15" i="22"/>
  <c r="H220" i="15"/>
  <c r="H232" i="15"/>
  <c r="H276" i="15"/>
  <c r="H294" i="15"/>
  <c r="H273" i="8"/>
  <c r="H273" i="15"/>
  <c r="H279" i="8"/>
  <c r="H3" i="8"/>
  <c r="H129" i="15"/>
  <c r="H208" i="15"/>
  <c r="H257" i="8"/>
  <c r="H56" i="8"/>
  <c r="H243" i="8"/>
  <c r="H267" i="11"/>
  <c r="H227" i="15"/>
  <c r="H37" i="11"/>
  <c r="H23" i="11"/>
  <c r="H180" i="11"/>
  <c r="H59" i="11"/>
  <c r="H99" i="11"/>
  <c r="M8" i="11"/>
  <c r="M20" i="11" s="1"/>
  <c r="L9" i="3" s="1"/>
  <c r="H2" i="11"/>
  <c r="H291" i="15"/>
  <c r="H81" i="15"/>
  <c r="H186" i="8"/>
  <c r="H186" i="15"/>
  <c r="H282" i="15"/>
  <c r="H207" i="8"/>
  <c r="H105" i="8"/>
  <c r="H129" i="8"/>
  <c r="H283" i="15"/>
  <c r="H10" i="22"/>
  <c r="H209" i="8"/>
  <c r="H40" i="8"/>
  <c r="H277" i="8"/>
  <c r="H241" i="15"/>
  <c r="H138" i="8"/>
  <c r="H118" i="8"/>
  <c r="H141" i="15"/>
  <c r="H108" i="15"/>
  <c r="M8" i="15"/>
  <c r="H2" i="15"/>
  <c r="H35" i="8"/>
  <c r="H156" i="15"/>
  <c r="H48" i="15"/>
  <c r="H18" i="11"/>
  <c r="H114" i="11"/>
  <c r="H5" i="11"/>
  <c r="H61" i="11"/>
  <c r="H177" i="11"/>
  <c r="H49" i="11"/>
  <c r="H25" i="11"/>
  <c r="H181" i="11"/>
  <c r="H272" i="11"/>
  <c r="H300" i="11"/>
  <c r="H125" i="11"/>
  <c r="H142" i="11"/>
  <c r="H26" i="15"/>
  <c r="H220" i="11"/>
  <c r="H4" i="11"/>
  <c r="H287" i="11"/>
  <c r="H266" i="11"/>
  <c r="H144" i="11"/>
  <c r="H28" i="11"/>
  <c r="H278" i="11"/>
  <c r="H291" i="11"/>
  <c r="M9" i="11"/>
  <c r="H41" i="15"/>
  <c r="H164" i="8"/>
  <c r="H75" i="8"/>
  <c r="H269" i="15"/>
  <c r="H147" i="15"/>
  <c r="H185" i="8"/>
  <c r="H32" i="8"/>
  <c r="H117" i="8"/>
  <c r="H41" i="8"/>
  <c r="H109" i="15"/>
  <c r="H19" i="22"/>
  <c r="M9" i="15"/>
  <c r="M11" i="15" s="1"/>
  <c r="H85" i="8"/>
  <c r="H2" i="8"/>
  <c r="M8" i="8"/>
  <c r="M20" i="8" s="1"/>
  <c r="L6" i="3" s="1"/>
  <c r="H4" i="8"/>
  <c r="H195" i="15"/>
  <c r="H265" i="8"/>
  <c r="H97" i="15"/>
  <c r="M10" i="21"/>
  <c r="M12" i="21" s="1"/>
  <c r="H20" i="22"/>
  <c r="H281" i="8"/>
  <c r="H64" i="8"/>
  <c r="H266" i="8"/>
  <c r="H169" i="8"/>
  <c r="H59" i="8"/>
  <c r="H255" i="15"/>
  <c r="H239" i="15"/>
  <c r="H248" i="11"/>
  <c r="H168" i="11"/>
  <c r="H77" i="11"/>
  <c r="H19" i="11"/>
  <c r="H79" i="8"/>
  <c r="H132" i="8"/>
  <c r="H271" i="15"/>
  <c r="M9" i="8"/>
  <c r="M11" i="8" s="1"/>
  <c r="H290" i="8"/>
  <c r="H224" i="8"/>
  <c r="H184" i="11"/>
  <c r="H115" i="11"/>
  <c r="H74" i="15"/>
  <c r="H7" i="22"/>
  <c r="M10" i="17"/>
  <c r="M12" i="17" s="1"/>
  <c r="H223" i="11"/>
  <c r="H154" i="15"/>
  <c r="H299" i="11"/>
  <c r="H199" i="11"/>
  <c r="H296" i="11"/>
  <c r="H101" i="11"/>
  <c r="H54" i="11"/>
  <c r="H208" i="11"/>
  <c r="H34" i="11"/>
  <c r="H81" i="11"/>
  <c r="H134" i="11"/>
  <c r="H200" i="11"/>
  <c r="H164" i="11"/>
  <c r="H284" i="15"/>
  <c r="H31" i="15"/>
  <c r="H218" i="8"/>
  <c r="H188" i="15"/>
  <c r="H173" i="11"/>
  <c r="H63" i="8"/>
  <c r="H40" i="15"/>
  <c r="H32" i="15"/>
  <c r="H224" i="15"/>
  <c r="H42" i="8"/>
  <c r="H172" i="11"/>
  <c r="H201" i="15"/>
  <c r="H235" i="11"/>
  <c r="H243" i="11"/>
  <c r="H277" i="11"/>
  <c r="H136" i="15"/>
  <c r="H167" i="11"/>
  <c r="H297" i="11"/>
  <c r="H164" i="15"/>
  <c r="H170" i="11"/>
  <c r="H158" i="15"/>
  <c r="H226" i="11"/>
  <c r="H82" i="11"/>
  <c r="H129" i="11"/>
  <c r="H11" i="11"/>
  <c r="H274" i="15"/>
  <c r="H84" i="15"/>
  <c r="H117" i="11"/>
  <c r="H118" i="11"/>
  <c r="H132" i="15"/>
  <c r="H54" i="15"/>
  <c r="H128" i="11"/>
  <c r="H103" i="11"/>
  <c r="H70" i="15"/>
  <c r="H284" i="11"/>
  <c r="H136" i="11"/>
  <c r="H214" i="11"/>
  <c r="H153" i="11"/>
  <c r="H95" i="15"/>
  <c r="H157" i="15"/>
  <c r="H208" i="8"/>
  <c r="H92" i="8"/>
  <c r="H190" i="8"/>
  <c r="H172" i="8"/>
  <c r="H128" i="8"/>
  <c r="H29" i="8"/>
  <c r="H257" i="15"/>
  <c r="H148" i="8"/>
  <c r="H133" i="15"/>
  <c r="H113" i="8"/>
  <c r="H137" i="8"/>
  <c r="H8" i="8"/>
  <c r="H199" i="15"/>
  <c r="H173" i="8"/>
  <c r="H14" i="22"/>
  <c r="H75" i="15"/>
  <c r="H39" i="8"/>
  <c r="H292" i="15"/>
  <c r="H123" i="15"/>
  <c r="H202" i="15"/>
  <c r="H203" i="15"/>
  <c r="H246" i="8"/>
  <c r="H17" i="8"/>
  <c r="H140" i="8"/>
  <c r="H106" i="15"/>
  <c r="H248" i="15"/>
  <c r="H25" i="15"/>
  <c r="H217" i="15"/>
  <c r="H68" i="15"/>
  <c r="H137" i="15"/>
  <c r="H103" i="15"/>
  <c r="H292" i="8"/>
  <c r="M8" i="22"/>
  <c r="H2" i="22"/>
  <c r="H12" i="22"/>
  <c r="H237" i="15"/>
  <c r="H148" i="15"/>
  <c r="H69" i="8"/>
  <c r="H243" i="15"/>
  <c r="H126" i="11"/>
  <c r="H244" i="11"/>
  <c r="H233" i="11"/>
  <c r="H178" i="11"/>
  <c r="H261" i="11"/>
  <c r="H161" i="11"/>
  <c r="H159" i="11"/>
  <c r="H294" i="11"/>
  <c r="H44" i="11"/>
  <c r="H187" i="11"/>
  <c r="H179" i="11"/>
  <c r="H163" i="15"/>
  <c r="H301" i="8"/>
  <c r="H241" i="8"/>
  <c r="H287" i="15"/>
  <c r="H77" i="15"/>
  <c r="H22" i="15"/>
  <c r="H165" i="15"/>
  <c r="H111" i="15"/>
  <c r="H222" i="15"/>
  <c r="H19" i="15"/>
  <c r="H270" i="8"/>
  <c r="H170" i="8"/>
  <c r="H202" i="8"/>
  <c r="H117" i="15"/>
  <c r="H233" i="15"/>
  <c r="H183" i="8"/>
  <c r="H37" i="15"/>
  <c r="H293" i="8"/>
  <c r="M10" i="10"/>
  <c r="H222" i="8"/>
  <c r="H122" i="8"/>
  <c r="H24" i="8"/>
  <c r="M9" i="22"/>
  <c r="M11" i="22" s="1"/>
  <c r="H254" i="8"/>
  <c r="H250" i="8"/>
  <c r="H230" i="15"/>
  <c r="M10" i="19"/>
  <c r="M12" i="19" s="1"/>
  <c r="H42" i="11"/>
  <c r="H174" i="15"/>
  <c r="H281" i="11"/>
  <c r="H185" i="11"/>
  <c r="M10" i="18"/>
  <c r="M12" i="18" s="1"/>
  <c r="H122" i="11"/>
  <c r="H90" i="15"/>
  <c r="H7" i="15"/>
  <c r="H256" i="8"/>
  <c r="H288" i="15"/>
  <c r="H53" i="8"/>
  <c r="M10" i="12"/>
  <c r="M12" i="12" s="1"/>
  <c r="M10" i="14"/>
  <c r="M12" i="14" s="1"/>
  <c r="H91" i="11"/>
  <c r="H147" i="11"/>
  <c r="H260" i="11"/>
  <c r="H16" i="11"/>
  <c r="H259" i="11"/>
  <c r="H235" i="15"/>
  <c r="H171" i="11"/>
  <c r="H192" i="15"/>
  <c r="H240" i="11"/>
  <c r="H162" i="11"/>
  <c r="H248" i="8"/>
  <c r="H51" i="8"/>
  <c r="H16" i="8"/>
  <c r="H261" i="15"/>
  <c r="H172" i="15"/>
  <c r="H17" i="11"/>
  <c r="H241" i="11"/>
  <c r="H209" i="11"/>
  <c r="H279" i="11"/>
  <c r="H140" i="15"/>
  <c r="H218" i="11"/>
  <c r="H51" i="15"/>
  <c r="H133" i="11"/>
  <c r="H33" i="11"/>
  <c r="H88" i="15"/>
  <c r="H127" i="15"/>
  <c r="H128" i="15"/>
  <c r="H224" i="11"/>
  <c r="H280" i="11"/>
  <c r="H20" i="11"/>
  <c r="H296" i="15"/>
  <c r="H138" i="15"/>
  <c r="H182" i="15"/>
  <c r="H206" i="11"/>
  <c r="H52" i="11"/>
  <c r="H96" i="11"/>
  <c r="H42" i="15"/>
  <c r="H22" i="11"/>
  <c r="M10" i="20"/>
  <c r="M12" i="20" s="1"/>
  <c r="H158" i="11"/>
  <c r="H238" i="11"/>
  <c r="H71" i="11"/>
  <c r="H165" i="11"/>
  <c r="H39" i="15"/>
  <c r="H104" i="15"/>
  <c r="H278" i="15"/>
  <c r="H125" i="15"/>
  <c r="H218" i="15"/>
  <c r="H221" i="8"/>
  <c r="H214" i="15"/>
  <c r="H88" i="8"/>
  <c r="H21" i="8"/>
  <c r="M12" i="13"/>
  <c r="M10" i="13"/>
  <c r="H85" i="15"/>
  <c r="H69" i="15"/>
  <c r="H97" i="8"/>
  <c r="H23" i="8"/>
  <c r="H275" i="15"/>
  <c r="H15" i="15"/>
  <c r="H282" i="8"/>
  <c r="H182" i="8"/>
  <c r="H130" i="8"/>
  <c r="H180" i="15"/>
  <c r="H278" i="8"/>
  <c r="H166" i="8"/>
  <c r="H43" i="15"/>
  <c r="H124" i="15"/>
  <c r="H11" i="22"/>
  <c r="H264" i="8"/>
  <c r="H126" i="8"/>
  <c r="H226" i="8"/>
  <c r="H206" i="15"/>
  <c r="H214" i="8"/>
  <c r="H64" i="15"/>
  <c r="H46" i="15"/>
  <c r="H289" i="8"/>
  <c r="H65" i="8"/>
  <c r="H68" i="11"/>
  <c r="H121" i="8"/>
  <c r="H210" i="8"/>
  <c r="H110" i="8"/>
  <c r="H142" i="8"/>
  <c r="M11" i="11" l="1"/>
  <c r="M12" i="10"/>
  <c r="M14" i="10" s="1"/>
  <c r="M11" i="9"/>
  <c r="M10" i="9"/>
  <c r="M12" i="9" s="1"/>
  <c r="H192" i="7"/>
  <c r="H255" i="7"/>
  <c r="H150" i="7"/>
  <c r="H222" i="7"/>
  <c r="H82" i="7"/>
  <c r="H155" i="7"/>
  <c r="H173" i="7"/>
  <c r="H112" i="7"/>
  <c r="H92" i="7"/>
  <c r="H149" i="7"/>
  <c r="H291" i="7"/>
  <c r="H129" i="7"/>
  <c r="H263" i="7"/>
  <c r="H245" i="7"/>
  <c r="H23" i="7"/>
  <c r="H186" i="7"/>
  <c r="H42" i="7"/>
  <c r="H68" i="7"/>
  <c r="H130" i="7"/>
  <c r="H53" i="7"/>
  <c r="H136" i="7"/>
  <c r="H193" i="7"/>
  <c r="H10" i="7"/>
  <c r="H160" i="7"/>
  <c r="H196" i="7"/>
  <c r="H117" i="7"/>
  <c r="H251" i="7"/>
  <c r="H156" i="7"/>
  <c r="H218" i="7"/>
  <c r="H74" i="7"/>
  <c r="H274" i="7"/>
  <c r="H88" i="7"/>
  <c r="H195" i="7"/>
  <c r="H299" i="7"/>
  <c r="H99" i="7"/>
  <c r="H132" i="7"/>
  <c r="H258" i="7"/>
  <c r="H125" i="7"/>
  <c r="H256" i="7"/>
  <c r="H229" i="7"/>
  <c r="H232" i="7"/>
  <c r="H240" i="7"/>
  <c r="H98" i="7"/>
  <c r="H159" i="7"/>
  <c r="H80" i="7"/>
  <c r="H241" i="7"/>
  <c r="H146" i="7"/>
  <c r="H221" i="7"/>
  <c r="H128" i="7"/>
  <c r="H179" i="7"/>
  <c r="H19" i="7"/>
  <c r="H14" i="7"/>
  <c r="H187" i="7"/>
  <c r="H8" i="7"/>
  <c r="H40" i="7"/>
  <c r="H224" i="7"/>
  <c r="H16" i="7"/>
  <c r="M9" i="7"/>
  <c r="H177" i="7"/>
  <c r="H269" i="7"/>
  <c r="H18" i="7"/>
  <c r="H167" i="7"/>
  <c r="H75" i="7"/>
  <c r="H63" i="7"/>
  <c r="H109" i="7"/>
  <c r="H180" i="7"/>
  <c r="H280" i="7"/>
  <c r="H38" i="7"/>
  <c r="H27" i="7"/>
  <c r="H238" i="7"/>
  <c r="H100" i="7"/>
  <c r="H70" i="7"/>
  <c r="H123" i="7"/>
  <c r="H236" i="7"/>
  <c r="H134" i="7"/>
  <c r="H182" i="7"/>
  <c r="H15" i="7"/>
  <c r="H5" i="7"/>
  <c r="H91" i="7"/>
  <c r="H60" i="7"/>
  <c r="H20" i="7"/>
  <c r="H168" i="7"/>
  <c r="H188" i="7"/>
  <c r="H131" i="7"/>
  <c r="H44" i="7"/>
  <c r="H54" i="7"/>
  <c r="H212" i="7"/>
  <c r="H47" i="7"/>
  <c r="H104" i="7"/>
  <c r="H165" i="7"/>
  <c r="H11" i="7"/>
  <c r="H209" i="7"/>
  <c r="H97" i="7"/>
  <c r="H34" i="7"/>
  <c r="H283" i="7"/>
  <c r="H55" i="7"/>
  <c r="H275" i="7"/>
  <c r="H276" i="7"/>
  <c r="H141" i="7"/>
  <c r="H144" i="7"/>
  <c r="H58" i="7"/>
  <c r="H86" i="7"/>
  <c r="H161" i="7"/>
  <c r="H265" i="7"/>
  <c r="H262" i="7"/>
  <c r="M8" i="7"/>
  <c r="H9" i="7"/>
  <c r="H64" i="7"/>
  <c r="H191" i="7"/>
  <c r="H171" i="7"/>
  <c r="H90" i="7"/>
  <c r="H107" i="7"/>
  <c r="H247" i="7"/>
  <c r="H279" i="7"/>
  <c r="H106" i="7"/>
  <c r="H293" i="7"/>
  <c r="H239" i="7"/>
  <c r="H50" i="7"/>
  <c r="H61" i="7"/>
  <c r="H71" i="7"/>
  <c r="H102" i="7"/>
  <c r="H175" i="7"/>
  <c r="H36" i="7"/>
  <c r="H268" i="7"/>
  <c r="H211" i="7"/>
  <c r="H95" i="7"/>
  <c r="H190" i="7"/>
  <c r="H138" i="7"/>
  <c r="H233" i="7"/>
  <c r="H39" i="7"/>
  <c r="H143" i="7"/>
  <c r="H260" i="7"/>
  <c r="H113" i="7"/>
  <c r="H59" i="7"/>
  <c r="H115" i="7"/>
  <c r="H234" i="7"/>
  <c r="H207" i="7"/>
  <c r="H278" i="7"/>
  <c r="H12" i="7"/>
  <c r="H105" i="7"/>
  <c r="H200" i="7"/>
  <c r="H213" i="7"/>
  <c r="H62" i="7"/>
  <c r="H121" i="7"/>
  <c r="H35" i="7"/>
  <c r="H142" i="7"/>
  <c r="H169" i="7"/>
  <c r="H154" i="7"/>
  <c r="H101" i="7"/>
  <c r="H259" i="7"/>
  <c r="H65" i="7"/>
  <c r="H164" i="7"/>
  <c r="H133" i="7"/>
  <c r="H57" i="7"/>
  <c r="H7" i="7"/>
  <c r="H271" i="7"/>
  <c r="H96" i="7"/>
  <c r="H231" i="7"/>
  <c r="H215" i="7"/>
  <c r="H282" i="7"/>
  <c r="H135" i="7"/>
  <c r="H219" i="7"/>
  <c r="H223" i="7"/>
  <c r="H301" i="7"/>
  <c r="H266" i="7"/>
  <c r="H120" i="7"/>
  <c r="H118" i="7"/>
  <c r="M24" i="13"/>
  <c r="L23" i="13"/>
  <c r="L24" i="13"/>
  <c r="M15" i="13"/>
  <c r="M13" i="13"/>
  <c r="K11" i="3" s="1"/>
  <c r="C11" i="4" s="1"/>
  <c r="M14" i="13"/>
  <c r="M23" i="13"/>
  <c r="J11" i="3"/>
  <c r="M15" i="20"/>
  <c r="L24" i="20" s="1"/>
  <c r="M23" i="20"/>
  <c r="M24" i="20"/>
  <c r="M13" i="20"/>
  <c r="K18" i="3" s="1"/>
  <c r="C18" i="4" s="1"/>
  <c r="M14" i="20"/>
  <c r="J18" i="3"/>
  <c r="M15" i="21"/>
  <c r="M23" i="21"/>
  <c r="M24" i="21"/>
  <c r="L23" i="21"/>
  <c r="L24" i="21"/>
  <c r="M13" i="21"/>
  <c r="K19" i="3" s="1"/>
  <c r="C19" i="4" s="1"/>
  <c r="M14" i="21"/>
  <c r="J19" i="3"/>
  <c r="M24" i="18"/>
  <c r="M14" i="18"/>
  <c r="M23" i="18"/>
  <c r="M15" i="18"/>
  <c r="L23" i="18" s="1"/>
  <c r="M13" i="18"/>
  <c r="K16" i="3" s="1"/>
  <c r="C16" i="4" s="1"/>
  <c r="J16" i="3"/>
  <c r="M13" i="16"/>
  <c r="K14" i="3" s="1"/>
  <c r="C14" i="4" s="1"/>
  <c r="M14" i="16"/>
  <c r="M23" i="16"/>
  <c r="M15" i="16"/>
  <c r="L24" i="16" s="1"/>
  <c r="M24" i="16"/>
  <c r="J14" i="3"/>
  <c r="M10" i="8"/>
  <c r="M12" i="8" s="1"/>
  <c r="M23" i="14"/>
  <c r="M24" i="14"/>
  <c r="L23" i="14"/>
  <c r="L24" i="14"/>
  <c r="M13" i="14"/>
  <c r="K12" i="3" s="1"/>
  <c r="C12" i="4" s="1"/>
  <c r="M15" i="14"/>
  <c r="M14" i="14"/>
  <c r="J12" i="3"/>
  <c r="J8" i="3"/>
  <c r="M10" i="11"/>
  <c r="M12" i="11" s="1"/>
  <c r="M23" i="12"/>
  <c r="M13" i="12"/>
  <c r="K10" i="3" s="1"/>
  <c r="C10" i="4" s="1"/>
  <c r="M14" i="12"/>
  <c r="M15" i="12"/>
  <c r="L24" i="12" s="1"/>
  <c r="M24" i="12"/>
  <c r="J10" i="3"/>
  <c r="M10" i="22"/>
  <c r="M12" i="22" s="1"/>
  <c r="M15" i="17"/>
  <c r="L23" i="17" s="1"/>
  <c r="M24" i="17"/>
  <c r="M13" i="17"/>
  <c r="K15" i="3" s="1"/>
  <c r="C15" i="4" s="1"/>
  <c r="M23" i="17"/>
  <c r="M14" i="17"/>
  <c r="J15" i="3"/>
  <c r="M13" i="19"/>
  <c r="K17" i="3" s="1"/>
  <c r="C17" i="4" s="1"/>
  <c r="M14" i="19"/>
  <c r="M15" i="19"/>
  <c r="L24" i="19" s="1"/>
  <c r="M24" i="19"/>
  <c r="L23" i="19"/>
  <c r="M23" i="19"/>
  <c r="J17" i="3"/>
  <c r="M10" i="15"/>
  <c r="M12" i="15" s="1"/>
  <c r="L23" i="20" l="1"/>
  <c r="L24" i="18"/>
  <c r="L24" i="17"/>
  <c r="L23" i="16"/>
  <c r="L23" i="12"/>
  <c r="M23" i="10"/>
  <c r="M13" i="10"/>
  <c r="K8" i="3" s="1"/>
  <c r="C8" i="4" s="1"/>
  <c r="M24" i="10"/>
  <c r="M15" i="10"/>
  <c r="I161" i="10" s="1"/>
  <c r="J7" i="3"/>
  <c r="M13" i="9"/>
  <c r="K7" i="3" s="1"/>
  <c r="C7" i="4" s="1"/>
  <c r="M14" i="9"/>
  <c r="M15" i="9"/>
  <c r="L24" i="9" s="1"/>
  <c r="M24" i="9"/>
  <c r="L23" i="9"/>
  <c r="M23" i="9"/>
  <c r="M11" i="7"/>
  <c r="M10" i="7"/>
  <c r="M12" i="7" s="1"/>
  <c r="M15" i="7" s="1"/>
  <c r="J5" i="3"/>
  <c r="M14" i="7"/>
  <c r="M13" i="7"/>
  <c r="K5" i="3" s="1"/>
  <c r="C5" i="4" s="1"/>
  <c r="G5" i="4" s="1"/>
  <c r="L23" i="7"/>
  <c r="M24" i="7"/>
  <c r="M15" i="22"/>
  <c r="M23" i="22"/>
  <c r="M14" i="22"/>
  <c r="M24" i="22"/>
  <c r="L24" i="22"/>
  <c r="M13" i="22"/>
  <c r="L23" i="22"/>
  <c r="M17" i="12"/>
  <c r="M18" i="12"/>
  <c r="I38" i="12"/>
  <c r="I10" i="12"/>
  <c r="I255" i="12"/>
  <c r="I285" i="12"/>
  <c r="I15" i="12"/>
  <c r="I283" i="12"/>
  <c r="I298" i="12"/>
  <c r="I123" i="12"/>
  <c r="I111" i="12"/>
  <c r="I112" i="12"/>
  <c r="I26" i="12"/>
  <c r="I222" i="12"/>
  <c r="I122" i="12"/>
  <c r="I218" i="12"/>
  <c r="I251" i="12"/>
  <c r="I81" i="12"/>
  <c r="I282" i="12"/>
  <c r="I192" i="12"/>
  <c r="I294" i="12"/>
  <c r="I261" i="12"/>
  <c r="I141" i="12"/>
  <c r="I264" i="12"/>
  <c r="I82" i="12"/>
  <c r="I183" i="12"/>
  <c r="I84" i="12"/>
  <c r="I292" i="12"/>
  <c r="I99" i="12"/>
  <c r="I40" i="12"/>
  <c r="I97" i="12"/>
  <c r="I133" i="12"/>
  <c r="I248" i="12"/>
  <c r="I173" i="12"/>
  <c r="I95" i="12"/>
  <c r="I236" i="12"/>
  <c r="I171" i="12"/>
  <c r="I198" i="12"/>
  <c r="I217" i="12"/>
  <c r="I274" i="12"/>
  <c r="I14" i="12"/>
  <c r="I229" i="12"/>
  <c r="I67" i="12"/>
  <c r="I132" i="12"/>
  <c r="I44" i="12"/>
  <c r="I71" i="12"/>
  <c r="I227" i="12"/>
  <c r="I64" i="12"/>
  <c r="I22" i="12"/>
  <c r="I258" i="12"/>
  <c r="I70" i="12"/>
  <c r="I106" i="12"/>
  <c r="I115" i="12"/>
  <c r="I136" i="12"/>
  <c r="I77" i="12"/>
  <c r="I226" i="12"/>
  <c r="I43" i="12"/>
  <c r="I62" i="12"/>
  <c r="I249" i="12"/>
  <c r="I47" i="12"/>
  <c r="I79" i="12"/>
  <c r="I163" i="12"/>
  <c r="I48" i="12"/>
  <c r="I89" i="12"/>
  <c r="I6" i="12"/>
  <c r="I280" i="12"/>
  <c r="I29" i="12"/>
  <c r="I158" i="12"/>
  <c r="I265" i="12"/>
  <c r="I254" i="12"/>
  <c r="I202" i="12"/>
  <c r="I271" i="12"/>
  <c r="I165" i="12"/>
  <c r="I211" i="12"/>
  <c r="I243" i="12"/>
  <c r="I114" i="12"/>
  <c r="I5" i="12"/>
  <c r="I152" i="12"/>
  <c r="I262" i="12"/>
  <c r="I45" i="12"/>
  <c r="I269" i="12"/>
  <c r="I175" i="12"/>
  <c r="I238" i="12"/>
  <c r="I87" i="12"/>
  <c r="I213" i="12"/>
  <c r="I143" i="12"/>
  <c r="I127" i="12"/>
  <c r="I195" i="12"/>
  <c r="I56" i="12"/>
  <c r="I221" i="12"/>
  <c r="I239" i="12"/>
  <c r="I224" i="12"/>
  <c r="I27" i="12"/>
  <c r="I124" i="12"/>
  <c r="I154" i="12"/>
  <c r="I235" i="12"/>
  <c r="I242" i="12"/>
  <c r="I291" i="12"/>
  <c r="I190" i="12"/>
  <c r="I169" i="12"/>
  <c r="I260" i="12"/>
  <c r="I250" i="12"/>
  <c r="I191" i="12"/>
  <c r="I13" i="12"/>
  <c r="I2" i="12"/>
  <c r="I146" i="12"/>
  <c r="I200" i="12"/>
  <c r="I150" i="12"/>
  <c r="I126" i="12"/>
  <c r="I9" i="12"/>
  <c r="I60" i="12"/>
  <c r="I257" i="12"/>
  <c r="I119" i="12"/>
  <c r="I293" i="12"/>
  <c r="I4" i="12"/>
  <c r="I120" i="12"/>
  <c r="I276" i="12"/>
  <c r="I93" i="12"/>
  <c r="I194" i="12"/>
  <c r="I174" i="12"/>
  <c r="I223" i="12"/>
  <c r="I278" i="12"/>
  <c r="I75" i="12"/>
  <c r="I94" i="12"/>
  <c r="I108" i="12"/>
  <c r="I85" i="12"/>
  <c r="I142" i="12"/>
  <c r="I116" i="12"/>
  <c r="I33" i="12"/>
  <c r="I103" i="12"/>
  <c r="I107" i="12"/>
  <c r="I240" i="12"/>
  <c r="I287" i="12"/>
  <c r="I164" i="12"/>
  <c r="I55" i="12"/>
  <c r="I167" i="12"/>
  <c r="I80" i="12"/>
  <c r="I275" i="12"/>
  <c r="I129" i="12"/>
  <c r="I172" i="12"/>
  <c r="I177" i="12"/>
  <c r="I266" i="12"/>
  <c r="I245" i="12"/>
  <c r="I134" i="12"/>
  <c r="I30" i="12"/>
  <c r="I300" i="12"/>
  <c r="I253" i="12"/>
  <c r="I138" i="12"/>
  <c r="I31" i="12"/>
  <c r="I215" i="12"/>
  <c r="I92" i="12"/>
  <c r="I268" i="12"/>
  <c r="I153" i="12"/>
  <c r="I118" i="12"/>
  <c r="I16" i="12"/>
  <c r="I36" i="12"/>
  <c r="I231" i="12"/>
  <c r="I96" i="12"/>
  <c r="I279" i="12"/>
  <c r="I8" i="12"/>
  <c r="I7" i="12"/>
  <c r="I12" i="12"/>
  <c r="I281" i="12"/>
  <c r="I189" i="12"/>
  <c r="I178" i="12"/>
  <c r="I98" i="12"/>
  <c r="I74" i="12"/>
  <c r="I130" i="12"/>
  <c r="I34" i="12"/>
  <c r="I121" i="12"/>
  <c r="I210" i="12"/>
  <c r="I180" i="12"/>
  <c r="I228" i="12"/>
  <c r="I61" i="12"/>
  <c r="I78" i="12"/>
  <c r="I110" i="12"/>
  <c r="I179" i="12"/>
  <c r="I52" i="12"/>
  <c r="I131" i="12"/>
  <c r="I63" i="12"/>
  <c r="I104" i="12"/>
  <c r="I176" i="12"/>
  <c r="I170" i="12"/>
  <c r="I208" i="12"/>
  <c r="I203" i="12"/>
  <c r="I230" i="12"/>
  <c r="I290" i="12"/>
  <c r="I49" i="12"/>
  <c r="I241" i="12"/>
  <c r="I263" i="12"/>
  <c r="I299" i="12"/>
  <c r="I234" i="12"/>
  <c r="I159" i="12"/>
  <c r="I244" i="12"/>
  <c r="I277" i="12"/>
  <c r="I105" i="12"/>
  <c r="I205" i="12"/>
  <c r="I201" i="12"/>
  <c r="I193" i="12"/>
  <c r="I37" i="12"/>
  <c r="I28" i="12"/>
  <c r="I68" i="12"/>
  <c r="I267" i="12"/>
  <c r="I125" i="12"/>
  <c r="I73" i="12"/>
  <c r="I113" i="12"/>
  <c r="I109" i="12"/>
  <c r="I65" i="12"/>
  <c r="I101" i="12"/>
  <c r="I162" i="12"/>
  <c r="I207" i="12"/>
  <c r="I148" i="12"/>
  <c r="I160" i="12"/>
  <c r="I284" i="12"/>
  <c r="I145" i="12"/>
  <c r="I3" i="12"/>
  <c r="I35" i="12"/>
  <c r="I39" i="12"/>
  <c r="I59" i="12"/>
  <c r="I272" i="12"/>
  <c r="I147" i="12"/>
  <c r="I91" i="12"/>
  <c r="I72" i="12"/>
  <c r="I204" i="12"/>
  <c r="I186" i="12"/>
  <c r="I219" i="12"/>
  <c r="I246" i="12"/>
  <c r="I18" i="12"/>
  <c r="I69" i="12"/>
  <c r="I32" i="12"/>
  <c r="I128" i="12"/>
  <c r="I51" i="12"/>
  <c r="I295" i="12"/>
  <c r="I54" i="12"/>
  <c r="I21" i="12"/>
  <c r="I199" i="12"/>
  <c r="I88" i="12"/>
  <c r="I157" i="12"/>
  <c r="I17" i="12"/>
  <c r="I66" i="12"/>
  <c r="I140" i="12"/>
  <c r="I23" i="12"/>
  <c r="I90" i="12"/>
  <c r="I58" i="12"/>
  <c r="I144" i="12"/>
  <c r="I296" i="12"/>
  <c r="I233" i="12"/>
  <c r="I57" i="12"/>
  <c r="I53" i="12"/>
  <c r="I232" i="12"/>
  <c r="I182" i="12"/>
  <c r="I11" i="12"/>
  <c r="I149" i="12"/>
  <c r="I289" i="12"/>
  <c r="I196" i="12"/>
  <c r="I181" i="12"/>
  <c r="I185" i="12"/>
  <c r="I161" i="12"/>
  <c r="I25" i="12"/>
  <c r="I168" i="12"/>
  <c r="I273" i="12"/>
  <c r="I102" i="12"/>
  <c r="I41" i="12"/>
  <c r="I184" i="12"/>
  <c r="I297" i="12"/>
  <c r="I83" i="12"/>
  <c r="I46" i="12"/>
  <c r="I247" i="12"/>
  <c r="I100" i="12"/>
  <c r="I117" i="12"/>
  <c r="I86" i="12"/>
  <c r="I135" i="12"/>
  <c r="I24" i="12"/>
  <c r="I301" i="12"/>
  <c r="I155" i="12"/>
  <c r="I187" i="12"/>
  <c r="I214" i="12"/>
  <c r="I259" i="12"/>
  <c r="I42" i="12"/>
  <c r="I139" i="12"/>
  <c r="I151" i="12"/>
  <c r="I76" i="12"/>
  <c r="I19" i="12"/>
  <c r="I252" i="12"/>
  <c r="I256" i="12"/>
  <c r="I220" i="12"/>
  <c r="I288" i="12"/>
  <c r="I270" i="12"/>
  <c r="I156" i="12"/>
  <c r="I137" i="12"/>
  <c r="I188" i="12"/>
  <c r="I237" i="12"/>
  <c r="I20" i="12"/>
  <c r="I50" i="12"/>
  <c r="I216" i="12"/>
  <c r="I166" i="12"/>
  <c r="I286" i="12"/>
  <c r="I212" i="12"/>
  <c r="I225" i="12"/>
  <c r="I206" i="12"/>
  <c r="I209" i="12"/>
  <c r="I197" i="12"/>
  <c r="M17" i="10"/>
  <c r="M18" i="10"/>
  <c r="I17" i="10"/>
  <c r="I11" i="10"/>
  <c r="I129" i="10"/>
  <c r="I10" i="10"/>
  <c r="I265" i="10"/>
  <c r="I89" i="10"/>
  <c r="I185" i="10"/>
  <c r="I217" i="10"/>
  <c r="I48" i="10"/>
  <c r="I243" i="10"/>
  <c r="I30" i="10"/>
  <c r="I62" i="10"/>
  <c r="I197" i="10"/>
  <c r="I81" i="10"/>
  <c r="I268" i="10"/>
  <c r="I33" i="10"/>
  <c r="I124" i="10"/>
  <c r="I169" i="10"/>
  <c r="I160" i="10"/>
  <c r="I192" i="10"/>
  <c r="I112" i="10"/>
  <c r="I51" i="10"/>
  <c r="I134" i="10"/>
  <c r="I7" i="10"/>
  <c r="I36" i="10"/>
  <c r="I68" i="10"/>
  <c r="I148" i="10"/>
  <c r="I43" i="10"/>
  <c r="I107" i="10"/>
  <c r="I232" i="10"/>
  <c r="I144" i="10"/>
  <c r="I165" i="10"/>
  <c r="I242" i="10"/>
  <c r="I116" i="10"/>
  <c r="I67" i="10"/>
  <c r="I46" i="10"/>
  <c r="I146" i="10"/>
  <c r="I204" i="10"/>
  <c r="I218" i="10"/>
  <c r="I58" i="10"/>
  <c r="I229" i="10"/>
  <c r="I162" i="10"/>
  <c r="I200" i="10"/>
  <c r="I64" i="10"/>
  <c r="I8" i="10"/>
  <c r="I96" i="10"/>
  <c r="I13" i="10"/>
  <c r="I49" i="10"/>
  <c r="I97" i="10"/>
  <c r="I3" i="10"/>
  <c r="I186" i="10"/>
  <c r="I26" i="10"/>
  <c r="I168" i="10"/>
  <c r="I258" i="10"/>
  <c r="I259" i="10"/>
  <c r="I150" i="10"/>
  <c r="I52" i="10"/>
  <c r="I151" i="10"/>
  <c r="I14" i="10"/>
  <c r="I84" i="10"/>
  <c r="I176" i="10"/>
  <c r="I23" i="10"/>
  <c r="I297" i="10"/>
  <c r="I113" i="10"/>
  <c r="I275" i="10"/>
  <c r="I15" i="10"/>
  <c r="I28" i="10"/>
  <c r="I31" i="10"/>
  <c r="I299" i="10"/>
  <c r="I180" i="10"/>
  <c r="I234" i="10"/>
  <c r="I187" i="10"/>
  <c r="I244" i="10"/>
  <c r="I115" i="10"/>
  <c r="I177" i="10"/>
  <c r="I281" i="10"/>
  <c r="I273" i="10"/>
  <c r="I220" i="10"/>
  <c r="I211" i="10"/>
  <c r="I298" i="10"/>
  <c r="I195" i="10"/>
  <c r="I214" i="10"/>
  <c r="I264" i="10"/>
  <c r="I294" i="10"/>
  <c r="I252" i="10"/>
  <c r="I202" i="10"/>
  <c r="I142" i="10"/>
  <c r="I241" i="10"/>
  <c r="I138" i="10"/>
  <c r="I125" i="10"/>
  <c r="I50" i="10"/>
  <c r="I291" i="10"/>
  <c r="I147" i="10"/>
  <c r="I283" i="10"/>
  <c r="I267" i="10"/>
  <c r="I108" i="10"/>
  <c r="I109" i="10"/>
  <c r="I251" i="10"/>
  <c r="I183" i="10"/>
  <c r="I250" i="10"/>
  <c r="I228" i="10"/>
  <c r="I182" i="10"/>
  <c r="I131" i="10"/>
  <c r="I111" i="10"/>
  <c r="I247" i="10"/>
  <c r="I174" i="10"/>
  <c r="I175" i="10"/>
  <c r="I181" i="10"/>
  <c r="I82" i="10"/>
  <c r="I198" i="10"/>
  <c r="I53" i="10"/>
  <c r="I93" i="10"/>
  <c r="I223" i="10"/>
  <c r="I76" i="10"/>
  <c r="I295" i="10"/>
  <c r="I227" i="10"/>
  <c r="I235" i="10"/>
  <c r="I121" i="10"/>
  <c r="I206" i="10"/>
  <c r="I238" i="10"/>
  <c r="I156" i="10"/>
  <c r="I170" i="10"/>
  <c r="I117" i="10"/>
  <c r="I92" i="10"/>
  <c r="I4" i="10"/>
  <c r="I47" i="10"/>
  <c r="I289" i="10"/>
  <c r="I179" i="10"/>
  <c r="I44" i="10"/>
  <c r="I149" i="10"/>
  <c r="I69" i="10"/>
  <c r="I66" i="10"/>
  <c r="I248" i="10"/>
  <c r="I278" i="10"/>
  <c r="I102" i="10"/>
  <c r="I285" i="10"/>
  <c r="I239" i="10"/>
  <c r="I166" i="10"/>
  <c r="I77" i="10"/>
  <c r="I270" i="10"/>
  <c r="I54" i="10"/>
  <c r="I12" i="10"/>
  <c r="I189" i="10"/>
  <c r="I196" i="10"/>
  <c r="I104" i="10"/>
  <c r="I85" i="10"/>
  <c r="I127" i="10"/>
  <c r="I140" i="10"/>
  <c r="I212" i="10"/>
  <c r="I292" i="10"/>
  <c r="I256" i="10"/>
  <c r="I118" i="10"/>
  <c r="I114" i="10"/>
  <c r="I2" i="10"/>
  <c r="I98" i="10"/>
  <c r="I246" i="10"/>
  <c r="I155" i="10"/>
  <c r="I139" i="10"/>
  <c r="I135" i="10"/>
  <c r="I101" i="10"/>
  <c r="I38" i="10"/>
  <c r="I262" i="10"/>
  <c r="I167" i="10"/>
  <c r="I287" i="10"/>
  <c r="I271" i="10"/>
  <c r="I203" i="10"/>
  <c r="I237" i="10"/>
  <c r="I191" i="10"/>
  <c r="I213" i="10"/>
  <c r="I61" i="10"/>
  <c r="I88" i="10"/>
  <c r="I103" i="10"/>
  <c r="I274" i="10"/>
  <c r="I245" i="10"/>
  <c r="I257" i="10"/>
  <c r="I219" i="10"/>
  <c r="I37" i="10"/>
  <c r="I266" i="10"/>
  <c r="I55" i="10"/>
  <c r="I95" i="10"/>
  <c r="I21" i="10"/>
  <c r="I70" i="10"/>
  <c r="I122" i="10"/>
  <c r="I157" i="10"/>
  <c r="I255" i="10"/>
  <c r="I230" i="10"/>
  <c r="I18" i="10"/>
  <c r="I253" i="10"/>
  <c r="I188" i="10"/>
  <c r="I6" i="10"/>
  <c r="I260" i="10"/>
  <c r="I39" i="10"/>
  <c r="I215" i="10"/>
  <c r="I79" i="10"/>
  <c r="I72" i="10"/>
  <c r="I276" i="10"/>
  <c r="I199" i="10"/>
  <c r="I277" i="10"/>
  <c r="I63" i="10"/>
  <c r="I164" i="10"/>
  <c r="I288" i="10"/>
  <c r="I34" i="10"/>
  <c r="I280" i="10"/>
  <c r="I132" i="10"/>
  <c r="I279" i="10"/>
  <c r="I282" i="10"/>
  <c r="I24" i="10"/>
  <c r="I45" i="10"/>
  <c r="I184" i="10"/>
  <c r="I40" i="10"/>
  <c r="I261" i="10"/>
  <c r="I86" i="10"/>
  <c r="I163" i="10"/>
  <c r="I87" i="10"/>
  <c r="I249" i="10"/>
  <c r="I301" i="10"/>
  <c r="I171" i="10"/>
  <c r="I60" i="10"/>
  <c r="I209" i="10"/>
  <c r="I296" i="10"/>
  <c r="I152" i="10"/>
  <c r="I128" i="10"/>
  <c r="J17" i="4"/>
  <c r="K17" i="4"/>
  <c r="H17" i="4"/>
  <c r="L17" i="4"/>
  <c r="G17" i="4"/>
  <c r="I17" i="4"/>
  <c r="I10" i="4"/>
  <c r="K10" i="4"/>
  <c r="H10" i="4"/>
  <c r="J10" i="4"/>
  <c r="G10" i="4"/>
  <c r="L10" i="4"/>
  <c r="H19" i="4"/>
  <c r="L19" i="4"/>
  <c r="K19" i="4"/>
  <c r="G19" i="4"/>
  <c r="J19" i="4"/>
  <c r="I19" i="4"/>
  <c r="K7" i="4"/>
  <c r="J7" i="4"/>
  <c r="H7" i="4"/>
  <c r="L7" i="4"/>
  <c r="G7" i="4"/>
  <c r="I7" i="4"/>
  <c r="J14" i="4"/>
  <c r="H14" i="4"/>
  <c r="G14" i="4"/>
  <c r="L14" i="4"/>
  <c r="K14" i="4"/>
  <c r="I14" i="4"/>
  <c r="M17" i="20"/>
  <c r="M20" i="20" s="1"/>
  <c r="L18" i="3" s="1"/>
  <c r="M18" i="20"/>
  <c r="I9" i="20"/>
  <c r="I46" i="20"/>
  <c r="I42" i="20"/>
  <c r="I33" i="20"/>
  <c r="I51" i="20"/>
  <c r="I66" i="20"/>
  <c r="I202" i="20"/>
  <c r="I83" i="20"/>
  <c r="I6" i="20"/>
  <c r="I204" i="20"/>
  <c r="I130" i="20"/>
  <c r="I253" i="20"/>
  <c r="I275" i="20"/>
  <c r="I276" i="20"/>
  <c r="I44" i="20"/>
  <c r="I109" i="20"/>
  <c r="I31" i="20"/>
  <c r="I34" i="20"/>
  <c r="I277" i="20"/>
  <c r="I205" i="20"/>
  <c r="I150" i="20"/>
  <c r="I237" i="20"/>
  <c r="I102" i="20"/>
  <c r="I186" i="20"/>
  <c r="I264" i="20"/>
  <c r="I40" i="20"/>
  <c r="I251" i="20"/>
  <c r="I129" i="20"/>
  <c r="I143" i="20"/>
  <c r="I207" i="20"/>
  <c r="I225" i="20"/>
  <c r="I73" i="20"/>
  <c r="I24" i="20"/>
  <c r="I160" i="20"/>
  <c r="I219" i="20"/>
  <c r="I141" i="20"/>
  <c r="I127" i="20"/>
  <c r="I177" i="20"/>
  <c r="I140" i="20"/>
  <c r="I114" i="20"/>
  <c r="I58" i="20"/>
  <c r="I252" i="20"/>
  <c r="I30" i="20"/>
  <c r="I112" i="20"/>
  <c r="I210" i="20"/>
  <c r="I246" i="20"/>
  <c r="I75" i="20"/>
  <c r="I110" i="20"/>
  <c r="I60" i="20"/>
  <c r="I14" i="20"/>
  <c r="I267" i="20"/>
  <c r="I222" i="20"/>
  <c r="I226" i="20"/>
  <c r="I108" i="20"/>
  <c r="I182" i="20"/>
  <c r="I37" i="20"/>
  <c r="I52" i="20"/>
  <c r="I128" i="20"/>
  <c r="I260" i="20"/>
  <c r="I135" i="20"/>
  <c r="I176" i="20"/>
  <c r="I227" i="20"/>
  <c r="I247" i="20"/>
  <c r="I286" i="20"/>
  <c r="I95" i="20"/>
  <c r="I11" i="20"/>
  <c r="I283" i="20"/>
  <c r="I89" i="20"/>
  <c r="I257" i="20"/>
  <c r="I142" i="20"/>
  <c r="I254" i="20"/>
  <c r="I161" i="20"/>
  <c r="I122" i="20"/>
  <c r="I221" i="20"/>
  <c r="I104" i="20"/>
  <c r="I245" i="20"/>
  <c r="I81" i="20"/>
  <c r="I69" i="20"/>
  <c r="I274" i="20"/>
  <c r="I259" i="20"/>
  <c r="I50" i="20"/>
  <c r="I240" i="20"/>
  <c r="I145" i="20"/>
  <c r="I21" i="20"/>
  <c r="I131" i="20"/>
  <c r="I180" i="20"/>
  <c r="I190" i="20"/>
  <c r="I281" i="20"/>
  <c r="I169" i="20"/>
  <c r="I224" i="20"/>
  <c r="I105" i="20"/>
  <c r="I70" i="20"/>
  <c r="I78" i="20"/>
  <c r="I290" i="20"/>
  <c r="I164" i="20"/>
  <c r="I203" i="20"/>
  <c r="I67" i="20"/>
  <c r="I79" i="20"/>
  <c r="I120" i="20"/>
  <c r="I268" i="20"/>
  <c r="I292" i="20"/>
  <c r="I43" i="20"/>
  <c r="I154" i="20"/>
  <c r="I35" i="20"/>
  <c r="I213" i="20"/>
  <c r="I134" i="20"/>
  <c r="I175" i="20"/>
  <c r="I297" i="20"/>
  <c r="I243" i="20"/>
  <c r="I234" i="20"/>
  <c r="I299" i="20"/>
  <c r="I262" i="20"/>
  <c r="I263" i="20"/>
  <c r="I54" i="20"/>
  <c r="I291" i="20"/>
  <c r="I117" i="20"/>
  <c r="I39" i="20"/>
  <c r="I206" i="20"/>
  <c r="I100" i="20"/>
  <c r="I298" i="20"/>
  <c r="I98" i="20"/>
  <c r="I53" i="20"/>
  <c r="I273" i="20"/>
  <c r="I158" i="20"/>
  <c r="I48" i="20"/>
  <c r="I193" i="20"/>
  <c r="I101" i="20"/>
  <c r="I172" i="20"/>
  <c r="I65" i="20"/>
  <c r="I163" i="20"/>
  <c r="I185" i="20"/>
  <c r="I191" i="20"/>
  <c r="I80" i="20"/>
  <c r="I236" i="20"/>
  <c r="I4" i="20"/>
  <c r="I155" i="20"/>
  <c r="I256" i="20"/>
  <c r="I288" i="20"/>
  <c r="I96" i="20"/>
  <c r="I25" i="20"/>
  <c r="I230" i="20"/>
  <c r="I13" i="20"/>
  <c r="I188" i="20"/>
  <c r="I272" i="20"/>
  <c r="I265" i="20"/>
  <c r="I91" i="20"/>
  <c r="I88" i="20"/>
  <c r="I113" i="20"/>
  <c r="I278" i="20"/>
  <c r="I87" i="20"/>
  <c r="I92" i="20"/>
  <c r="I45" i="20"/>
  <c r="I218" i="20"/>
  <c r="I261" i="20"/>
  <c r="I55" i="20"/>
  <c r="I144" i="20"/>
  <c r="I2" i="20"/>
  <c r="I133" i="20"/>
  <c r="I63" i="20"/>
  <c r="I74" i="20"/>
  <c r="I147" i="20"/>
  <c r="I26" i="20"/>
  <c r="I76" i="20"/>
  <c r="I301" i="20"/>
  <c r="I15" i="20"/>
  <c r="I280" i="20"/>
  <c r="I38" i="20"/>
  <c r="I200" i="20"/>
  <c r="I116" i="20"/>
  <c r="I94" i="20"/>
  <c r="I123" i="20"/>
  <c r="I17" i="20"/>
  <c r="I97" i="20"/>
  <c r="I235" i="20"/>
  <c r="I157" i="20"/>
  <c r="I85" i="20"/>
  <c r="I199" i="20"/>
  <c r="I217" i="20"/>
  <c r="I295" i="20"/>
  <c r="I153" i="20"/>
  <c r="I77" i="20"/>
  <c r="I151" i="20"/>
  <c r="I167" i="20"/>
  <c r="I10" i="20"/>
  <c r="I232" i="20"/>
  <c r="I138" i="20"/>
  <c r="I211" i="20"/>
  <c r="I229" i="20"/>
  <c r="I162" i="20"/>
  <c r="I215" i="20"/>
  <c r="I233" i="20"/>
  <c r="I197" i="20"/>
  <c r="I49" i="20"/>
  <c r="I29" i="20"/>
  <c r="I249" i="20"/>
  <c r="I244" i="20"/>
  <c r="I173" i="20"/>
  <c r="I220" i="20"/>
  <c r="I18" i="20"/>
  <c r="I214" i="20"/>
  <c r="I99" i="20"/>
  <c r="I201" i="20"/>
  <c r="I282" i="20"/>
  <c r="I132" i="20"/>
  <c r="I184" i="20"/>
  <c r="I159" i="20"/>
  <c r="I289" i="20"/>
  <c r="I93" i="20"/>
  <c r="I107" i="20"/>
  <c r="I27" i="20"/>
  <c r="I82" i="20"/>
  <c r="I152" i="20"/>
  <c r="I258" i="20"/>
  <c r="I266" i="20"/>
  <c r="I118" i="20"/>
  <c r="I148" i="20"/>
  <c r="I68" i="20"/>
  <c r="I47" i="20"/>
  <c r="I146" i="20"/>
  <c r="I174" i="20"/>
  <c r="I170" i="20"/>
  <c r="I19" i="20"/>
  <c r="I178" i="20"/>
  <c r="I41" i="20"/>
  <c r="I293" i="20"/>
  <c r="I181" i="20"/>
  <c r="I223" i="20"/>
  <c r="I241" i="20"/>
  <c r="I187" i="20"/>
  <c r="I216" i="20"/>
  <c r="I12" i="20"/>
  <c r="I208" i="20"/>
  <c r="I239" i="20"/>
  <c r="I270" i="20"/>
  <c r="I165" i="20"/>
  <c r="I119" i="20"/>
  <c r="I195" i="20"/>
  <c r="I189" i="20"/>
  <c r="I279" i="20"/>
  <c r="I248" i="20"/>
  <c r="I284" i="20"/>
  <c r="I72" i="20"/>
  <c r="I166" i="20"/>
  <c r="I126" i="20"/>
  <c r="I86" i="20"/>
  <c r="I287" i="20"/>
  <c r="I59" i="20"/>
  <c r="I71" i="20"/>
  <c r="I28" i="20"/>
  <c r="I124" i="20"/>
  <c r="I228" i="20"/>
  <c r="I296" i="20"/>
  <c r="I61" i="20"/>
  <c r="I300" i="20"/>
  <c r="I156" i="20"/>
  <c r="I64" i="20"/>
  <c r="I168" i="20"/>
  <c r="I238" i="20"/>
  <c r="I16" i="20"/>
  <c r="I294" i="20"/>
  <c r="I121" i="20"/>
  <c r="I22" i="20"/>
  <c r="I8" i="20"/>
  <c r="I106" i="20"/>
  <c r="I137" i="20"/>
  <c r="I196" i="20"/>
  <c r="I192" i="20"/>
  <c r="I149" i="20"/>
  <c r="I171" i="20"/>
  <c r="I20" i="20"/>
  <c r="I56" i="20"/>
  <c r="I198" i="20"/>
  <c r="I231" i="20"/>
  <c r="I255" i="20"/>
  <c r="I139" i="20"/>
  <c r="I194" i="20"/>
  <c r="I7" i="20"/>
  <c r="I111" i="20"/>
  <c r="I179" i="20"/>
  <c r="I269" i="20"/>
  <c r="I136" i="20"/>
  <c r="I271" i="20"/>
  <c r="I103" i="20"/>
  <c r="I62" i="20"/>
  <c r="I212" i="20"/>
  <c r="I250" i="20"/>
  <c r="I3" i="20"/>
  <c r="I84" i="20"/>
  <c r="I90" i="20"/>
  <c r="I209" i="20"/>
  <c r="I32" i="20"/>
  <c r="I125" i="20"/>
  <c r="I242" i="20"/>
  <c r="I5" i="20"/>
  <c r="I36" i="20"/>
  <c r="I23" i="20"/>
  <c r="I115" i="20"/>
  <c r="I183" i="20"/>
  <c r="I285" i="20"/>
  <c r="I57" i="20"/>
  <c r="B23" i="4"/>
  <c r="M17" i="17"/>
  <c r="M20" i="17" s="1"/>
  <c r="L15" i="3" s="1"/>
  <c r="M18" i="17"/>
  <c r="I77" i="17"/>
  <c r="I251" i="17"/>
  <c r="I43" i="17"/>
  <c r="I63" i="17"/>
  <c r="I98" i="17"/>
  <c r="I282" i="17"/>
  <c r="I159" i="17"/>
  <c r="I189" i="17"/>
  <c r="I69" i="17"/>
  <c r="I140" i="17"/>
  <c r="I218" i="17"/>
  <c r="I32" i="17"/>
  <c r="I228" i="17"/>
  <c r="I158" i="17"/>
  <c r="I147" i="17"/>
  <c r="I252" i="17"/>
  <c r="I210" i="17"/>
  <c r="I113" i="17"/>
  <c r="I20" i="17"/>
  <c r="I206" i="17"/>
  <c r="I272" i="17"/>
  <c r="I144" i="17"/>
  <c r="I51" i="17"/>
  <c r="I213" i="17"/>
  <c r="I180" i="17"/>
  <c r="I130" i="17"/>
  <c r="I235" i="17"/>
  <c r="I138" i="17"/>
  <c r="I80" i="17"/>
  <c r="I135" i="17"/>
  <c r="I124" i="17"/>
  <c r="I290" i="17"/>
  <c r="I270" i="17"/>
  <c r="I42" i="17"/>
  <c r="I217" i="17"/>
  <c r="I45" i="17"/>
  <c r="I25" i="17"/>
  <c r="I53" i="17"/>
  <c r="I239" i="17"/>
  <c r="I243" i="17"/>
  <c r="I164" i="17"/>
  <c r="I61" i="17"/>
  <c r="I123" i="17"/>
  <c r="I202" i="17"/>
  <c r="I227" i="17"/>
  <c r="I125" i="17"/>
  <c r="I229" i="17"/>
  <c r="I296" i="17"/>
  <c r="I39" i="17"/>
  <c r="I258" i="17"/>
  <c r="I142" i="17"/>
  <c r="I78" i="17"/>
  <c r="I88" i="17"/>
  <c r="I216" i="17"/>
  <c r="I226" i="17"/>
  <c r="I29" i="17"/>
  <c r="I192" i="17"/>
  <c r="I72" i="17"/>
  <c r="I37" i="17"/>
  <c r="I55" i="17"/>
  <c r="I241" i="17"/>
  <c r="I133" i="17"/>
  <c r="I106" i="17"/>
  <c r="I291" i="17"/>
  <c r="I70" i="17"/>
  <c r="I177" i="17"/>
  <c r="I99" i="17"/>
  <c r="I64" i="17"/>
  <c r="I273" i="17"/>
  <c r="I293" i="17"/>
  <c r="I35" i="17"/>
  <c r="I22" i="17"/>
  <c r="I122" i="17"/>
  <c r="I234" i="17"/>
  <c r="I301" i="17"/>
  <c r="I223" i="17"/>
  <c r="I215" i="17"/>
  <c r="I137" i="17"/>
  <c r="I89" i="17"/>
  <c r="I205" i="17"/>
  <c r="I83" i="17"/>
  <c r="I126" i="17"/>
  <c r="I33" i="17"/>
  <c r="I100" i="17"/>
  <c r="I172" i="17"/>
  <c r="I58" i="17"/>
  <c r="I132" i="17"/>
  <c r="I54" i="17"/>
  <c r="I186" i="17"/>
  <c r="I74" i="17"/>
  <c r="I104" i="17"/>
  <c r="I279" i="17"/>
  <c r="I91" i="17"/>
  <c r="I71" i="17"/>
  <c r="I47" i="17"/>
  <c r="I7" i="17"/>
  <c r="I128" i="17"/>
  <c r="I41" i="17"/>
  <c r="I300" i="17"/>
  <c r="I289" i="17"/>
  <c r="I30" i="17"/>
  <c r="I165" i="17"/>
  <c r="I262" i="17"/>
  <c r="I136" i="17"/>
  <c r="I150" i="17"/>
  <c r="I8" i="17"/>
  <c r="I94" i="17"/>
  <c r="I292" i="17"/>
  <c r="I48" i="17"/>
  <c r="I237" i="17"/>
  <c r="I287" i="17"/>
  <c r="I201" i="17"/>
  <c r="I145" i="17"/>
  <c r="I294" i="17"/>
  <c r="I250" i="17"/>
  <c r="I244" i="17"/>
  <c r="I220" i="17"/>
  <c r="I238" i="17"/>
  <c r="I84" i="17"/>
  <c r="I246" i="17"/>
  <c r="I95" i="17"/>
  <c r="I152" i="17"/>
  <c r="I204" i="17"/>
  <c r="I151" i="17"/>
  <c r="I153" i="17"/>
  <c r="I285" i="17"/>
  <c r="I117" i="17"/>
  <c r="I115" i="17"/>
  <c r="I284" i="17"/>
  <c r="I278" i="17"/>
  <c r="I120" i="17"/>
  <c r="I2" i="17"/>
  <c r="I225" i="17"/>
  <c r="I107" i="17"/>
  <c r="I11" i="17"/>
  <c r="I203" i="17"/>
  <c r="I224" i="17"/>
  <c r="I157" i="17"/>
  <c r="I263" i="17"/>
  <c r="I254" i="17"/>
  <c r="I76" i="17"/>
  <c r="I230" i="17"/>
  <c r="I266" i="17"/>
  <c r="I212" i="17"/>
  <c r="I271" i="17"/>
  <c r="I167" i="17"/>
  <c r="I209" i="17"/>
  <c r="I181" i="17"/>
  <c r="I257" i="17"/>
  <c r="I31" i="17"/>
  <c r="I5" i="17"/>
  <c r="I146" i="17"/>
  <c r="I174" i="17"/>
  <c r="I154" i="17"/>
  <c r="I131" i="17"/>
  <c r="I102" i="17"/>
  <c r="I280" i="17"/>
  <c r="I13" i="17"/>
  <c r="I195" i="17"/>
  <c r="I79" i="17"/>
  <c r="I28" i="17"/>
  <c r="I27" i="17"/>
  <c r="I57" i="17"/>
  <c r="I253" i="17"/>
  <c r="I281" i="17"/>
  <c r="I62" i="17"/>
  <c r="I233" i="17"/>
  <c r="I109" i="17"/>
  <c r="I236" i="17"/>
  <c r="I112" i="17"/>
  <c r="I44" i="17"/>
  <c r="I75" i="17"/>
  <c r="I261" i="17"/>
  <c r="I66" i="17"/>
  <c r="I182" i="17"/>
  <c r="I193" i="17"/>
  <c r="I191" i="17"/>
  <c r="I68" i="17"/>
  <c r="I81" i="17"/>
  <c r="I105" i="17"/>
  <c r="I269" i="17"/>
  <c r="I36" i="17"/>
  <c r="I156" i="17"/>
  <c r="I110" i="17"/>
  <c r="I26" i="17"/>
  <c r="I93" i="17"/>
  <c r="I274" i="17"/>
  <c r="I49" i="17"/>
  <c r="I6" i="17"/>
  <c r="I208" i="17"/>
  <c r="I92" i="17"/>
  <c r="I96" i="17"/>
  <c r="I23" i="17"/>
  <c r="I149" i="17"/>
  <c r="I85" i="17"/>
  <c r="I259" i="17"/>
  <c r="I10" i="17"/>
  <c r="I247" i="17"/>
  <c r="I129" i="17"/>
  <c r="I256" i="17"/>
  <c r="I221" i="17"/>
  <c r="I166" i="17"/>
  <c r="I170" i="17"/>
  <c r="I298" i="17"/>
  <c r="I232" i="17"/>
  <c r="I116" i="17"/>
  <c r="I59" i="17"/>
  <c r="I283" i="17"/>
  <c r="I249" i="17"/>
  <c r="I219" i="17"/>
  <c r="I103" i="17"/>
  <c r="I240" i="17"/>
  <c r="I286" i="17"/>
  <c r="I222" i="17"/>
  <c r="I118" i="17"/>
  <c r="I184" i="17"/>
  <c r="I200" i="17"/>
  <c r="I40" i="17"/>
  <c r="I264" i="17"/>
  <c r="I17" i="17"/>
  <c r="I245" i="17"/>
  <c r="I155" i="17"/>
  <c r="I111" i="17"/>
  <c r="I87" i="17"/>
  <c r="I267" i="17"/>
  <c r="I139" i="17"/>
  <c r="I196" i="17"/>
  <c r="I231" i="17"/>
  <c r="I255" i="17"/>
  <c r="I127" i="17"/>
  <c r="I134" i="17"/>
  <c r="I82" i="17"/>
  <c r="I297" i="17"/>
  <c r="I56" i="17"/>
  <c r="I211" i="17"/>
  <c r="I183" i="17"/>
  <c r="I173" i="17"/>
  <c r="I121" i="17"/>
  <c r="I141" i="17"/>
  <c r="I38" i="17"/>
  <c r="I9" i="17"/>
  <c r="I16" i="17"/>
  <c r="I114" i="17"/>
  <c r="I171" i="17"/>
  <c r="I187" i="17"/>
  <c r="I52" i="17"/>
  <c r="I275" i="17"/>
  <c r="I214" i="17"/>
  <c r="I19" i="17"/>
  <c r="I242" i="17"/>
  <c r="I34" i="17"/>
  <c r="I178" i="17"/>
  <c r="I299" i="17"/>
  <c r="I148" i="17"/>
  <c r="I160" i="17"/>
  <c r="I21" i="17"/>
  <c r="I163" i="17"/>
  <c r="I176" i="17"/>
  <c r="I295" i="17"/>
  <c r="I288" i="17"/>
  <c r="I46" i="17"/>
  <c r="I97" i="17"/>
  <c r="I194" i="17"/>
  <c r="I207" i="17"/>
  <c r="I162" i="17"/>
  <c r="I277" i="17"/>
  <c r="I50" i="17"/>
  <c r="I24" i="17"/>
  <c r="I90" i="17"/>
  <c r="I15" i="17"/>
  <c r="I73" i="17"/>
  <c r="I190" i="17"/>
  <c r="I175" i="17"/>
  <c r="I268" i="17"/>
  <c r="I197" i="17"/>
  <c r="I119" i="17"/>
  <c r="I169" i="17"/>
  <c r="I168" i="17"/>
  <c r="I199" i="17"/>
  <c r="I179" i="17"/>
  <c r="I101" i="17"/>
  <c r="I260" i="17"/>
  <c r="I12" i="17"/>
  <c r="I248" i="17"/>
  <c r="I276" i="17"/>
  <c r="I108" i="17"/>
  <c r="I3" i="17"/>
  <c r="I198" i="17"/>
  <c r="I265" i="17"/>
  <c r="I143" i="17"/>
  <c r="I185" i="17"/>
  <c r="I14" i="17"/>
  <c r="I67" i="17"/>
  <c r="I60" i="17"/>
  <c r="I4" i="17"/>
  <c r="I161" i="17"/>
  <c r="I65" i="17"/>
  <c r="I18" i="17"/>
  <c r="I188" i="17"/>
  <c r="I86" i="17"/>
  <c r="M13" i="11"/>
  <c r="K9" i="3" s="1"/>
  <c r="C9" i="4" s="1"/>
  <c r="M14" i="11"/>
  <c r="M15" i="11"/>
  <c r="L23" i="11" s="1"/>
  <c r="M23" i="11"/>
  <c r="M24" i="11"/>
  <c r="J9" i="3"/>
  <c r="M17" i="14"/>
  <c r="M18" i="14"/>
  <c r="I40" i="14"/>
  <c r="I22" i="14"/>
  <c r="I31" i="14"/>
  <c r="I158" i="14"/>
  <c r="I28" i="14"/>
  <c r="I148" i="14"/>
  <c r="I52" i="14"/>
  <c r="I258" i="14"/>
  <c r="I190" i="14"/>
  <c r="I187" i="14"/>
  <c r="I118" i="14"/>
  <c r="I212" i="14"/>
  <c r="I277" i="14"/>
  <c r="I32" i="14"/>
  <c r="I107" i="14"/>
  <c r="I75" i="14"/>
  <c r="I218" i="14"/>
  <c r="I174" i="14"/>
  <c r="I261" i="14"/>
  <c r="I16" i="14"/>
  <c r="I202" i="14"/>
  <c r="I198" i="14"/>
  <c r="I90" i="14"/>
  <c r="I85" i="14"/>
  <c r="I79" i="14"/>
  <c r="I227" i="14"/>
  <c r="I180" i="14"/>
  <c r="I18" i="14"/>
  <c r="I203" i="14"/>
  <c r="I301" i="14"/>
  <c r="I280" i="14"/>
  <c r="I39" i="14"/>
  <c r="I264" i="14"/>
  <c r="I134" i="14"/>
  <c r="I136" i="14"/>
  <c r="I225" i="14"/>
  <c r="I177" i="14"/>
  <c r="I137" i="14"/>
  <c r="I275" i="14"/>
  <c r="I183" i="14"/>
  <c r="I172" i="14"/>
  <c r="I127" i="14"/>
  <c r="I286" i="14"/>
  <c r="I59" i="14"/>
  <c r="I273" i="14"/>
  <c r="I97" i="14"/>
  <c r="I209" i="14"/>
  <c r="I105" i="14"/>
  <c r="I272" i="14"/>
  <c r="I106" i="14"/>
  <c r="I53" i="14"/>
  <c r="I54" i="14"/>
  <c r="I2" i="14"/>
  <c r="I199" i="14"/>
  <c r="I42" i="14"/>
  <c r="I23" i="14"/>
  <c r="I15" i="14"/>
  <c r="I288" i="14"/>
  <c r="I101" i="14"/>
  <c r="I21" i="14"/>
  <c r="I292" i="14"/>
  <c r="I156" i="14"/>
  <c r="I20" i="14"/>
  <c r="I260" i="14"/>
  <c r="I122" i="14"/>
  <c r="I25" i="14"/>
  <c r="I96" i="14"/>
  <c r="I44" i="14"/>
  <c r="I244" i="14"/>
  <c r="I68" i="14"/>
  <c r="I185" i="14"/>
  <c r="I213" i="14"/>
  <c r="I78" i="14"/>
  <c r="I36" i="14"/>
  <c r="I135" i="14"/>
  <c r="I282" i="14"/>
  <c r="I215" i="14"/>
  <c r="I152" i="14"/>
  <c r="I297" i="14"/>
  <c r="I93" i="14"/>
  <c r="I80" i="14"/>
  <c r="I211" i="14"/>
  <c r="I265" i="14"/>
  <c r="I269" i="14"/>
  <c r="I196" i="14"/>
  <c r="I207" i="14"/>
  <c r="I189" i="14"/>
  <c r="I184" i="14"/>
  <c r="I279" i="14"/>
  <c r="I224" i="14"/>
  <c r="I128" i="14"/>
  <c r="I72" i="14"/>
  <c r="I161" i="14"/>
  <c r="I186" i="14"/>
  <c r="I35" i="14"/>
  <c r="I182" i="14"/>
  <c r="I70" i="14"/>
  <c r="I114" i="14"/>
  <c r="I5" i="14"/>
  <c r="I87" i="14"/>
  <c r="I233" i="14"/>
  <c r="I12" i="14"/>
  <c r="I141" i="14"/>
  <c r="I283" i="14"/>
  <c r="I67" i="14"/>
  <c r="I298" i="14"/>
  <c r="I191" i="14"/>
  <c r="I51" i="14"/>
  <c r="I91" i="14"/>
  <c r="I238" i="14"/>
  <c r="I157" i="14"/>
  <c r="I285" i="14"/>
  <c r="I179" i="14"/>
  <c r="I253" i="14"/>
  <c r="I268" i="14"/>
  <c r="I291" i="14"/>
  <c r="I193" i="14"/>
  <c r="I7" i="14"/>
  <c r="I168" i="14"/>
  <c r="I250" i="14"/>
  <c r="I201" i="14"/>
  <c r="I241" i="14"/>
  <c r="I6" i="14"/>
  <c r="I4" i="14"/>
  <c r="I166" i="14"/>
  <c r="I145" i="14"/>
  <c r="I206" i="14"/>
  <c r="I178" i="14"/>
  <c r="I88" i="14"/>
  <c r="I239" i="14"/>
  <c r="I204" i="14"/>
  <c r="I104" i="14"/>
  <c r="I243" i="14"/>
  <c r="I111" i="14"/>
  <c r="I163" i="14"/>
  <c r="I234" i="14"/>
  <c r="I200" i="14"/>
  <c r="I188" i="14"/>
  <c r="I56" i="14"/>
  <c r="I205" i="14"/>
  <c r="I92" i="14"/>
  <c r="I228" i="14"/>
  <c r="I176" i="14"/>
  <c r="I100" i="14"/>
  <c r="I129" i="14"/>
  <c r="I267" i="14"/>
  <c r="I171" i="14"/>
  <c r="I164" i="14"/>
  <c r="I133" i="14"/>
  <c r="I271" i="14"/>
  <c r="I150" i="14"/>
  <c r="I64" i="14"/>
  <c r="I169" i="14"/>
  <c r="I195" i="14"/>
  <c r="I74" i="14"/>
  <c r="I160" i="14"/>
  <c r="I274" i="14"/>
  <c r="I73" i="14"/>
  <c r="I58" i="14"/>
  <c r="I299" i="14"/>
  <c r="I108" i="14"/>
  <c r="I151" i="14"/>
  <c r="I278" i="14"/>
  <c r="I30" i="14"/>
  <c r="I121" i="14"/>
  <c r="I259" i="14"/>
  <c r="I248" i="14"/>
  <c r="I50" i="14"/>
  <c r="I46" i="14"/>
  <c r="I117" i="14"/>
  <c r="I109" i="14"/>
  <c r="I249" i="14"/>
  <c r="I66" i="14"/>
  <c r="I84" i="14"/>
  <c r="I230" i="14"/>
  <c r="I290" i="14"/>
  <c r="I24" i="14"/>
  <c r="I300" i="14"/>
  <c r="I132" i="14"/>
  <c r="I131" i="14"/>
  <c r="I242" i="14"/>
  <c r="I167" i="14"/>
  <c r="I295" i="14"/>
  <c r="I144" i="14"/>
  <c r="I45" i="14"/>
  <c r="I255" i="14"/>
  <c r="I257" i="14"/>
  <c r="I123" i="14"/>
  <c r="I3" i="14"/>
  <c r="I210" i="14"/>
  <c r="I9" i="14"/>
  <c r="I175" i="14"/>
  <c r="I236" i="14"/>
  <c r="I48" i="14"/>
  <c r="I8" i="14"/>
  <c r="I38" i="14"/>
  <c r="I71" i="14"/>
  <c r="I60" i="14"/>
  <c r="I14" i="14"/>
  <c r="I296" i="14"/>
  <c r="I162" i="14"/>
  <c r="I11" i="14"/>
  <c r="I245" i="14"/>
  <c r="I237" i="14"/>
  <c r="I154" i="14"/>
  <c r="I140" i="14"/>
  <c r="I281" i="14"/>
  <c r="I155" i="14"/>
  <c r="I226" i="14"/>
  <c r="I41" i="14"/>
  <c r="I181" i="14"/>
  <c r="I173" i="14"/>
  <c r="I232" i="14"/>
  <c r="I65" i="14"/>
  <c r="I63" i="14"/>
  <c r="I222" i="14"/>
  <c r="I194" i="14"/>
  <c r="I49" i="14"/>
  <c r="I287" i="14"/>
  <c r="I69" i="14"/>
  <c r="I159" i="14"/>
  <c r="I270" i="14"/>
  <c r="I99" i="14"/>
  <c r="I208" i="14"/>
  <c r="I89" i="14"/>
  <c r="I61" i="14"/>
  <c r="I37" i="14"/>
  <c r="I76" i="14"/>
  <c r="I263" i="14"/>
  <c r="I81" i="14"/>
  <c r="I13" i="14"/>
  <c r="I124" i="14"/>
  <c r="I289" i="14"/>
  <c r="I293" i="14"/>
  <c r="I19" i="14"/>
  <c r="I62" i="14"/>
  <c r="I27" i="14"/>
  <c r="I266" i="14"/>
  <c r="I116" i="14"/>
  <c r="I86" i="14"/>
  <c r="I284" i="14"/>
  <c r="I26" i="14"/>
  <c r="I220" i="14"/>
  <c r="I103" i="14"/>
  <c r="I197" i="14"/>
  <c r="I294" i="14"/>
  <c r="I149" i="14"/>
  <c r="I276" i="14"/>
  <c r="I252" i="14"/>
  <c r="I153" i="14"/>
  <c r="I147" i="14"/>
  <c r="I115" i="14"/>
  <c r="I254" i="14"/>
  <c r="I77" i="14"/>
  <c r="I251" i="14"/>
  <c r="I94" i="14"/>
  <c r="I102" i="14"/>
  <c r="I112" i="14"/>
  <c r="I125" i="14"/>
  <c r="I126" i="14"/>
  <c r="I82" i="14"/>
  <c r="I214" i="14"/>
  <c r="I110" i="14"/>
  <c r="I57" i="14"/>
  <c r="I216" i="14"/>
  <c r="I231" i="14"/>
  <c r="I256" i="14"/>
  <c r="I113" i="14"/>
  <c r="I217" i="14"/>
  <c r="I247" i="14"/>
  <c r="I120" i="14"/>
  <c r="I170" i="14"/>
  <c r="I192" i="14"/>
  <c r="I98" i="14"/>
  <c r="I130" i="14"/>
  <c r="I33" i="14"/>
  <c r="I55" i="14"/>
  <c r="I146" i="14"/>
  <c r="I10" i="14"/>
  <c r="I221" i="14"/>
  <c r="I235" i="14"/>
  <c r="I240" i="14"/>
  <c r="I43" i="14"/>
  <c r="I83" i="14"/>
  <c r="I246" i="14"/>
  <c r="I139" i="14"/>
  <c r="I262" i="14"/>
  <c r="I47" i="14"/>
  <c r="I34" i="14"/>
  <c r="I138" i="14"/>
  <c r="I165" i="14"/>
  <c r="I229" i="14"/>
  <c r="I119" i="14"/>
  <c r="I143" i="14"/>
  <c r="I142" i="14"/>
  <c r="I17" i="14"/>
  <c r="I29" i="14"/>
  <c r="I219" i="14"/>
  <c r="I95" i="14"/>
  <c r="I223" i="14"/>
  <c r="K16" i="4"/>
  <c r="L16" i="4"/>
  <c r="J16" i="4"/>
  <c r="G16" i="4"/>
  <c r="H16" i="4"/>
  <c r="I16" i="4"/>
  <c r="H15" i="4"/>
  <c r="K15" i="4"/>
  <c r="G15" i="4"/>
  <c r="I15" i="4"/>
  <c r="L15" i="4"/>
  <c r="J15" i="4"/>
  <c r="L12" i="4"/>
  <c r="K12" i="4"/>
  <c r="H12" i="4"/>
  <c r="G12" i="4"/>
  <c r="I12" i="4"/>
  <c r="J12" i="4"/>
  <c r="M17" i="9"/>
  <c r="I112" i="9"/>
  <c r="I64" i="9"/>
  <c r="I74" i="9"/>
  <c r="I26" i="9"/>
  <c r="M18" i="9"/>
  <c r="I32" i="9"/>
  <c r="I2" i="9"/>
  <c r="I88" i="9"/>
  <c r="I40" i="9"/>
  <c r="I80" i="9"/>
  <c r="I38" i="9"/>
  <c r="I15" i="9"/>
  <c r="I63" i="9"/>
  <c r="I94" i="9"/>
  <c r="I60" i="9"/>
  <c r="I50" i="9"/>
  <c r="I16" i="9"/>
  <c r="I91" i="9"/>
  <c r="I9" i="9"/>
  <c r="I6" i="9"/>
  <c r="I103" i="9"/>
  <c r="I109" i="9"/>
  <c r="I83" i="9"/>
  <c r="I115" i="9"/>
  <c r="I42" i="9"/>
  <c r="I43" i="9"/>
  <c r="I3" i="9"/>
  <c r="I108" i="9"/>
  <c r="I35" i="9"/>
  <c r="I121" i="9"/>
  <c r="I137" i="9"/>
  <c r="I153" i="9"/>
  <c r="I169" i="9"/>
  <c r="I185" i="9"/>
  <c r="I201" i="9"/>
  <c r="I217" i="9"/>
  <c r="I233" i="9"/>
  <c r="I249" i="9"/>
  <c r="I265" i="9"/>
  <c r="I295" i="9"/>
  <c r="I98" i="9"/>
  <c r="I300" i="9"/>
  <c r="I18" i="9"/>
  <c r="I13" i="9"/>
  <c r="I29" i="9"/>
  <c r="I55" i="9"/>
  <c r="I78" i="9"/>
  <c r="I36" i="9"/>
  <c r="I82" i="9"/>
  <c r="I67" i="9"/>
  <c r="I8" i="9"/>
  <c r="I95" i="9"/>
  <c r="I298" i="9"/>
  <c r="I49" i="9"/>
  <c r="I114" i="9"/>
  <c r="I125" i="9"/>
  <c r="I141" i="9"/>
  <c r="I157" i="9"/>
  <c r="I173" i="9"/>
  <c r="I189" i="9"/>
  <c r="I205" i="9"/>
  <c r="I221" i="9"/>
  <c r="I237" i="9"/>
  <c r="I253" i="9"/>
  <c r="I269" i="9"/>
  <c r="I20" i="9"/>
  <c r="I21" i="9"/>
  <c r="I117" i="9"/>
  <c r="I81" i="9"/>
  <c r="I46" i="9"/>
  <c r="I111" i="9"/>
  <c r="I7" i="9"/>
  <c r="I17" i="9"/>
  <c r="I30" i="9"/>
  <c r="I44" i="9"/>
  <c r="I92" i="9"/>
  <c r="I87" i="9"/>
  <c r="I107" i="9"/>
  <c r="I90" i="9"/>
  <c r="I5" i="9"/>
  <c r="I39" i="9"/>
  <c r="I4" i="9"/>
  <c r="I69" i="9"/>
  <c r="I33" i="9"/>
  <c r="I129" i="9"/>
  <c r="I145" i="9"/>
  <c r="I161" i="9"/>
  <c r="I177" i="9"/>
  <c r="I193" i="9"/>
  <c r="I209" i="9"/>
  <c r="I225" i="9"/>
  <c r="I241" i="9"/>
  <c r="I257" i="9"/>
  <c r="I25" i="9"/>
  <c r="I73" i="9"/>
  <c r="I86" i="9"/>
  <c r="I52" i="9"/>
  <c r="I12" i="9"/>
  <c r="I11" i="9"/>
  <c r="I101" i="9"/>
  <c r="I282" i="9"/>
  <c r="I84" i="9"/>
  <c r="I53" i="9"/>
  <c r="I77" i="9"/>
  <c r="I47" i="9"/>
  <c r="I66" i="9"/>
  <c r="I61" i="9"/>
  <c r="I181" i="9"/>
  <c r="I100" i="9"/>
  <c r="I261" i="9"/>
  <c r="I57" i="9"/>
  <c r="I197" i="9"/>
  <c r="I56" i="9"/>
  <c r="I104" i="9"/>
  <c r="I213" i="9"/>
  <c r="I165" i="9"/>
  <c r="I133" i="9"/>
  <c r="I229" i="9"/>
  <c r="I70" i="9"/>
  <c r="I118" i="9"/>
  <c r="I97" i="9"/>
  <c r="I149" i="9"/>
  <c r="I245" i="9"/>
  <c r="I59" i="9"/>
  <c r="I23" i="9"/>
  <c r="I34" i="9"/>
  <c r="I228" i="9"/>
  <c r="I156" i="9"/>
  <c r="I203" i="9"/>
  <c r="I238" i="9"/>
  <c r="I190" i="9"/>
  <c r="I142" i="9"/>
  <c r="I65" i="9"/>
  <c r="I277" i="9"/>
  <c r="I155" i="9"/>
  <c r="I262" i="9"/>
  <c r="I214" i="9"/>
  <c r="I166" i="9"/>
  <c r="I113" i="9"/>
  <c r="I252" i="9"/>
  <c r="I180" i="9"/>
  <c r="I251" i="9"/>
  <c r="I71" i="9"/>
  <c r="I199" i="9"/>
  <c r="I191" i="9"/>
  <c r="I268" i="9"/>
  <c r="I196" i="9"/>
  <c r="I124" i="9"/>
  <c r="I31" i="9"/>
  <c r="I218" i="9"/>
  <c r="I146" i="9"/>
  <c r="I216" i="9"/>
  <c r="I144" i="9"/>
  <c r="I171" i="9"/>
  <c r="I102" i="9"/>
  <c r="I89" i="9"/>
  <c r="I254" i="9"/>
  <c r="I182" i="9"/>
  <c r="I19" i="9"/>
  <c r="I212" i="9"/>
  <c r="I271" i="9"/>
  <c r="I296" i="9"/>
  <c r="I202" i="9"/>
  <c r="I130" i="9"/>
  <c r="I301" i="9"/>
  <c r="I224" i="9"/>
  <c r="I152" i="9"/>
  <c r="I222" i="9"/>
  <c r="I150" i="9"/>
  <c r="I54" i="9"/>
  <c r="I37" i="9"/>
  <c r="I159" i="9"/>
  <c r="I281" i="9"/>
  <c r="I272" i="9"/>
  <c r="I163" i="9"/>
  <c r="I110" i="9"/>
  <c r="I294" i="9"/>
  <c r="I223" i="9"/>
  <c r="I243" i="9"/>
  <c r="I292" i="9"/>
  <c r="I283" i="9"/>
  <c r="I96" i="9"/>
  <c r="I135" i="9"/>
  <c r="I227" i="9"/>
  <c r="I291" i="9"/>
  <c r="I210" i="9"/>
  <c r="I215" i="9"/>
  <c r="I208" i="9"/>
  <c r="I187" i="9"/>
  <c r="I76" i="9"/>
  <c r="I24" i="9"/>
  <c r="I116" i="9"/>
  <c r="I260" i="9"/>
  <c r="I188" i="9"/>
  <c r="I10" i="9"/>
  <c r="I258" i="9"/>
  <c r="I186" i="9"/>
  <c r="I167" i="9"/>
  <c r="I256" i="9"/>
  <c r="I184" i="9"/>
  <c r="I230" i="9"/>
  <c r="I255" i="9"/>
  <c r="I284" i="9"/>
  <c r="I151" i="9"/>
  <c r="I275" i="9"/>
  <c r="I143" i="9"/>
  <c r="I244" i="9"/>
  <c r="I172" i="9"/>
  <c r="I22" i="9"/>
  <c r="I266" i="9"/>
  <c r="I194" i="9"/>
  <c r="I122" i="9"/>
  <c r="I264" i="9"/>
  <c r="I192" i="9"/>
  <c r="I120" i="9"/>
  <c r="I267" i="9"/>
  <c r="I123" i="9"/>
  <c r="I276" i="9"/>
  <c r="I75" i="9"/>
  <c r="I158" i="9"/>
  <c r="I289" i="9"/>
  <c r="I259" i="9"/>
  <c r="I136" i="9"/>
  <c r="I299" i="9"/>
  <c r="I250" i="9"/>
  <c r="I178" i="9"/>
  <c r="I93" i="9"/>
  <c r="I200" i="9"/>
  <c r="I128" i="9"/>
  <c r="I285" i="9"/>
  <c r="I198" i="9"/>
  <c r="I126" i="9"/>
  <c r="I273" i="9"/>
  <c r="I106" i="9"/>
  <c r="I85" i="9"/>
  <c r="I62" i="9"/>
  <c r="I132" i="9"/>
  <c r="I175" i="9"/>
  <c r="I195" i="9"/>
  <c r="I41" i="9"/>
  <c r="I231" i="9"/>
  <c r="I179" i="9"/>
  <c r="I105" i="9"/>
  <c r="I140" i="9"/>
  <c r="I58" i="9"/>
  <c r="I139" i="9"/>
  <c r="I28" i="9"/>
  <c r="I274" i="9"/>
  <c r="I236" i="9"/>
  <c r="I164" i="9"/>
  <c r="I234" i="9"/>
  <c r="I162" i="9"/>
  <c r="I263" i="9"/>
  <c r="I232" i="9"/>
  <c r="I160" i="9"/>
  <c r="I235" i="9"/>
  <c r="I27" i="9"/>
  <c r="I138" i="9"/>
  <c r="I204" i="9"/>
  <c r="I247" i="9"/>
  <c r="I99" i="9"/>
  <c r="I239" i="9"/>
  <c r="I293" i="9"/>
  <c r="I278" i="9"/>
  <c r="I280" i="9"/>
  <c r="I220" i="9"/>
  <c r="I148" i="9"/>
  <c r="I79" i="9"/>
  <c r="I242" i="9"/>
  <c r="I170" i="9"/>
  <c r="I119" i="9"/>
  <c r="I240" i="9"/>
  <c r="I168" i="9"/>
  <c r="I219" i="9"/>
  <c r="I14" i="9"/>
  <c r="I48" i="9"/>
  <c r="I206" i="9"/>
  <c r="I134" i="9"/>
  <c r="I279" i="9"/>
  <c r="I226" i="9"/>
  <c r="I154" i="9"/>
  <c r="I45" i="9"/>
  <c r="I288" i="9"/>
  <c r="I248" i="9"/>
  <c r="I176" i="9"/>
  <c r="I290" i="9"/>
  <c r="I246" i="9"/>
  <c r="I174" i="9"/>
  <c r="I270" i="9"/>
  <c r="I287" i="9"/>
  <c r="I286" i="9"/>
  <c r="I297" i="9"/>
  <c r="I207" i="9"/>
  <c r="I72" i="9"/>
  <c r="I127" i="9"/>
  <c r="I68" i="9"/>
  <c r="I147" i="9"/>
  <c r="I183" i="9"/>
  <c r="I131" i="9"/>
  <c r="I51" i="9"/>
  <c r="I211" i="9"/>
  <c r="M17" i="18"/>
  <c r="M20" i="18" s="1"/>
  <c r="L16" i="3" s="1"/>
  <c r="M18" i="18"/>
  <c r="I28" i="18"/>
  <c r="I36" i="18"/>
  <c r="I60" i="18"/>
  <c r="I50" i="18"/>
  <c r="I46" i="18"/>
  <c r="I15" i="18"/>
  <c r="I68" i="18"/>
  <c r="I40" i="18"/>
  <c r="I249" i="18"/>
  <c r="I74" i="18"/>
  <c r="I44" i="18"/>
  <c r="I150" i="18"/>
  <c r="I243" i="18"/>
  <c r="I2" i="18"/>
  <c r="I45" i="18"/>
  <c r="I37" i="18"/>
  <c r="I263" i="18"/>
  <c r="I151" i="18"/>
  <c r="I32" i="18"/>
  <c r="I5" i="18"/>
  <c r="I57" i="18"/>
  <c r="I228" i="18"/>
  <c r="I145" i="18"/>
  <c r="I122" i="18"/>
  <c r="I73" i="18"/>
  <c r="I237" i="18"/>
  <c r="I213" i="18"/>
  <c r="I26" i="18"/>
  <c r="I200" i="18"/>
  <c r="I140" i="18"/>
  <c r="I294" i="18"/>
  <c r="I192" i="18"/>
  <c r="I121" i="18"/>
  <c r="I103" i="18"/>
  <c r="I110" i="18"/>
  <c r="I222" i="18"/>
  <c r="I186" i="18"/>
  <c r="I53" i="18"/>
  <c r="I155" i="18"/>
  <c r="I231" i="18"/>
  <c r="I199" i="18"/>
  <c r="I144" i="18"/>
  <c r="I47" i="18"/>
  <c r="I214" i="18"/>
  <c r="I227" i="18"/>
  <c r="I162" i="18"/>
  <c r="I12" i="18"/>
  <c r="I194" i="18"/>
  <c r="I281" i="18"/>
  <c r="I16" i="18"/>
  <c r="I269" i="18"/>
  <c r="I171" i="18"/>
  <c r="I131" i="18"/>
  <c r="I117" i="18"/>
  <c r="I148" i="18"/>
  <c r="I120" i="18"/>
  <c r="I116" i="18"/>
  <c r="I258" i="18"/>
  <c r="I279" i="18"/>
  <c r="I235" i="18"/>
  <c r="I130" i="18"/>
  <c r="I212" i="18"/>
  <c r="I240" i="18"/>
  <c r="I264" i="18"/>
  <c r="I251" i="18"/>
  <c r="I109" i="18"/>
  <c r="I260" i="18"/>
  <c r="I270" i="18"/>
  <c r="I100" i="18"/>
  <c r="I219" i="18"/>
  <c r="I201" i="18"/>
  <c r="I98" i="18"/>
  <c r="I220" i="18"/>
  <c r="I149" i="18"/>
  <c r="I239" i="18"/>
  <c r="I18" i="18"/>
  <c r="I93" i="18"/>
  <c r="I158" i="18"/>
  <c r="I206" i="18"/>
  <c r="I255" i="18"/>
  <c r="I225" i="18"/>
  <c r="I156" i="18"/>
  <c r="I123" i="18"/>
  <c r="I250" i="18"/>
  <c r="I300" i="18"/>
  <c r="I102" i="18"/>
  <c r="I257" i="18"/>
  <c r="I245" i="18"/>
  <c r="I241" i="18"/>
  <c r="I55" i="18"/>
  <c r="I152" i="18"/>
  <c r="I209" i="18"/>
  <c r="I221" i="18"/>
  <c r="I38" i="18"/>
  <c r="I58" i="18"/>
  <c r="I182" i="18"/>
  <c r="I139" i="18"/>
  <c r="I101" i="18"/>
  <c r="I161" i="18"/>
  <c r="I141" i="18"/>
  <c r="I39" i="18"/>
  <c r="I119" i="18"/>
  <c r="I207" i="18"/>
  <c r="I56" i="18"/>
  <c r="I43" i="18"/>
  <c r="I19" i="18"/>
  <c r="I291" i="18"/>
  <c r="I298" i="18"/>
  <c r="I277" i="18"/>
  <c r="I106" i="18"/>
  <c r="I154" i="18"/>
  <c r="I292" i="18"/>
  <c r="I197" i="18"/>
  <c r="I41" i="18"/>
  <c r="I203" i="18"/>
  <c r="I189" i="18"/>
  <c r="I165" i="18"/>
  <c r="I84" i="18"/>
  <c r="I67" i="18"/>
  <c r="I31" i="18"/>
  <c r="I188" i="18"/>
  <c r="I35" i="18"/>
  <c r="I164" i="18"/>
  <c r="I179" i="18"/>
  <c r="I20" i="18"/>
  <c r="I229" i="18"/>
  <c r="I248" i="18"/>
  <c r="I72" i="18"/>
  <c r="I196" i="18"/>
  <c r="I107" i="18"/>
  <c r="I190" i="18"/>
  <c r="I278" i="18"/>
  <c r="I114" i="18"/>
  <c r="I181" i="18"/>
  <c r="I208" i="18"/>
  <c r="I90" i="18"/>
  <c r="I70" i="18"/>
  <c r="I124" i="18"/>
  <c r="I205" i="18"/>
  <c r="I223" i="18"/>
  <c r="I137" i="18"/>
  <c r="I34" i="18"/>
  <c r="I11" i="18"/>
  <c r="I267" i="18"/>
  <c r="I170" i="18"/>
  <c r="I6" i="18"/>
  <c r="I224" i="18"/>
  <c r="I215" i="18"/>
  <c r="I129" i="18"/>
  <c r="I198" i="18"/>
  <c r="I234" i="18"/>
  <c r="I86" i="18"/>
  <c r="I187" i="18"/>
  <c r="I172" i="18"/>
  <c r="I126" i="18"/>
  <c r="I284" i="18"/>
  <c r="I115" i="18"/>
  <c r="I49" i="18"/>
  <c r="I271" i="18"/>
  <c r="I157" i="18"/>
  <c r="I153" i="18"/>
  <c r="I226" i="18"/>
  <c r="I247" i="18"/>
  <c r="I293" i="18"/>
  <c r="I210" i="18"/>
  <c r="I66" i="18"/>
  <c r="I167" i="18"/>
  <c r="I7" i="18"/>
  <c r="I4" i="18"/>
  <c r="I13" i="18"/>
  <c r="I59" i="18"/>
  <c r="I87" i="18"/>
  <c r="I290" i="18"/>
  <c r="I96" i="18"/>
  <c r="I272" i="18"/>
  <c r="I89" i="18"/>
  <c r="I112" i="18"/>
  <c r="I54" i="18"/>
  <c r="I195" i="18"/>
  <c r="I135" i="18"/>
  <c r="I127" i="18"/>
  <c r="I191" i="18"/>
  <c r="I211" i="18"/>
  <c r="I69" i="18"/>
  <c r="I261" i="18"/>
  <c r="I193" i="18"/>
  <c r="I134" i="18"/>
  <c r="I202" i="18"/>
  <c r="I159" i="18"/>
  <c r="I173" i="18"/>
  <c r="I216" i="18"/>
  <c r="I85" i="18"/>
  <c r="I82" i="18"/>
  <c r="I183" i="18"/>
  <c r="I169" i="18"/>
  <c r="I128" i="18"/>
  <c r="I25" i="18"/>
  <c r="I233" i="18"/>
  <c r="I176" i="18"/>
  <c r="I174" i="18"/>
  <c r="I175" i="18"/>
  <c r="I23" i="18"/>
  <c r="I63" i="18"/>
  <c r="I295" i="18"/>
  <c r="I143" i="18"/>
  <c r="I97" i="18"/>
  <c r="I185" i="18"/>
  <c r="I166" i="18"/>
  <c r="I94" i="18"/>
  <c r="I24" i="18"/>
  <c r="I299" i="18"/>
  <c r="I133" i="18"/>
  <c r="I21" i="18"/>
  <c r="I79" i="18"/>
  <c r="I265" i="18"/>
  <c r="I104" i="18"/>
  <c r="I80" i="18"/>
  <c r="I83" i="18"/>
  <c r="I280" i="18"/>
  <c r="I125" i="18"/>
  <c r="I136" i="18"/>
  <c r="I30" i="18"/>
  <c r="I168" i="18"/>
  <c r="I296" i="18"/>
  <c r="I62" i="18"/>
  <c r="I42" i="18"/>
  <c r="I77" i="18"/>
  <c r="I147" i="18"/>
  <c r="I230" i="18"/>
  <c r="I262" i="18"/>
  <c r="I217" i="18"/>
  <c r="I204" i="18"/>
  <c r="I52" i="18"/>
  <c r="I27" i="18"/>
  <c r="I297" i="18"/>
  <c r="I3" i="18"/>
  <c r="I71" i="18"/>
  <c r="I232" i="18"/>
  <c r="I259" i="18"/>
  <c r="I283" i="18"/>
  <c r="I163" i="18"/>
  <c r="I178" i="18"/>
  <c r="I75" i="18"/>
  <c r="I242" i="18"/>
  <c r="I61" i="18"/>
  <c r="I65" i="18"/>
  <c r="I274" i="18"/>
  <c r="I273" i="18"/>
  <c r="I64" i="18"/>
  <c r="I76" i="18"/>
  <c r="I91" i="18"/>
  <c r="I95" i="18"/>
  <c r="I10" i="18"/>
  <c r="I138" i="18"/>
  <c r="I33" i="18"/>
  <c r="I289" i="18"/>
  <c r="I276" i="18"/>
  <c r="I142" i="18"/>
  <c r="I301" i="18"/>
  <c r="I244" i="18"/>
  <c r="I78" i="18"/>
  <c r="I246" i="18"/>
  <c r="I236" i="18"/>
  <c r="I252" i="18"/>
  <c r="I238" i="18"/>
  <c r="I113" i="18"/>
  <c r="I108" i="18"/>
  <c r="I256" i="18"/>
  <c r="I285" i="18"/>
  <c r="I99" i="18"/>
  <c r="I17" i="18"/>
  <c r="I81" i="18"/>
  <c r="I118" i="18"/>
  <c r="I254" i="18"/>
  <c r="I14" i="18"/>
  <c r="I146" i="18"/>
  <c r="I105" i="18"/>
  <c r="I22" i="18"/>
  <c r="I275" i="18"/>
  <c r="I288" i="18"/>
  <c r="I177" i="18"/>
  <c r="I180" i="18"/>
  <c r="I282" i="18"/>
  <c r="I253" i="18"/>
  <c r="I286" i="18"/>
  <c r="I9" i="18"/>
  <c r="I111" i="18"/>
  <c r="I266" i="18"/>
  <c r="I8" i="18"/>
  <c r="I88" i="18"/>
  <c r="I287" i="18"/>
  <c r="I184" i="18"/>
  <c r="I48" i="18"/>
  <c r="I51" i="18"/>
  <c r="I92" i="18"/>
  <c r="I218" i="18"/>
  <c r="I29" i="18"/>
  <c r="I268" i="18"/>
  <c r="I132" i="18"/>
  <c r="I160" i="18"/>
  <c r="I11" i="4"/>
  <c r="G11" i="4"/>
  <c r="D11" i="4"/>
  <c r="L11" i="4"/>
  <c r="K11" i="4"/>
  <c r="J11" i="4"/>
  <c r="H11" i="4"/>
  <c r="M18" i="13"/>
  <c r="M17" i="13"/>
  <c r="I121" i="13"/>
  <c r="I40" i="13"/>
  <c r="I5" i="13"/>
  <c r="I81" i="13"/>
  <c r="I176" i="13"/>
  <c r="I299" i="13"/>
  <c r="I12" i="13"/>
  <c r="I17" i="13"/>
  <c r="I43" i="13"/>
  <c r="I131" i="13"/>
  <c r="I111" i="13"/>
  <c r="I19" i="13"/>
  <c r="I60" i="13"/>
  <c r="I217" i="13"/>
  <c r="I75" i="13"/>
  <c r="I132" i="13"/>
  <c r="I301" i="13"/>
  <c r="I167" i="13"/>
  <c r="I36" i="13"/>
  <c r="I24" i="13"/>
  <c r="I182" i="13"/>
  <c r="I21" i="13"/>
  <c r="I122" i="13"/>
  <c r="I103" i="13"/>
  <c r="I141" i="13"/>
  <c r="I239" i="13"/>
  <c r="I99" i="13"/>
  <c r="I202" i="13"/>
  <c r="I47" i="13"/>
  <c r="I116" i="13"/>
  <c r="I224" i="13"/>
  <c r="I85" i="13"/>
  <c r="I107" i="13"/>
  <c r="I145" i="13"/>
  <c r="I9" i="13"/>
  <c r="I65" i="13"/>
  <c r="I3" i="13"/>
  <c r="I33" i="13"/>
  <c r="I112" i="13"/>
  <c r="I261" i="13"/>
  <c r="I206" i="13"/>
  <c r="I290" i="13"/>
  <c r="I89" i="13"/>
  <c r="I127" i="13"/>
  <c r="I70" i="13"/>
  <c r="I27" i="13"/>
  <c r="I50" i="13"/>
  <c r="I61" i="13"/>
  <c r="I22" i="13"/>
  <c r="I30" i="13"/>
  <c r="I10" i="13"/>
  <c r="I80" i="13"/>
  <c r="I193" i="13"/>
  <c r="I7" i="13"/>
  <c r="I136" i="13"/>
  <c r="I147" i="13"/>
  <c r="I153" i="13"/>
  <c r="I41" i="13"/>
  <c r="I117" i="13"/>
  <c r="I133" i="13"/>
  <c r="I94" i="13"/>
  <c r="I137" i="13"/>
  <c r="I219" i="13"/>
  <c r="I67" i="13"/>
  <c r="I201" i="13"/>
  <c r="I194" i="13"/>
  <c r="I222" i="13"/>
  <c r="I83" i="13"/>
  <c r="I220" i="13"/>
  <c r="I292" i="13"/>
  <c r="I238" i="13"/>
  <c r="I62" i="13"/>
  <c r="I183" i="13"/>
  <c r="I286" i="13"/>
  <c r="I13" i="13"/>
  <c r="I101" i="13"/>
  <c r="I156" i="13"/>
  <c r="I175" i="13"/>
  <c r="I287" i="13"/>
  <c r="I298" i="13"/>
  <c r="I95" i="13"/>
  <c r="I195" i="13"/>
  <c r="I210" i="13"/>
  <c r="I229" i="13"/>
  <c r="I258" i="13"/>
  <c r="I54" i="13"/>
  <c r="I187" i="13"/>
  <c r="I130" i="13"/>
  <c r="I190" i="13"/>
  <c r="I295" i="13"/>
  <c r="I269" i="13"/>
  <c r="I59" i="13"/>
  <c r="I42" i="13"/>
  <c r="I283" i="13"/>
  <c r="I170" i="13"/>
  <c r="I126" i="13"/>
  <c r="I142" i="13"/>
  <c r="I31" i="13"/>
  <c r="I134" i="13"/>
  <c r="I251" i="13"/>
  <c r="I218" i="13"/>
  <c r="I44" i="13"/>
  <c r="I263" i="13"/>
  <c r="I166" i="13"/>
  <c r="I63" i="13"/>
  <c r="I38" i="13"/>
  <c r="I64" i="13"/>
  <c r="I274" i="13"/>
  <c r="I186" i="13"/>
  <c r="I114" i="13"/>
  <c r="I226" i="13"/>
  <c r="I171" i="13"/>
  <c r="I247" i="13"/>
  <c r="I155" i="13"/>
  <c r="I123" i="13"/>
  <c r="I173" i="13"/>
  <c r="I273" i="13"/>
  <c r="I76" i="13"/>
  <c r="I204" i="13"/>
  <c r="I28" i="13"/>
  <c r="I169" i="13"/>
  <c r="I97" i="13"/>
  <c r="I297" i="13"/>
  <c r="I241" i="13"/>
  <c r="I284" i="13"/>
  <c r="I252" i="13"/>
  <c r="I272" i="13"/>
  <c r="I265" i="13"/>
  <c r="I277" i="13"/>
  <c r="I151" i="13"/>
  <c r="I197" i="13"/>
  <c r="I11" i="13"/>
  <c r="I180" i="13"/>
  <c r="I172" i="13"/>
  <c r="I8" i="13"/>
  <c r="I148" i="13"/>
  <c r="I152" i="13"/>
  <c r="I108" i="13"/>
  <c r="I246" i="13"/>
  <c r="I285" i="13"/>
  <c r="I29" i="13"/>
  <c r="I91" i="13"/>
  <c r="I278" i="13"/>
  <c r="I296" i="13"/>
  <c r="I191" i="13"/>
  <c r="I71" i="13"/>
  <c r="I90" i="13"/>
  <c r="I77" i="13"/>
  <c r="I225" i="13"/>
  <c r="I281" i="13"/>
  <c r="I207" i="13"/>
  <c r="I179" i="13"/>
  <c r="I203" i="13"/>
  <c r="I168" i="13"/>
  <c r="I86" i="13"/>
  <c r="I196" i="13"/>
  <c r="I208" i="13"/>
  <c r="I139" i="13"/>
  <c r="I233" i="13"/>
  <c r="I144" i="13"/>
  <c r="I244" i="13"/>
  <c r="I248" i="13"/>
  <c r="I236" i="13"/>
  <c r="I216" i="13"/>
  <c r="I260" i="13"/>
  <c r="I280" i="13"/>
  <c r="I160" i="13"/>
  <c r="I140" i="13"/>
  <c r="I211" i="13"/>
  <c r="I188" i="13"/>
  <c r="I88" i="13"/>
  <c r="I20" i="13"/>
  <c r="I198" i="13"/>
  <c r="I129" i="13"/>
  <c r="I181" i="13"/>
  <c r="I262" i="13"/>
  <c r="I138" i="13"/>
  <c r="I4" i="13"/>
  <c r="I18" i="13"/>
  <c r="I69" i="13"/>
  <c r="I234" i="13"/>
  <c r="I243" i="13"/>
  <c r="I300" i="13"/>
  <c r="I55" i="13"/>
  <c r="I162" i="13"/>
  <c r="I6" i="13"/>
  <c r="I45" i="13"/>
  <c r="I26" i="13"/>
  <c r="I242" i="13"/>
  <c r="I230" i="13"/>
  <c r="I178" i="13"/>
  <c r="I66" i="13"/>
  <c r="I270" i="13"/>
  <c r="I146" i="13"/>
  <c r="I34" i="13"/>
  <c r="I288" i="13"/>
  <c r="I240" i="13"/>
  <c r="I174" i="13"/>
  <c r="I49" i="13"/>
  <c r="I120" i="13"/>
  <c r="I276" i="13"/>
  <c r="I32" i="13"/>
  <c r="I84" i="13"/>
  <c r="I245" i="13"/>
  <c r="I51" i="13"/>
  <c r="I35" i="13"/>
  <c r="I255" i="13"/>
  <c r="I2" i="13"/>
  <c r="I113" i="13"/>
  <c r="I294" i="13"/>
  <c r="I115" i="13"/>
  <c r="I227" i="13"/>
  <c r="I16" i="13"/>
  <c r="I125" i="13"/>
  <c r="I105" i="13"/>
  <c r="I237" i="13"/>
  <c r="I271" i="13"/>
  <c r="I82" i="13"/>
  <c r="I98" i="13"/>
  <c r="I291" i="13"/>
  <c r="I154" i="13"/>
  <c r="I223" i="13"/>
  <c r="I23" i="13"/>
  <c r="I250" i="13"/>
  <c r="I164" i="13"/>
  <c r="I52" i="13"/>
  <c r="I267" i="13"/>
  <c r="I37" i="13"/>
  <c r="I39" i="13"/>
  <c r="I279" i="13"/>
  <c r="I228" i="13"/>
  <c r="I73" i="13"/>
  <c r="I159" i="13"/>
  <c r="I74" i="13"/>
  <c r="I184" i="13"/>
  <c r="I57" i="13"/>
  <c r="I205" i="13"/>
  <c r="I221" i="13"/>
  <c r="I53" i="13"/>
  <c r="I48" i="13"/>
  <c r="I93" i="13"/>
  <c r="I96" i="13"/>
  <c r="I124" i="13"/>
  <c r="I118" i="13"/>
  <c r="I264" i="13"/>
  <c r="I165" i="13"/>
  <c r="I199" i="13"/>
  <c r="I256" i="13"/>
  <c r="I135" i="13"/>
  <c r="I158" i="13"/>
  <c r="I253" i="13"/>
  <c r="I275" i="13"/>
  <c r="I79" i="13"/>
  <c r="I25" i="13"/>
  <c r="I249" i="13"/>
  <c r="I189" i="13"/>
  <c r="I214" i="13"/>
  <c r="I128" i="13"/>
  <c r="I266" i="13"/>
  <c r="I254" i="13"/>
  <c r="I185" i="13"/>
  <c r="I106" i="13"/>
  <c r="I213" i="13"/>
  <c r="I143" i="13"/>
  <c r="I72" i="13"/>
  <c r="I212" i="13"/>
  <c r="I257" i="13"/>
  <c r="I268" i="13"/>
  <c r="I68" i="13"/>
  <c r="I289" i="13"/>
  <c r="I87" i="13"/>
  <c r="I109" i="13"/>
  <c r="I15" i="13"/>
  <c r="I200" i="13"/>
  <c r="I100" i="13"/>
  <c r="I104" i="13"/>
  <c r="I119" i="13"/>
  <c r="I232" i="13"/>
  <c r="I92" i="13"/>
  <c r="I293" i="13"/>
  <c r="I58" i="13"/>
  <c r="I56" i="13"/>
  <c r="I46" i="13"/>
  <c r="I282" i="13"/>
  <c r="I110" i="13"/>
  <c r="I149" i="13"/>
  <c r="I231" i="13"/>
  <c r="I215" i="13"/>
  <c r="I14" i="13"/>
  <c r="I163" i="13"/>
  <c r="I161" i="13"/>
  <c r="I192" i="13"/>
  <c r="I150" i="13"/>
  <c r="I259" i="13"/>
  <c r="I102" i="13"/>
  <c r="I235" i="13"/>
  <c r="I78" i="13"/>
  <c r="I157" i="13"/>
  <c r="I177" i="13"/>
  <c r="I209" i="13"/>
  <c r="M17" i="7"/>
  <c r="M20" i="7" s="1"/>
  <c r="L5" i="3" s="1"/>
  <c r="M18" i="7"/>
  <c r="I79" i="7"/>
  <c r="I31" i="7"/>
  <c r="I266" i="7"/>
  <c r="I127" i="7"/>
  <c r="I111" i="7"/>
  <c r="I47" i="7"/>
  <c r="I95" i="7"/>
  <c r="I63" i="7"/>
  <c r="I16" i="7"/>
  <c r="I73" i="7"/>
  <c r="I5" i="7"/>
  <c r="I48" i="7"/>
  <c r="I15" i="7"/>
  <c r="I138" i="7"/>
  <c r="I65" i="7"/>
  <c r="I113" i="7"/>
  <c r="I134" i="7"/>
  <c r="I158" i="7"/>
  <c r="I51" i="7"/>
  <c r="I99" i="7"/>
  <c r="I204" i="7"/>
  <c r="I230" i="7"/>
  <c r="I28" i="7"/>
  <c r="I41" i="7"/>
  <c r="I6" i="7"/>
  <c r="I94" i="7"/>
  <c r="I168" i="7"/>
  <c r="I270" i="7"/>
  <c r="I7" i="7"/>
  <c r="I27" i="7"/>
  <c r="I19" i="7"/>
  <c r="I29" i="7"/>
  <c r="I77" i="7"/>
  <c r="I125" i="7"/>
  <c r="I23" i="7"/>
  <c r="I44" i="7"/>
  <c r="I282" i="7"/>
  <c r="I39" i="7"/>
  <c r="I202" i="7"/>
  <c r="I56" i="7"/>
  <c r="I262" i="7"/>
  <c r="I286" i="7"/>
  <c r="I244" i="7"/>
  <c r="I14" i="7"/>
  <c r="I170" i="7"/>
  <c r="I20" i="7"/>
  <c r="I58" i="7"/>
  <c r="I106" i="7"/>
  <c r="I71" i="7"/>
  <c r="I119" i="7"/>
  <c r="I216" i="7"/>
  <c r="I21" i="7"/>
  <c r="I176" i="7"/>
  <c r="I25" i="7"/>
  <c r="I102" i="7"/>
  <c r="I9" i="7"/>
  <c r="I268" i="7"/>
  <c r="I35" i="7"/>
  <c r="I83" i="7"/>
  <c r="I131" i="7"/>
  <c r="I222" i="7"/>
  <c r="I89" i="7"/>
  <c r="I182" i="7"/>
  <c r="I78" i="7"/>
  <c r="I126" i="7"/>
  <c r="I38" i="7"/>
  <c r="I8" i="7"/>
  <c r="I143" i="7"/>
  <c r="I11" i="7"/>
  <c r="I184" i="7"/>
  <c r="I214" i="7"/>
  <c r="I17" i="7"/>
  <c r="I61" i="7"/>
  <c r="I109" i="7"/>
  <c r="I46" i="7"/>
  <c r="I242" i="7"/>
  <c r="I246" i="7"/>
  <c r="I206" i="7"/>
  <c r="I141" i="7"/>
  <c r="I42" i="7"/>
  <c r="I90" i="7"/>
  <c r="I274" i="7"/>
  <c r="I55" i="7"/>
  <c r="I103" i="7"/>
  <c r="I54" i="7"/>
  <c r="I59" i="7"/>
  <c r="I140" i="7"/>
  <c r="I57" i="7"/>
  <c r="I32" i="7"/>
  <c r="I294" i="7"/>
  <c r="I238" i="7"/>
  <c r="I30" i="7"/>
  <c r="I81" i="7"/>
  <c r="I129" i="7"/>
  <c r="I86" i="7"/>
  <c r="I192" i="7"/>
  <c r="I248" i="7"/>
  <c r="I67" i="7"/>
  <c r="I115" i="7"/>
  <c r="I226" i="7"/>
  <c r="I118" i="7"/>
  <c r="I62" i="7"/>
  <c r="I110" i="7"/>
  <c r="I70" i="7"/>
  <c r="I154" i="7"/>
  <c r="I166" i="7"/>
  <c r="I240" i="7"/>
  <c r="I45" i="7"/>
  <c r="I93" i="7"/>
  <c r="I156" i="7"/>
  <c r="I3" i="7"/>
  <c r="I288" i="7"/>
  <c r="I2" i="7"/>
  <c r="I40" i="7"/>
  <c r="I10" i="7"/>
  <c r="I278" i="7"/>
  <c r="I26" i="7"/>
  <c r="I74" i="7"/>
  <c r="I122" i="7"/>
  <c r="I234" i="7"/>
  <c r="I121" i="7"/>
  <c r="I33" i="7"/>
  <c r="I87" i="7"/>
  <c r="I135" i="7"/>
  <c r="I105" i="7"/>
  <c r="I146" i="7"/>
  <c r="I292" i="7"/>
  <c r="I60" i="7"/>
  <c r="I172" i="7"/>
  <c r="I18" i="7"/>
  <c r="I49" i="7"/>
  <c r="I188" i="7"/>
  <c r="I43" i="7"/>
  <c r="I97" i="7"/>
  <c r="I220" i="7"/>
  <c r="I207" i="7"/>
  <c r="I147" i="7"/>
  <c r="I259" i="7"/>
  <c r="I223" i="7"/>
  <c r="I297" i="7"/>
  <c r="I173" i="7"/>
  <c r="I24" i="7"/>
  <c r="I263" i="7"/>
  <c r="I75" i="7"/>
  <c r="I130" i="7"/>
  <c r="I36" i="7"/>
  <c r="I265" i="7"/>
  <c r="I123" i="7"/>
  <c r="I209" i="7"/>
  <c r="I92" i="7"/>
  <c r="I91" i="7"/>
  <c r="I164" i="7"/>
  <c r="I186" i="7"/>
  <c r="I181" i="7"/>
  <c r="I116" i="7"/>
  <c r="I205" i="7"/>
  <c r="I150" i="7"/>
  <c r="I201" i="7"/>
  <c r="I253" i="7"/>
  <c r="I179" i="7"/>
  <c r="I189" i="7"/>
  <c r="I167" i="7"/>
  <c r="I163" i="7"/>
  <c r="I66" i="7"/>
  <c r="I290" i="7"/>
  <c r="I225" i="7"/>
  <c r="I50" i="7"/>
  <c r="I208" i="7"/>
  <c r="I161" i="7"/>
  <c r="I232" i="7"/>
  <c r="I218" i="7"/>
  <c r="I183" i="7"/>
  <c r="I34" i="7"/>
  <c r="I174" i="7"/>
  <c r="I159" i="7"/>
  <c r="I211" i="7"/>
  <c r="I280" i="7"/>
  <c r="I98" i="7"/>
  <c r="I296" i="7"/>
  <c r="I190" i="7"/>
  <c r="I203" i="7"/>
  <c r="I85" i="7"/>
  <c r="I124" i="7"/>
  <c r="I69" i="7"/>
  <c r="I229" i="7"/>
  <c r="I132" i="7"/>
  <c r="I107" i="7"/>
  <c r="I155" i="7"/>
  <c r="I250" i="7"/>
  <c r="I285" i="7"/>
  <c r="I142" i="7"/>
  <c r="I165" i="7"/>
  <c r="I100" i="7"/>
  <c r="I213" i="7"/>
  <c r="I120" i="7"/>
  <c r="I178" i="7"/>
  <c r="I249" i="7"/>
  <c r="I136" i="7"/>
  <c r="I227" i="7"/>
  <c r="I153" i="7"/>
  <c r="I53" i="7"/>
  <c r="I261" i="7"/>
  <c r="I301" i="7"/>
  <c r="I160" i="7"/>
  <c r="I198" i="7"/>
  <c r="I219" i="7"/>
  <c r="I295" i="7"/>
  <c r="I191" i="7"/>
  <c r="I128" i="7"/>
  <c r="I269" i="7"/>
  <c r="I195" i="7"/>
  <c r="I241" i="7"/>
  <c r="I239" i="7"/>
  <c r="I256" i="7"/>
  <c r="I200" i="7"/>
  <c r="I237" i="7"/>
  <c r="I279" i="7"/>
  <c r="I82" i="7"/>
  <c r="I212" i="7"/>
  <c r="I272" i="7"/>
  <c r="I175" i="7"/>
  <c r="I231" i="7"/>
  <c r="I271" i="7"/>
  <c r="I252" i="7"/>
  <c r="I260" i="7"/>
  <c r="I139" i="7"/>
  <c r="I267" i="7"/>
  <c r="I137" i="7"/>
  <c r="I185" i="7"/>
  <c r="I300" i="7"/>
  <c r="I144" i="7"/>
  <c r="I243" i="7"/>
  <c r="I149" i="7"/>
  <c r="I4" i="7"/>
  <c r="I199" i="7"/>
  <c r="I255" i="7"/>
  <c r="I13" i="7"/>
  <c r="I210" i="7"/>
  <c r="I196" i="7"/>
  <c r="I275" i="7"/>
  <c r="I187" i="7"/>
  <c r="I228" i="7"/>
  <c r="I251" i="7"/>
  <c r="I148" i="7"/>
  <c r="I276" i="7"/>
  <c r="I284" i="7"/>
  <c r="I22" i="7"/>
  <c r="I117" i="7"/>
  <c r="I194" i="7"/>
  <c r="I88" i="7"/>
  <c r="I287" i="7"/>
  <c r="I169" i="7"/>
  <c r="I157" i="7"/>
  <c r="I293" i="7"/>
  <c r="I151" i="7"/>
  <c r="I289" i="7"/>
  <c r="I283" i="7"/>
  <c r="I197" i="7"/>
  <c r="I52" i="7"/>
  <c r="I245" i="7"/>
  <c r="I264" i="7"/>
  <c r="I221" i="7"/>
  <c r="I104" i="7"/>
  <c r="I171" i="7"/>
  <c r="I64" i="7"/>
  <c r="I72" i="7"/>
  <c r="I80" i="7"/>
  <c r="I68" i="7"/>
  <c r="I101" i="7"/>
  <c r="I273" i="7"/>
  <c r="I236" i="7"/>
  <c r="I298" i="7"/>
  <c r="I257" i="7"/>
  <c r="I235" i="7"/>
  <c r="I112" i="7"/>
  <c r="I152" i="7"/>
  <c r="I177" i="7"/>
  <c r="I180" i="7"/>
  <c r="I247" i="7"/>
  <c r="I145" i="7"/>
  <c r="I133" i="7"/>
  <c r="I114" i="7"/>
  <c r="I12" i="7"/>
  <c r="I299" i="7"/>
  <c r="I215" i="7"/>
  <c r="I224" i="7"/>
  <c r="I76" i="7"/>
  <c r="I258" i="7"/>
  <c r="I84" i="7"/>
  <c r="I254" i="7"/>
  <c r="I291" i="7"/>
  <c r="I281" i="7"/>
  <c r="I96" i="7"/>
  <c r="I37" i="7"/>
  <c r="I162" i="7"/>
  <c r="I108" i="7"/>
  <c r="I193" i="7"/>
  <c r="I233" i="7"/>
  <c r="I217" i="7"/>
  <c r="I277" i="7"/>
  <c r="I8" i="4"/>
  <c r="H8" i="4"/>
  <c r="G8" i="4"/>
  <c r="L8" i="4"/>
  <c r="K8" i="4"/>
  <c r="J8" i="4"/>
  <c r="M24" i="15"/>
  <c r="M23" i="15"/>
  <c r="L24" i="15"/>
  <c r="M13" i="15"/>
  <c r="K13" i="3" s="1"/>
  <c r="C13" i="4" s="1"/>
  <c r="M14" i="15"/>
  <c r="M15" i="15"/>
  <c r="L23" i="15" s="1"/>
  <c r="J13" i="3"/>
  <c r="M17" i="21"/>
  <c r="M18" i="21"/>
  <c r="I29" i="21"/>
  <c r="I4" i="21"/>
  <c r="I33" i="21"/>
  <c r="I25" i="21"/>
  <c r="I9" i="21"/>
  <c r="I59" i="21"/>
  <c r="I12" i="21"/>
  <c r="I15" i="21"/>
  <c r="I163" i="21"/>
  <c r="I167" i="21"/>
  <c r="I301" i="21"/>
  <c r="I252" i="21"/>
  <c r="I81" i="21"/>
  <c r="I85" i="21"/>
  <c r="I232" i="21"/>
  <c r="I126" i="21"/>
  <c r="I292" i="21"/>
  <c r="I209" i="21"/>
  <c r="I148" i="21"/>
  <c r="I72" i="21"/>
  <c r="I36" i="21"/>
  <c r="I52" i="21"/>
  <c r="I296" i="21"/>
  <c r="I229" i="21"/>
  <c r="I68" i="21"/>
  <c r="I48" i="21"/>
  <c r="I14" i="21"/>
  <c r="I79" i="21"/>
  <c r="I84" i="21"/>
  <c r="I122" i="21"/>
  <c r="I242" i="21"/>
  <c r="I41" i="21"/>
  <c r="I108" i="21"/>
  <c r="I175" i="21"/>
  <c r="I130" i="21"/>
  <c r="I213" i="21"/>
  <c r="I50" i="21"/>
  <c r="I298" i="21"/>
  <c r="I168" i="21"/>
  <c r="I144" i="21"/>
  <c r="I30" i="21"/>
  <c r="I233" i="21"/>
  <c r="I37" i="21"/>
  <c r="I51" i="21"/>
  <c r="I158" i="21"/>
  <c r="I157" i="21"/>
  <c r="I83" i="21"/>
  <c r="I257" i="21"/>
  <c r="I24" i="21"/>
  <c r="I93" i="21"/>
  <c r="I285" i="21"/>
  <c r="I139" i="21"/>
  <c r="I121" i="21"/>
  <c r="I274" i="21"/>
  <c r="I113" i="21"/>
  <c r="I266" i="21"/>
  <c r="I180" i="21"/>
  <c r="I188" i="21"/>
  <c r="I149" i="21"/>
  <c r="I152" i="21"/>
  <c r="I260" i="21"/>
  <c r="I110" i="21"/>
  <c r="I142" i="21"/>
  <c r="I6" i="21"/>
  <c r="I22" i="21"/>
  <c r="I103" i="21"/>
  <c r="I270" i="21"/>
  <c r="I133" i="21"/>
  <c r="I212" i="21"/>
  <c r="I128" i="21"/>
  <c r="I271" i="21"/>
  <c r="I95" i="21"/>
  <c r="I217" i="21"/>
  <c r="I43" i="21"/>
  <c r="I11" i="21"/>
  <c r="I281" i="21"/>
  <c r="I18" i="21"/>
  <c r="I100" i="21"/>
  <c r="I145" i="21"/>
  <c r="I289" i="21"/>
  <c r="I254" i="21"/>
  <c r="I244" i="21"/>
  <c r="I237" i="21"/>
  <c r="I136" i="21"/>
  <c r="I241" i="21"/>
  <c r="I224" i="21"/>
  <c r="I116" i="21"/>
  <c r="I127" i="21"/>
  <c r="I134" i="21"/>
  <c r="I10" i="21"/>
  <c r="I104" i="21"/>
  <c r="I207" i="21"/>
  <c r="I222" i="21"/>
  <c r="I32" i="21"/>
  <c r="I40" i="21"/>
  <c r="I124" i="21"/>
  <c r="I28" i="21"/>
  <c r="I299" i="21"/>
  <c r="I194" i="21"/>
  <c r="I138" i="21"/>
  <c r="I13" i="21"/>
  <c r="I185" i="21"/>
  <c r="I131" i="21"/>
  <c r="I20" i="21"/>
  <c r="I102" i="21"/>
  <c r="I221" i="21"/>
  <c r="I160" i="21"/>
  <c r="I192" i="21"/>
  <c r="I74" i="21"/>
  <c r="I80" i="21"/>
  <c r="I97" i="21"/>
  <c r="I101" i="21"/>
  <c r="I290" i="21"/>
  <c r="I118" i="21"/>
  <c r="I76" i="21"/>
  <c r="I150" i="21"/>
  <c r="I276" i="21"/>
  <c r="I3" i="21"/>
  <c r="I170" i="21"/>
  <c r="I243" i="21"/>
  <c r="I114" i="21"/>
  <c r="I137" i="21"/>
  <c r="I283" i="21"/>
  <c r="I236" i="21"/>
  <c r="I154" i="21"/>
  <c r="I115" i="21"/>
  <c r="I27" i="21"/>
  <c r="I203" i="21"/>
  <c r="I231" i="21"/>
  <c r="I280" i="21"/>
  <c r="I57" i="21"/>
  <c r="I227" i="21"/>
  <c r="I230" i="21"/>
  <c r="I272" i="21"/>
  <c r="I31" i="21"/>
  <c r="I58" i="21"/>
  <c r="I169" i="21"/>
  <c r="I261" i="21"/>
  <c r="I240" i="21"/>
  <c r="I186" i="21"/>
  <c r="I35" i="21"/>
  <c r="I67" i="21"/>
  <c r="I255" i="21"/>
  <c r="I268" i="21"/>
  <c r="I238" i="21"/>
  <c r="I151" i="21"/>
  <c r="I45" i="21"/>
  <c r="I182" i="21"/>
  <c r="I7" i="21"/>
  <c r="I267" i="21"/>
  <c r="I279" i="21"/>
  <c r="I216" i="21"/>
  <c r="I177" i="21"/>
  <c r="I5" i="21"/>
  <c r="I239" i="21"/>
  <c r="I269" i="21"/>
  <c r="I228" i="21"/>
  <c r="I204" i="21"/>
  <c r="I247" i="21"/>
  <c r="I198" i="21"/>
  <c r="I173" i="21"/>
  <c r="I26" i="21"/>
  <c r="I202" i="21"/>
  <c r="I161" i="21"/>
  <c r="I17" i="21"/>
  <c r="I235" i="21"/>
  <c r="I295" i="21"/>
  <c r="I246" i="21"/>
  <c r="I147" i="21"/>
  <c r="I162" i="21"/>
  <c r="I191" i="21"/>
  <c r="I60" i="21"/>
  <c r="I38" i="21"/>
  <c r="I89" i="21"/>
  <c r="I288" i="21"/>
  <c r="I99" i="21"/>
  <c r="I253" i="21"/>
  <c r="I71" i="21"/>
  <c r="I146" i="21"/>
  <c r="I284" i="21"/>
  <c r="I210" i="21"/>
  <c r="I199" i="21"/>
  <c r="I96" i="21"/>
  <c r="I87" i="21"/>
  <c r="I77" i="21"/>
  <c r="I143" i="21"/>
  <c r="I297" i="21"/>
  <c r="I156" i="21"/>
  <c r="I119" i="21"/>
  <c r="I117" i="21"/>
  <c r="I187" i="21"/>
  <c r="I107" i="21"/>
  <c r="I120" i="21"/>
  <c r="I78" i="21"/>
  <c r="I66" i="21"/>
  <c r="I70" i="21"/>
  <c r="I46" i="21"/>
  <c r="I282" i="21"/>
  <c r="I111" i="21"/>
  <c r="I250" i="21"/>
  <c r="I155" i="21"/>
  <c r="I181" i="21"/>
  <c r="I153" i="21"/>
  <c r="I273" i="21"/>
  <c r="I82" i="21"/>
  <c r="I208" i="21"/>
  <c r="I196" i="21"/>
  <c r="I49" i="21"/>
  <c r="I234" i="21"/>
  <c r="I226" i="21"/>
  <c r="I53" i="21"/>
  <c r="I223" i="21"/>
  <c r="I129" i="21"/>
  <c r="I141" i="21"/>
  <c r="I61" i="21"/>
  <c r="I42" i="21"/>
  <c r="I164" i="21"/>
  <c r="I294" i="21"/>
  <c r="I135" i="21"/>
  <c r="I123" i="21"/>
  <c r="I21" i="21"/>
  <c r="I287" i="21"/>
  <c r="I88" i="21"/>
  <c r="I75" i="21"/>
  <c r="I291" i="21"/>
  <c r="I286" i="21"/>
  <c r="I248" i="21"/>
  <c r="I172" i="21"/>
  <c r="I262" i="21"/>
  <c r="I211" i="21"/>
  <c r="I105" i="21"/>
  <c r="I264" i="21"/>
  <c r="I92" i="21"/>
  <c r="I91" i="21"/>
  <c r="I251" i="21"/>
  <c r="I263" i="21"/>
  <c r="I39" i="21"/>
  <c r="I225" i="21"/>
  <c r="I98" i="21"/>
  <c r="I218" i="21"/>
  <c r="I259" i="21"/>
  <c r="I90" i="21"/>
  <c r="I47" i="21"/>
  <c r="I193" i="21"/>
  <c r="I16" i="21"/>
  <c r="I249" i="21"/>
  <c r="I54" i="21"/>
  <c r="I73" i="21"/>
  <c r="I278" i="21"/>
  <c r="I245" i="21"/>
  <c r="I178" i="21"/>
  <c r="I174" i="21"/>
  <c r="I8" i="21"/>
  <c r="I189" i="21"/>
  <c r="I106" i="21"/>
  <c r="I34" i="21"/>
  <c r="I65" i="21"/>
  <c r="I277" i="21"/>
  <c r="I183" i="21"/>
  <c r="I19" i="21"/>
  <c r="I94" i="21"/>
  <c r="I265" i="21"/>
  <c r="I190" i="21"/>
  <c r="I200" i="21"/>
  <c r="I197" i="21"/>
  <c r="I140" i="21"/>
  <c r="I55" i="21"/>
  <c r="I44" i="21"/>
  <c r="I215" i="21"/>
  <c r="I112" i="21"/>
  <c r="I64" i="21"/>
  <c r="I176" i="21"/>
  <c r="I184" i="21"/>
  <c r="I159" i="21"/>
  <c r="I125" i="21"/>
  <c r="I2" i="21"/>
  <c r="I69" i="21"/>
  <c r="I275" i="21"/>
  <c r="I23" i="21"/>
  <c r="I256" i="21"/>
  <c r="I205" i="21"/>
  <c r="I220" i="21"/>
  <c r="I86" i="21"/>
  <c r="I300" i="21"/>
  <c r="I219" i="21"/>
  <c r="I132" i="21"/>
  <c r="I179" i="21"/>
  <c r="I166" i="21"/>
  <c r="I56" i="21"/>
  <c r="I171" i="21"/>
  <c r="I109" i="21"/>
  <c r="I62" i="21"/>
  <c r="I206" i="21"/>
  <c r="I293" i="21"/>
  <c r="I258" i="21"/>
  <c r="I201" i="21"/>
  <c r="I214" i="21"/>
  <c r="I195" i="21"/>
  <c r="I63" i="21"/>
  <c r="I165" i="21"/>
  <c r="M18" i="19"/>
  <c r="I4" i="19"/>
  <c r="M17" i="19"/>
  <c r="I46" i="19"/>
  <c r="I32" i="19"/>
  <c r="I122" i="19"/>
  <c r="I23" i="19"/>
  <c r="I57" i="19"/>
  <c r="I14" i="19"/>
  <c r="I102" i="19"/>
  <c r="I15" i="19"/>
  <c r="I242" i="19"/>
  <c r="I7" i="19"/>
  <c r="I42" i="19"/>
  <c r="I2" i="19"/>
  <c r="I94" i="19"/>
  <c r="I6" i="19"/>
  <c r="I18" i="19"/>
  <c r="I19" i="19"/>
  <c r="I13" i="19"/>
  <c r="I12" i="19"/>
  <c r="I252" i="19"/>
  <c r="I293" i="19"/>
  <c r="I190" i="19"/>
  <c r="I148" i="19"/>
  <c r="I245" i="19"/>
  <c r="I253" i="19"/>
  <c r="I131" i="19"/>
  <c r="I56" i="19"/>
  <c r="I5" i="19"/>
  <c r="I48" i="19"/>
  <c r="I282" i="19"/>
  <c r="I115" i="19"/>
  <c r="I231" i="19"/>
  <c r="I262" i="19"/>
  <c r="I275" i="19"/>
  <c r="I154" i="19"/>
  <c r="I43" i="19"/>
  <c r="I110" i="19"/>
  <c r="I230" i="19"/>
  <c r="I61" i="19"/>
  <c r="I281" i="19"/>
  <c r="I168" i="19"/>
  <c r="I70" i="19"/>
  <c r="I257" i="19"/>
  <c r="I41" i="19"/>
  <c r="I236" i="19"/>
  <c r="I140" i="19"/>
  <c r="I214" i="19"/>
  <c r="I161" i="19"/>
  <c r="I117" i="19"/>
  <c r="I280" i="19"/>
  <c r="I227" i="19"/>
  <c r="I216" i="19"/>
  <c r="I266" i="19"/>
  <c r="I146" i="19"/>
  <c r="I178" i="19"/>
  <c r="I213" i="19"/>
  <c r="I107" i="19"/>
  <c r="I256" i="19"/>
  <c r="I138" i="19"/>
  <c r="I99" i="19"/>
  <c r="I84" i="19"/>
  <c r="I82" i="19"/>
  <c r="I200" i="19"/>
  <c r="I52" i="19"/>
  <c r="I64" i="19"/>
  <c r="I270" i="19"/>
  <c r="I9" i="19"/>
  <c r="I205" i="19"/>
  <c r="I47" i="19"/>
  <c r="I283" i="19"/>
  <c r="I132" i="19"/>
  <c r="I129" i="19"/>
  <c r="I16" i="19"/>
  <c r="I127" i="19"/>
  <c r="I10" i="19"/>
  <c r="I89" i="19"/>
  <c r="I111" i="19"/>
  <c r="I239" i="19"/>
  <c r="I189" i="19"/>
  <c r="I79" i="19"/>
  <c r="I173" i="19"/>
  <c r="I244" i="19"/>
  <c r="I78" i="19"/>
  <c r="I20" i="19"/>
  <c r="I298" i="19"/>
  <c r="I288" i="19"/>
  <c r="I220" i="19"/>
  <c r="I74" i="19"/>
  <c r="I295" i="19"/>
  <c r="I86" i="19"/>
  <c r="I279" i="19"/>
  <c r="I277" i="19"/>
  <c r="I66" i="19"/>
  <c r="I176" i="19"/>
  <c r="I259" i="19"/>
  <c r="I147" i="19"/>
  <c r="I3" i="19"/>
  <c r="I11" i="19"/>
  <c r="I22" i="19"/>
  <c r="I69" i="19"/>
  <c r="I21" i="19"/>
  <c r="I193" i="19"/>
  <c r="I177" i="19"/>
  <c r="I44" i="19"/>
  <c r="I274" i="19"/>
  <c r="I156" i="19"/>
  <c r="I28" i="19"/>
  <c r="I235" i="19"/>
  <c r="I228" i="19"/>
  <c r="I271" i="19"/>
  <c r="I104" i="19"/>
  <c r="I181" i="19"/>
  <c r="I272" i="19"/>
  <c r="I268" i="19"/>
  <c r="I206" i="19"/>
  <c r="I158" i="19"/>
  <c r="I120" i="19"/>
  <c r="I284" i="19"/>
  <c r="I194" i="19"/>
  <c r="I91" i="19"/>
  <c r="I34" i="19"/>
  <c r="I249" i="19"/>
  <c r="I121" i="19"/>
  <c r="I27" i="19"/>
  <c r="I301" i="19"/>
  <c r="I101" i="19"/>
  <c r="I174" i="19"/>
  <c r="I37" i="19"/>
  <c r="I185" i="19"/>
  <c r="I221" i="19"/>
  <c r="I217" i="19"/>
  <c r="I233" i="19"/>
  <c r="I139" i="19"/>
  <c r="I80" i="19"/>
  <c r="I192" i="19"/>
  <c r="I97" i="19"/>
  <c r="I38" i="19"/>
  <c r="I142" i="19"/>
  <c r="I45" i="19"/>
  <c r="I175" i="19"/>
  <c r="I143" i="19"/>
  <c r="I83" i="19"/>
  <c r="I198" i="19"/>
  <c r="I40" i="19"/>
  <c r="I109" i="19"/>
  <c r="I92" i="19"/>
  <c r="I108" i="19"/>
  <c r="I141" i="19"/>
  <c r="I199" i="19"/>
  <c r="I75" i="19"/>
  <c r="I133" i="19"/>
  <c r="I153" i="19"/>
  <c r="I299" i="19"/>
  <c r="I224" i="19"/>
  <c r="I29" i="19"/>
  <c r="I226" i="19"/>
  <c r="I201" i="19"/>
  <c r="I247" i="19"/>
  <c r="I291" i="19"/>
  <c r="I250" i="19"/>
  <c r="I172" i="19"/>
  <c r="I136" i="19"/>
  <c r="I24" i="19"/>
  <c r="I207" i="19"/>
  <c r="I125" i="19"/>
  <c r="I144" i="19"/>
  <c r="I128" i="19"/>
  <c r="I152" i="19"/>
  <c r="I17" i="19"/>
  <c r="I241" i="19"/>
  <c r="I39" i="19"/>
  <c r="I243" i="19"/>
  <c r="I93" i="19"/>
  <c r="I63" i="19"/>
  <c r="I184" i="19"/>
  <c r="I106" i="19"/>
  <c r="I300" i="19"/>
  <c r="I290" i="19"/>
  <c r="I196" i="19"/>
  <c r="I76" i="19"/>
  <c r="I160" i="19"/>
  <c r="I222" i="19"/>
  <c r="I237" i="19"/>
  <c r="I155" i="19"/>
  <c r="I166" i="19"/>
  <c r="I211" i="19"/>
  <c r="I258" i="19"/>
  <c r="I202" i="19"/>
  <c r="I267" i="19"/>
  <c r="I187" i="19"/>
  <c r="I188" i="19"/>
  <c r="I254" i="19"/>
  <c r="I167" i="19"/>
  <c r="I25" i="19"/>
  <c r="I287" i="19"/>
  <c r="I248" i="19"/>
  <c r="I232" i="19"/>
  <c r="I124" i="19"/>
  <c r="I98" i="19"/>
  <c r="I149" i="19"/>
  <c r="I67" i="19"/>
  <c r="I87" i="19"/>
  <c r="I195" i="19"/>
  <c r="I180" i="19"/>
  <c r="I163" i="19"/>
  <c r="I59" i="19"/>
  <c r="I210" i="19"/>
  <c r="I134" i="19"/>
  <c r="I50" i="19"/>
  <c r="I212" i="19"/>
  <c r="I60" i="19"/>
  <c r="I234" i="19"/>
  <c r="I246" i="19"/>
  <c r="I165" i="19"/>
  <c r="I292" i="19"/>
  <c r="I119" i="19"/>
  <c r="I72" i="19"/>
  <c r="I229" i="19"/>
  <c r="I55" i="19"/>
  <c r="I255" i="19"/>
  <c r="I285" i="19"/>
  <c r="I73" i="19"/>
  <c r="I203" i="19"/>
  <c r="I31" i="19"/>
  <c r="I85" i="19"/>
  <c r="I145" i="19"/>
  <c r="I77" i="19"/>
  <c r="I8" i="19"/>
  <c r="I103" i="19"/>
  <c r="I88" i="19"/>
  <c r="I95" i="19"/>
  <c r="I49" i="19"/>
  <c r="I278" i="19"/>
  <c r="I251" i="19"/>
  <c r="I157" i="19"/>
  <c r="I289" i="19"/>
  <c r="I297" i="19"/>
  <c r="I240" i="19"/>
  <c r="I112" i="19"/>
  <c r="I223" i="19"/>
  <c r="I169" i="19"/>
  <c r="I71" i="19"/>
  <c r="I276" i="19"/>
  <c r="I162" i="19"/>
  <c r="I225" i="19"/>
  <c r="I159" i="19"/>
  <c r="I183" i="19"/>
  <c r="I123" i="19"/>
  <c r="I197" i="19"/>
  <c r="I179" i="19"/>
  <c r="I164" i="19"/>
  <c r="I264" i="19"/>
  <c r="I130" i="19"/>
  <c r="I114" i="19"/>
  <c r="I209" i="19"/>
  <c r="I170" i="19"/>
  <c r="I126" i="19"/>
  <c r="I36" i="19"/>
  <c r="I215" i="19"/>
  <c r="I208" i="19"/>
  <c r="I58" i="19"/>
  <c r="I105" i="19"/>
  <c r="I186" i="19"/>
  <c r="I118" i="19"/>
  <c r="I191" i="19"/>
  <c r="I261" i="19"/>
  <c r="I269" i="19"/>
  <c r="I35" i="19"/>
  <c r="I26" i="19"/>
  <c r="I219" i="19"/>
  <c r="I204" i="19"/>
  <c r="I116" i="19"/>
  <c r="I90" i="19"/>
  <c r="I62" i="19"/>
  <c r="I51" i="19"/>
  <c r="I171" i="19"/>
  <c r="I100" i="19"/>
  <c r="I68" i="19"/>
  <c r="I286" i="19"/>
  <c r="I113" i="19"/>
  <c r="I294" i="19"/>
  <c r="I151" i="19"/>
  <c r="I218" i="19"/>
  <c r="I96" i="19"/>
  <c r="I265" i="19"/>
  <c r="I65" i="19"/>
  <c r="I135" i="19"/>
  <c r="I296" i="19"/>
  <c r="I260" i="19"/>
  <c r="I182" i="19"/>
  <c r="I150" i="19"/>
  <c r="I273" i="19"/>
  <c r="I263" i="19"/>
  <c r="I137" i="19"/>
  <c r="I238" i="19"/>
  <c r="I30" i="19"/>
  <c r="I53" i="19"/>
  <c r="I33" i="19"/>
  <c r="I54" i="19"/>
  <c r="I81" i="19"/>
  <c r="M23" i="8"/>
  <c r="M13" i="8"/>
  <c r="K6" i="3" s="1"/>
  <c r="C6" i="4" s="1"/>
  <c r="M24" i="8"/>
  <c r="M14" i="8"/>
  <c r="M15" i="8"/>
  <c r="L23" i="8" s="1"/>
  <c r="J6" i="3"/>
  <c r="M17" i="16"/>
  <c r="M18" i="16"/>
  <c r="I134" i="16"/>
  <c r="I110" i="16"/>
  <c r="I90" i="16"/>
  <c r="I56" i="16"/>
  <c r="I62" i="16"/>
  <c r="I86" i="16"/>
  <c r="I30" i="16"/>
  <c r="I106" i="16"/>
  <c r="I58" i="16"/>
  <c r="I32" i="16"/>
  <c r="I60" i="16"/>
  <c r="I18" i="16"/>
  <c r="I20" i="16"/>
  <c r="I12" i="16"/>
  <c r="I23" i="16"/>
  <c r="I120" i="16"/>
  <c r="I70" i="16"/>
  <c r="I40" i="16"/>
  <c r="I24" i="16"/>
  <c r="I50" i="16"/>
  <c r="I42" i="16"/>
  <c r="I38" i="16"/>
  <c r="I52" i="16"/>
  <c r="I14" i="16"/>
  <c r="I168" i="16"/>
  <c r="I78" i="16"/>
  <c r="I72" i="16"/>
  <c r="I102" i="16"/>
  <c r="I173" i="16"/>
  <c r="I202" i="16"/>
  <c r="I4" i="16"/>
  <c r="I147" i="16"/>
  <c r="I140" i="16"/>
  <c r="I108" i="16"/>
  <c r="I116" i="16"/>
  <c r="I37" i="16"/>
  <c r="I276" i="16"/>
  <c r="I5" i="16"/>
  <c r="I278" i="16"/>
  <c r="I123" i="16"/>
  <c r="I273" i="16"/>
  <c r="I301" i="16"/>
  <c r="I74" i="16"/>
  <c r="I144" i="16"/>
  <c r="I96" i="16"/>
  <c r="I180" i="16"/>
  <c r="I148" i="16"/>
  <c r="I77" i="16"/>
  <c r="I209" i="16"/>
  <c r="I125" i="16"/>
  <c r="I291" i="16"/>
  <c r="I105" i="16"/>
  <c r="I183" i="16"/>
  <c r="I27" i="16"/>
  <c r="I159" i="16"/>
  <c r="I3" i="16"/>
  <c r="I153" i="16"/>
  <c r="I89" i="16"/>
  <c r="I131" i="16"/>
  <c r="I279" i="16"/>
  <c r="I130" i="16"/>
  <c r="I190" i="16"/>
  <c r="I212" i="16"/>
  <c r="I172" i="16"/>
  <c r="I114" i="16"/>
  <c r="I7" i="16"/>
  <c r="I19" i="16"/>
  <c r="I118" i="16"/>
  <c r="I160" i="16"/>
  <c r="I234" i="16"/>
  <c r="I127" i="16"/>
  <c r="I34" i="16"/>
  <c r="I286" i="16"/>
  <c r="I69" i="16"/>
  <c r="I263" i="16"/>
  <c r="I294" i="16"/>
  <c r="I35" i="16"/>
  <c r="I167" i="16"/>
  <c r="I218" i="16"/>
  <c r="I282" i="16"/>
  <c r="I230" i="16"/>
  <c r="I107" i="16"/>
  <c r="I82" i="16"/>
  <c r="I281" i="16"/>
  <c r="I6" i="16"/>
  <c r="I33" i="16"/>
  <c r="I46" i="16"/>
  <c r="I44" i="16"/>
  <c r="I79" i="16"/>
  <c r="I211" i="16"/>
  <c r="I240" i="16"/>
  <c r="I181" i="16"/>
  <c r="I216" i="16"/>
  <c r="I61" i="16"/>
  <c r="I254" i="16"/>
  <c r="I63" i="16"/>
  <c r="I195" i="16"/>
  <c r="I136" i="16"/>
  <c r="I16" i="16"/>
  <c r="I113" i="16"/>
  <c r="I11" i="16"/>
  <c r="I49" i="16"/>
  <c r="I251" i="16"/>
  <c r="I298" i="16"/>
  <c r="I210" i="16"/>
  <c r="I154" i="16"/>
  <c r="I292" i="16"/>
  <c r="I119" i="16"/>
  <c r="I126" i="16"/>
  <c r="I87" i="16"/>
  <c r="I219" i="16"/>
  <c r="I15" i="16"/>
  <c r="I270" i="16"/>
  <c r="I208" i="16"/>
  <c r="I164" i="16"/>
  <c r="I232" i="16"/>
  <c r="I64" i="16"/>
  <c r="I25" i="16"/>
  <c r="I155" i="16"/>
  <c r="I104" i="16"/>
  <c r="I75" i="16"/>
  <c r="I207" i="16"/>
  <c r="I196" i="16"/>
  <c r="I36" i="16"/>
  <c r="I250" i="16"/>
  <c r="I141" i="16"/>
  <c r="I139" i="16"/>
  <c r="I21" i="16"/>
  <c r="I85" i="16"/>
  <c r="I68" i="16"/>
  <c r="I259" i="16"/>
  <c r="I111" i="16"/>
  <c r="I28" i="16"/>
  <c r="I222" i="16"/>
  <c r="I150" i="16"/>
  <c r="I10" i="16"/>
  <c r="I151" i="16"/>
  <c r="I268" i="16"/>
  <c r="I249" i="16"/>
  <c r="I221" i="16"/>
  <c r="I215" i="16"/>
  <c r="I264" i="16"/>
  <c r="I197" i="16"/>
  <c r="I55" i="16"/>
  <c r="I187" i="16"/>
  <c r="I98" i="16"/>
  <c r="I235" i="16"/>
  <c r="I174" i="16"/>
  <c r="I236" i="16"/>
  <c r="I205" i="16"/>
  <c r="I231" i="16"/>
  <c r="I22" i="16"/>
  <c r="I225" i="16"/>
  <c r="I94" i="16"/>
  <c r="I158" i="16"/>
  <c r="I176" i="16"/>
  <c r="I280" i="16"/>
  <c r="I92" i="16"/>
  <c r="I2" i="16"/>
  <c r="I83" i="16"/>
  <c r="I300" i="16"/>
  <c r="I227" i="16"/>
  <c r="I248" i="16"/>
  <c r="I182" i="16"/>
  <c r="I244" i="16"/>
  <c r="I121" i="16"/>
  <c r="I178" i="16"/>
  <c r="I277" i="16"/>
  <c r="I257" i="16"/>
  <c r="I26" i="16"/>
  <c r="I71" i="16"/>
  <c r="I245" i="16"/>
  <c r="I217" i="16"/>
  <c r="I177" i="16"/>
  <c r="I275" i="16"/>
  <c r="I76" i="16"/>
  <c r="I152" i="16"/>
  <c r="I262" i="16"/>
  <c r="I224" i="16"/>
  <c r="I288" i="16"/>
  <c r="I271" i="16"/>
  <c r="I189" i="16"/>
  <c r="I166" i="16"/>
  <c r="I203" i="16"/>
  <c r="I146" i="16"/>
  <c r="I198" i="16"/>
  <c r="I112" i="16"/>
  <c r="I252" i="16"/>
  <c r="I143" i="16"/>
  <c r="I137" i="16"/>
  <c r="I9" i="16"/>
  <c r="I290" i="16"/>
  <c r="I128" i="16"/>
  <c r="I269" i="16"/>
  <c r="I186" i="16"/>
  <c r="I162" i="16"/>
  <c r="I45" i="16"/>
  <c r="I228" i="16"/>
  <c r="I289" i="16"/>
  <c r="I242" i="16"/>
  <c r="I239" i="16"/>
  <c r="I149" i="16"/>
  <c r="I185" i="16"/>
  <c r="I124" i="16"/>
  <c r="I274" i="16"/>
  <c r="I170" i="16"/>
  <c r="I8" i="16"/>
  <c r="I199" i="16"/>
  <c r="I223" i="16"/>
  <c r="I201" i="16"/>
  <c r="I165" i="16"/>
  <c r="I73" i="16"/>
  <c r="I246" i="16"/>
  <c r="I200" i="16"/>
  <c r="I295" i="16"/>
  <c r="I101" i="16"/>
  <c r="I142" i="16"/>
  <c r="I233" i="16"/>
  <c r="I59" i="16"/>
  <c r="I191" i="16"/>
  <c r="I122" i="16"/>
  <c r="I266" i="16"/>
  <c r="I100" i="16"/>
  <c r="I67" i="16"/>
  <c r="I93" i="16"/>
  <c r="I57" i="16"/>
  <c r="I213" i="16"/>
  <c r="I283" i="16"/>
  <c r="I31" i="16"/>
  <c r="I163" i="16"/>
  <c r="I237" i="16"/>
  <c r="I255" i="16"/>
  <c r="I258" i="16"/>
  <c r="I65" i="16"/>
  <c r="I175" i="16"/>
  <c r="I117" i="16"/>
  <c r="I299" i="16"/>
  <c r="I247" i="16"/>
  <c r="I47" i="16"/>
  <c r="I179" i="16"/>
  <c r="I115" i="16"/>
  <c r="I204" i="16"/>
  <c r="I91" i="16"/>
  <c r="I66" i="16"/>
  <c r="I260" i="16"/>
  <c r="I287" i="16"/>
  <c r="I157" i="16"/>
  <c r="I193" i="16"/>
  <c r="I229" i="16"/>
  <c r="I261" i="16"/>
  <c r="I81" i="16"/>
  <c r="I53" i="16"/>
  <c r="I133" i="16"/>
  <c r="I188" i="16"/>
  <c r="I80" i="16"/>
  <c r="I285" i="16"/>
  <c r="I238" i="16"/>
  <c r="I48" i="16"/>
  <c r="I84" i="16"/>
  <c r="I145" i="16"/>
  <c r="I256" i="16"/>
  <c r="I95" i="16"/>
  <c r="I241" i="16"/>
  <c r="I267" i="16"/>
  <c r="I194" i="16"/>
  <c r="I265" i="16"/>
  <c r="I97" i="16"/>
  <c r="I103" i="16"/>
  <c r="I88" i="16"/>
  <c r="I156" i="16"/>
  <c r="I51" i="16"/>
  <c r="I138" i="16"/>
  <c r="I29" i="16"/>
  <c r="I296" i="16"/>
  <c r="I272" i="16"/>
  <c r="I214" i="16"/>
  <c r="I293" i="16"/>
  <c r="I220" i="16"/>
  <c r="I284" i="16"/>
  <c r="I109" i="16"/>
  <c r="I192" i="16"/>
  <c r="I297" i="16"/>
  <c r="I226" i="16"/>
  <c r="I17" i="16"/>
  <c r="I253" i="16"/>
  <c r="I243" i="16"/>
  <c r="I54" i="16"/>
  <c r="I161" i="16"/>
  <c r="I171" i="16"/>
  <c r="I13" i="16"/>
  <c r="I99" i="16"/>
  <c r="I206" i="16"/>
  <c r="I39" i="16"/>
  <c r="I184" i="16"/>
  <c r="I43" i="16"/>
  <c r="I135" i="16"/>
  <c r="I169" i="16"/>
  <c r="I129" i="16"/>
  <c r="I132" i="16"/>
  <c r="I41" i="16"/>
  <c r="J18" i="4"/>
  <c r="K18" i="4"/>
  <c r="I18" i="4"/>
  <c r="L18" i="4"/>
  <c r="G18" i="4"/>
  <c r="H18" i="4"/>
  <c r="L24" i="11" l="1"/>
  <c r="L23" i="10"/>
  <c r="L24" i="10"/>
  <c r="I91" i="10"/>
  <c r="I19" i="10"/>
  <c r="I99" i="10"/>
  <c r="I27" i="10"/>
  <c r="I74" i="10"/>
  <c r="I83" i="10"/>
  <c r="I71" i="10"/>
  <c r="I75" i="10"/>
  <c r="I32" i="10"/>
  <c r="I226" i="10"/>
  <c r="I105" i="10"/>
  <c r="I90" i="10"/>
  <c r="I130" i="10"/>
  <c r="I120" i="10"/>
  <c r="I221" i="10"/>
  <c r="I269" i="10"/>
  <c r="I143" i="10"/>
  <c r="I57" i="10"/>
  <c r="I194" i="10"/>
  <c r="I141" i="10"/>
  <c r="I222" i="10"/>
  <c r="I300" i="10"/>
  <c r="I42" i="10"/>
  <c r="I106" i="10"/>
  <c r="I110" i="10"/>
  <c r="I293" i="10"/>
  <c r="I73" i="10"/>
  <c r="I233" i="10"/>
  <c r="I158" i="10"/>
  <c r="I153" i="10"/>
  <c r="I193" i="10"/>
  <c r="I119" i="10"/>
  <c r="I231" i="10"/>
  <c r="I208" i="10"/>
  <c r="I240" i="10"/>
  <c r="I126" i="10"/>
  <c r="I59" i="10"/>
  <c r="I78" i="10"/>
  <c r="I172" i="10"/>
  <c r="I286" i="10"/>
  <c r="I201" i="10"/>
  <c r="I94" i="10"/>
  <c r="I284" i="10"/>
  <c r="I5" i="10"/>
  <c r="I123" i="10"/>
  <c r="I173" i="10"/>
  <c r="I263" i="10"/>
  <c r="I290" i="10"/>
  <c r="I137" i="10"/>
  <c r="I205" i="10"/>
  <c r="I207" i="10"/>
  <c r="I136" i="10"/>
  <c r="I133" i="10"/>
  <c r="I254" i="10"/>
  <c r="I190" i="10"/>
  <c r="I210" i="10"/>
  <c r="I65" i="10"/>
  <c r="I80" i="10"/>
  <c r="I272" i="10"/>
  <c r="I20" i="10"/>
  <c r="I35" i="10"/>
  <c r="I56" i="10"/>
  <c r="I145" i="10"/>
  <c r="I159" i="10"/>
  <c r="I9" i="10"/>
  <c r="I216" i="10"/>
  <c r="I29" i="10"/>
  <c r="I22" i="10"/>
  <c r="I236" i="10"/>
  <c r="I16" i="10"/>
  <c r="I25" i="10"/>
  <c r="I41" i="10"/>
  <c r="I178" i="10"/>
  <c r="I100" i="10"/>
  <c r="I224" i="10"/>
  <c r="I154" i="10"/>
  <c r="I225" i="10"/>
  <c r="L24" i="8"/>
  <c r="M23" i="7"/>
  <c r="L24" i="7"/>
  <c r="K5" i="4"/>
  <c r="L5" i="4"/>
  <c r="I5" i="4"/>
  <c r="J5" i="4"/>
  <c r="H5" i="4"/>
  <c r="K9" i="4"/>
  <c r="G9" i="4"/>
  <c r="H9" i="4"/>
  <c r="I9" i="4"/>
  <c r="J9" i="4"/>
  <c r="L9" i="4"/>
  <c r="M17" i="8"/>
  <c r="M18" i="8"/>
  <c r="I207" i="8"/>
  <c r="I26" i="8"/>
  <c r="I289" i="8"/>
  <c r="I284" i="8"/>
  <c r="I82" i="8"/>
  <c r="I263" i="8"/>
  <c r="I140" i="8"/>
  <c r="I4" i="8"/>
  <c r="I175" i="8"/>
  <c r="I168" i="8"/>
  <c r="I33" i="8"/>
  <c r="I119" i="8"/>
  <c r="I43" i="8"/>
  <c r="I224" i="8"/>
  <c r="I136" i="8"/>
  <c r="I124" i="8"/>
  <c r="I55" i="8"/>
  <c r="I300" i="8"/>
  <c r="I179" i="8"/>
  <c r="I123" i="8"/>
  <c r="I102" i="8"/>
  <c r="I276" i="8"/>
  <c r="I131" i="8"/>
  <c r="I219" i="8"/>
  <c r="I107" i="8"/>
  <c r="I116" i="8"/>
  <c r="I192" i="8"/>
  <c r="I227" i="8"/>
  <c r="I139" i="8"/>
  <c r="I271" i="8"/>
  <c r="I188" i="8"/>
  <c r="I161" i="8"/>
  <c r="I147" i="8"/>
  <c r="I244" i="8"/>
  <c r="I212" i="8"/>
  <c r="I288" i="8"/>
  <c r="I98" i="8"/>
  <c r="I108" i="8"/>
  <c r="I171" i="8"/>
  <c r="I180" i="8"/>
  <c r="I62" i="8"/>
  <c r="I213" i="8"/>
  <c r="I143" i="8"/>
  <c r="I10" i="8"/>
  <c r="I95" i="8"/>
  <c r="I120" i="8"/>
  <c r="I164" i="8"/>
  <c r="I90" i="8"/>
  <c r="I152" i="8"/>
  <c r="I34" i="8"/>
  <c r="I128" i="8"/>
  <c r="I248" i="8"/>
  <c r="I127" i="8"/>
  <c r="I83" i="8"/>
  <c r="I156" i="8"/>
  <c r="I235" i="8"/>
  <c r="I54" i="8"/>
  <c r="I132" i="8"/>
  <c r="I223" i="8"/>
  <c r="I255" i="8"/>
  <c r="I19" i="8"/>
  <c r="I239" i="8"/>
  <c r="I87" i="8"/>
  <c r="I177" i="8"/>
  <c r="I159" i="8"/>
  <c r="I236" i="8"/>
  <c r="I215" i="8"/>
  <c r="I228" i="8"/>
  <c r="I259" i="8"/>
  <c r="I144" i="8"/>
  <c r="I46" i="8"/>
  <c r="I299" i="8"/>
  <c r="I240" i="8"/>
  <c r="I296" i="8"/>
  <c r="I86" i="8"/>
  <c r="I151" i="8"/>
  <c r="I205" i="8"/>
  <c r="I211" i="8"/>
  <c r="I104" i="8"/>
  <c r="I199" i="8"/>
  <c r="I25" i="8"/>
  <c r="I204" i="8"/>
  <c r="I217" i="8"/>
  <c r="I272" i="8"/>
  <c r="I184" i="8"/>
  <c r="I247" i="8"/>
  <c r="I196" i="8"/>
  <c r="I264" i="8"/>
  <c r="I38" i="8"/>
  <c r="I295" i="8"/>
  <c r="I7" i="8"/>
  <c r="I200" i="8"/>
  <c r="I203" i="8"/>
  <c r="I99" i="8"/>
  <c r="I267" i="8"/>
  <c r="I111" i="8"/>
  <c r="I49" i="8"/>
  <c r="I176" i="8"/>
  <c r="I27" i="8"/>
  <c r="I103" i="8"/>
  <c r="I275" i="8"/>
  <c r="I187" i="8"/>
  <c r="I251" i="8"/>
  <c r="I12" i="8"/>
  <c r="I260" i="8"/>
  <c r="I283" i="8"/>
  <c r="I115" i="8"/>
  <c r="I291" i="8"/>
  <c r="I191" i="8"/>
  <c r="I201" i="8"/>
  <c r="I50" i="8"/>
  <c r="I155" i="8"/>
  <c r="I252" i="8"/>
  <c r="I163" i="8"/>
  <c r="I91" i="8"/>
  <c r="I13" i="8"/>
  <c r="I167" i="8"/>
  <c r="I287" i="8"/>
  <c r="I231" i="8"/>
  <c r="I216" i="8"/>
  <c r="I68" i="8"/>
  <c r="I81" i="8"/>
  <c r="I114" i="8"/>
  <c r="I6" i="8"/>
  <c r="I285" i="8"/>
  <c r="I100" i="8"/>
  <c r="I142" i="8"/>
  <c r="I110" i="8"/>
  <c r="I210" i="8"/>
  <c r="I60" i="8"/>
  <c r="I269" i="8"/>
  <c r="I66" i="8"/>
  <c r="I16" i="8"/>
  <c r="I165" i="8"/>
  <c r="I141" i="8"/>
  <c r="I22" i="8"/>
  <c r="I193" i="8"/>
  <c r="I261" i="8"/>
  <c r="I183" i="8"/>
  <c r="I214" i="8"/>
  <c r="I226" i="8"/>
  <c r="I76" i="8"/>
  <c r="I126" i="8"/>
  <c r="I181" i="8"/>
  <c r="I36" i="8"/>
  <c r="I197" i="8"/>
  <c r="I198" i="8"/>
  <c r="I78" i="8"/>
  <c r="I9" i="8"/>
  <c r="I166" i="8"/>
  <c r="I278" i="8"/>
  <c r="I65" i="8"/>
  <c r="I293" i="8"/>
  <c r="I280" i="8"/>
  <c r="I130" i="8"/>
  <c r="I182" i="8"/>
  <c r="I282" i="8"/>
  <c r="I31" i="8"/>
  <c r="I178" i="8"/>
  <c r="I230" i="8"/>
  <c r="I241" i="8"/>
  <c r="I301" i="8"/>
  <c r="I85" i="8"/>
  <c r="I225" i="8"/>
  <c r="I158" i="8"/>
  <c r="I238" i="8"/>
  <c r="I112" i="8"/>
  <c r="I173" i="8"/>
  <c r="I8" i="8"/>
  <c r="I137" i="8"/>
  <c r="I113" i="8"/>
  <c r="I97" i="8"/>
  <c r="I286" i="8"/>
  <c r="I206" i="8"/>
  <c r="I47" i="8"/>
  <c r="I92" i="8"/>
  <c r="I174" i="8"/>
  <c r="I80" i="8"/>
  <c r="I21" i="8"/>
  <c r="I195" i="8"/>
  <c r="I77" i="8"/>
  <c r="I51" i="8"/>
  <c r="I42" i="8"/>
  <c r="I298" i="8"/>
  <c r="I146" i="8"/>
  <c r="I258" i="8"/>
  <c r="I71" i="8"/>
  <c r="I153" i="8"/>
  <c r="I229" i="8"/>
  <c r="I29" i="8"/>
  <c r="I268" i="8"/>
  <c r="I237" i="8"/>
  <c r="I61" i="8"/>
  <c r="I118" i="8"/>
  <c r="I138" i="8"/>
  <c r="I232" i="8"/>
  <c r="I96" i="8"/>
  <c r="I297" i="8"/>
  <c r="I94" i="8"/>
  <c r="I250" i="8"/>
  <c r="I254" i="8"/>
  <c r="I122" i="8"/>
  <c r="I222" i="8"/>
  <c r="I58" i="8"/>
  <c r="I70" i="8"/>
  <c r="I109" i="8"/>
  <c r="I202" i="8"/>
  <c r="I170" i="8"/>
  <c r="I270" i="8"/>
  <c r="I262" i="8"/>
  <c r="I84" i="8"/>
  <c r="I150" i="8"/>
  <c r="I53" i="8"/>
  <c r="I256" i="8"/>
  <c r="I220" i="8"/>
  <c r="I169" i="8"/>
  <c r="I24" i="8"/>
  <c r="I64" i="8"/>
  <c r="I281" i="8"/>
  <c r="I265" i="8"/>
  <c r="I17" i="8"/>
  <c r="I246" i="8"/>
  <c r="I5" i="8"/>
  <c r="I2" i="8"/>
  <c r="I39" i="8"/>
  <c r="I117" i="8"/>
  <c r="I32" i="8"/>
  <c r="I185" i="8"/>
  <c r="I190" i="8"/>
  <c r="I48" i="8"/>
  <c r="I233" i="8"/>
  <c r="I69" i="8"/>
  <c r="I292" i="8"/>
  <c r="I74" i="8"/>
  <c r="I14" i="8"/>
  <c r="I245" i="8"/>
  <c r="I157" i="8"/>
  <c r="I148" i="8"/>
  <c r="I277" i="8"/>
  <c r="I40" i="8"/>
  <c r="I209" i="8"/>
  <c r="I129" i="8"/>
  <c r="I172" i="8"/>
  <c r="I218" i="8"/>
  <c r="I105" i="8"/>
  <c r="I208" i="8"/>
  <c r="I41" i="8"/>
  <c r="I23" i="8"/>
  <c r="I160" i="8"/>
  <c r="I243" i="8"/>
  <c r="I3" i="8"/>
  <c r="I279" i="8"/>
  <c r="I52" i="8"/>
  <c r="I28" i="8"/>
  <c r="I290" i="8"/>
  <c r="I37" i="8"/>
  <c r="I20" i="8"/>
  <c r="I63" i="8"/>
  <c r="I93" i="8"/>
  <c r="I149" i="8"/>
  <c r="I249" i="8"/>
  <c r="I125" i="8"/>
  <c r="I59" i="8"/>
  <c r="I56" i="8"/>
  <c r="I257" i="8"/>
  <c r="I266" i="8"/>
  <c r="I273" i="8"/>
  <c r="I15" i="8"/>
  <c r="I274" i="8"/>
  <c r="I194" i="8"/>
  <c r="I294" i="8"/>
  <c r="I189" i="8"/>
  <c r="I106" i="8"/>
  <c r="I101" i="8"/>
  <c r="I75" i="8"/>
  <c r="I57" i="8"/>
  <c r="I145" i="8"/>
  <c r="I79" i="8"/>
  <c r="I30" i="8"/>
  <c r="I186" i="8"/>
  <c r="I67" i="8"/>
  <c r="I154" i="8"/>
  <c r="I134" i="8"/>
  <c r="I234" i="8"/>
  <c r="I121" i="8"/>
  <c r="I44" i="8"/>
  <c r="I253" i="8"/>
  <c r="I135" i="8"/>
  <c r="I73" i="8"/>
  <c r="I242" i="8"/>
  <c r="I35" i="8"/>
  <c r="I72" i="8"/>
  <c r="I133" i="8"/>
  <c r="I18" i="8"/>
  <c r="I45" i="8"/>
  <c r="I89" i="8"/>
  <c r="I88" i="8"/>
  <c r="I162" i="8"/>
  <c r="I221" i="8"/>
  <c r="I11" i="8"/>
  <c r="M18" i="15"/>
  <c r="M17" i="15"/>
  <c r="M20" i="15" s="1"/>
  <c r="L13" i="3" s="1"/>
  <c r="I12" i="15"/>
  <c r="I106" i="15"/>
  <c r="I292" i="15"/>
  <c r="I46" i="15"/>
  <c r="I142" i="15"/>
  <c r="I186" i="15"/>
  <c r="I118" i="15"/>
  <c r="I112" i="15"/>
  <c r="I134" i="15"/>
  <c r="I204" i="15"/>
  <c r="I180" i="15"/>
  <c r="I114" i="15"/>
  <c r="I176" i="15"/>
  <c r="I188" i="15"/>
  <c r="I220" i="15"/>
  <c r="I248" i="15"/>
  <c r="I259" i="15"/>
  <c r="I104" i="15"/>
  <c r="I194" i="15"/>
  <c r="I130" i="15"/>
  <c r="I108" i="15"/>
  <c r="I90" i="15"/>
  <c r="I276" i="15"/>
  <c r="I184" i="15"/>
  <c r="I116" i="15"/>
  <c r="I190" i="15"/>
  <c r="I178" i="15"/>
  <c r="I199" i="15"/>
  <c r="I207" i="15"/>
  <c r="I298" i="15"/>
  <c r="I262" i="15"/>
  <c r="I215" i="15"/>
  <c r="I50" i="15"/>
  <c r="I228" i="15"/>
  <c r="I160" i="15"/>
  <c r="I254" i="15"/>
  <c r="I61" i="15"/>
  <c r="I197" i="15"/>
  <c r="I43" i="15"/>
  <c r="I185" i="15"/>
  <c r="I155" i="15"/>
  <c r="I297" i="15"/>
  <c r="I27" i="15"/>
  <c r="I71" i="15"/>
  <c r="I281" i="15"/>
  <c r="I79" i="15"/>
  <c r="I238" i="15"/>
  <c r="I214" i="15"/>
  <c r="I11" i="15"/>
  <c r="I218" i="15"/>
  <c r="I42" i="15"/>
  <c r="I211" i="15"/>
  <c r="I171" i="15"/>
  <c r="I210" i="15"/>
  <c r="I80" i="15"/>
  <c r="I33" i="15"/>
  <c r="I168" i="15"/>
  <c r="I51" i="15"/>
  <c r="I14" i="15"/>
  <c r="I261" i="15"/>
  <c r="I17" i="15"/>
  <c r="I249" i="15"/>
  <c r="I107" i="15"/>
  <c r="I37" i="15"/>
  <c r="I246" i="15"/>
  <c r="I117" i="15"/>
  <c r="I293" i="15"/>
  <c r="I19" i="15"/>
  <c r="I5" i="15"/>
  <c r="I165" i="15"/>
  <c r="I83" i="15"/>
  <c r="I253" i="15"/>
  <c r="I288" i="15"/>
  <c r="I7" i="15"/>
  <c r="I91" i="15"/>
  <c r="I295" i="15"/>
  <c r="I250" i="15"/>
  <c r="I76" i="15"/>
  <c r="I56" i="15"/>
  <c r="I58" i="15"/>
  <c r="I115" i="15"/>
  <c r="I247" i="15"/>
  <c r="I124" i="15"/>
  <c r="I137" i="15"/>
  <c r="I25" i="15"/>
  <c r="I64" i="15"/>
  <c r="I233" i="15"/>
  <c r="I206" i="15"/>
  <c r="I242" i="15"/>
  <c r="I111" i="15"/>
  <c r="I59" i="15"/>
  <c r="I133" i="15"/>
  <c r="I22" i="15"/>
  <c r="I189" i="15"/>
  <c r="I157" i="15"/>
  <c r="I77" i="15"/>
  <c r="I278" i="15"/>
  <c r="I163" i="15"/>
  <c r="I226" i="15"/>
  <c r="I39" i="15"/>
  <c r="I245" i="15"/>
  <c r="I34" i="15"/>
  <c r="I182" i="15"/>
  <c r="I128" i="15"/>
  <c r="I88" i="15"/>
  <c r="I170" i="15"/>
  <c r="I140" i="15"/>
  <c r="I230" i="15"/>
  <c r="I122" i="15"/>
  <c r="I172" i="15"/>
  <c r="I103" i="15"/>
  <c r="I55" i="15"/>
  <c r="I229" i="15"/>
  <c r="I217" i="15"/>
  <c r="I224" i="15"/>
  <c r="I123" i="15"/>
  <c r="I49" i="15"/>
  <c r="I63" i="15"/>
  <c r="I15" i="15"/>
  <c r="I275" i="15"/>
  <c r="I161" i="15"/>
  <c r="I23" i="15"/>
  <c r="I266" i="15"/>
  <c r="I45" i="15"/>
  <c r="I149" i="15"/>
  <c r="I251" i="15"/>
  <c r="I16" i="15"/>
  <c r="I138" i="15"/>
  <c r="I192" i="15"/>
  <c r="I92" i="15"/>
  <c r="I125" i="15"/>
  <c r="I205" i="15"/>
  <c r="I60" i="15"/>
  <c r="I89" i="15"/>
  <c r="I280" i="15"/>
  <c r="I225" i="15"/>
  <c r="I202" i="15"/>
  <c r="I21" i="15"/>
  <c r="I96" i="15"/>
  <c r="I179" i="15"/>
  <c r="I257" i="15"/>
  <c r="I139" i="15"/>
  <c r="I284" i="15"/>
  <c r="I152" i="15"/>
  <c r="I70" i="15"/>
  <c r="I54" i="15"/>
  <c r="I274" i="15"/>
  <c r="I150" i="15"/>
  <c r="I144" i="15"/>
  <c r="I119" i="15"/>
  <c r="I290" i="15"/>
  <c r="I268" i="15"/>
  <c r="I196" i="15"/>
  <c r="I78" i="15"/>
  <c r="I183" i="15"/>
  <c r="I209" i="15"/>
  <c r="I28" i="15"/>
  <c r="I263" i="15"/>
  <c r="I145" i="15"/>
  <c r="I267" i="15"/>
  <c r="I30" i="15"/>
  <c r="I109" i="15"/>
  <c r="I193" i="15"/>
  <c r="I300" i="15"/>
  <c r="I3" i="15"/>
  <c r="I191" i="15"/>
  <c r="I101" i="15"/>
  <c r="I272" i="15"/>
  <c r="I9" i="15"/>
  <c r="I187" i="15"/>
  <c r="I174" i="15"/>
  <c r="I120" i="15"/>
  <c r="I167" i="15"/>
  <c r="I146" i="15"/>
  <c r="I235" i="15"/>
  <c r="I74" i="15"/>
  <c r="I52" i="15"/>
  <c r="I148" i="15"/>
  <c r="I237" i="15"/>
  <c r="I200" i="15"/>
  <c r="I216" i="15"/>
  <c r="I18" i="15"/>
  <c r="I94" i="15"/>
  <c r="I68" i="15"/>
  <c r="I240" i="15"/>
  <c r="I97" i="15"/>
  <c r="I219" i="15"/>
  <c r="I195" i="15"/>
  <c r="I75" i="15"/>
  <c r="I222" i="15"/>
  <c r="I147" i="15"/>
  <c r="I269" i="15"/>
  <c r="I6" i="15"/>
  <c r="I279" i="15"/>
  <c r="I13" i="15"/>
  <c r="I287" i="15"/>
  <c r="I159" i="15"/>
  <c r="I95" i="15"/>
  <c r="I301" i="15"/>
  <c r="I98" i="15"/>
  <c r="I26" i="15"/>
  <c r="I84" i="15"/>
  <c r="I231" i="15"/>
  <c r="I158" i="15"/>
  <c r="I164" i="15"/>
  <c r="I136" i="15"/>
  <c r="I243" i="15"/>
  <c r="I201" i="15"/>
  <c r="I299" i="15"/>
  <c r="I277" i="15"/>
  <c r="I121" i="15"/>
  <c r="I252" i="15"/>
  <c r="I203" i="15"/>
  <c r="I2" i="15"/>
  <c r="I177" i="15"/>
  <c r="I40" i="15"/>
  <c r="I141" i="15"/>
  <c r="I67" i="15"/>
  <c r="I241" i="15"/>
  <c r="I41" i="15"/>
  <c r="I81" i="15"/>
  <c r="I62" i="15"/>
  <c r="I132" i="15"/>
  <c r="I82" i="15"/>
  <c r="I8" i="15"/>
  <c r="I244" i="15"/>
  <c r="I260" i="15"/>
  <c r="I99" i="15"/>
  <c r="I69" i="15"/>
  <c r="I265" i="15"/>
  <c r="I255" i="15"/>
  <c r="I208" i="15"/>
  <c r="I129" i="15"/>
  <c r="I93" i="15"/>
  <c r="I286" i="15"/>
  <c r="I232" i="15"/>
  <c r="I20" i="15"/>
  <c r="I32" i="15"/>
  <c r="I173" i="15"/>
  <c r="I113" i="15"/>
  <c r="I151" i="15"/>
  <c r="I135" i="15"/>
  <c r="I87" i="15"/>
  <c r="I35" i="15"/>
  <c r="I143" i="15"/>
  <c r="I198" i="15"/>
  <c r="I154" i="15"/>
  <c r="I270" i="15"/>
  <c r="I4" i="15"/>
  <c r="I273" i="15"/>
  <c r="I221" i="15"/>
  <c r="I47" i="15"/>
  <c r="I181" i="15"/>
  <c r="I258" i="15"/>
  <c r="I29" i="15"/>
  <c r="I10" i="15"/>
  <c r="I271" i="15"/>
  <c r="I53" i="15"/>
  <c r="I24" i="15"/>
  <c r="I285" i="15"/>
  <c r="I73" i="15"/>
  <c r="I31" i="15"/>
  <c r="I289" i="15"/>
  <c r="I105" i="15"/>
  <c r="I66" i="15"/>
  <c r="I264" i="15"/>
  <c r="I110" i="15"/>
  <c r="I86" i="15"/>
  <c r="I239" i="15"/>
  <c r="I294" i="15"/>
  <c r="I153" i="15"/>
  <c r="I57" i="15"/>
  <c r="I162" i="15"/>
  <c r="I102" i="15"/>
  <c r="I48" i="15"/>
  <c r="I213" i="15"/>
  <c r="I38" i="15"/>
  <c r="I131" i="15"/>
  <c r="I156" i="15"/>
  <c r="I126" i="15"/>
  <c r="I72" i="15"/>
  <c r="I175" i="15"/>
  <c r="I100" i="15"/>
  <c r="I65" i="15"/>
  <c r="I169" i="15"/>
  <c r="I36" i="15"/>
  <c r="I85" i="15"/>
  <c r="I283" i="15"/>
  <c r="I282" i="15"/>
  <c r="I234" i="15"/>
  <c r="I291" i="15"/>
  <c r="I296" i="15"/>
  <c r="I127" i="15"/>
  <c r="I166" i="15"/>
  <c r="I227" i="15"/>
  <c r="I44" i="15"/>
  <c r="I256" i="15"/>
  <c r="I236" i="15"/>
  <c r="I212" i="15"/>
  <c r="I223" i="15"/>
  <c r="J13" i="4"/>
  <c r="G13" i="4"/>
  <c r="L13" i="4"/>
  <c r="B22" i="4"/>
  <c r="K13" i="4"/>
  <c r="I13" i="4"/>
  <c r="H13" i="4"/>
  <c r="C23" i="4"/>
  <c r="C5" i="5"/>
  <c r="J6" i="4"/>
  <c r="G6" i="4"/>
  <c r="L6" i="4"/>
  <c r="K6" i="4"/>
  <c r="I6" i="4"/>
  <c r="B24" i="4"/>
  <c r="H6" i="4"/>
  <c r="M17" i="11"/>
  <c r="M18" i="11"/>
  <c r="I215" i="11"/>
  <c r="I154" i="11"/>
  <c r="I119" i="11"/>
  <c r="I120" i="11"/>
  <c r="I207" i="11"/>
  <c r="I110" i="11"/>
  <c r="I73" i="11"/>
  <c r="I3" i="11"/>
  <c r="I78" i="11"/>
  <c r="I105" i="11"/>
  <c r="I58" i="11"/>
  <c r="I155" i="11"/>
  <c r="I111" i="11"/>
  <c r="I100" i="11"/>
  <c r="I39" i="11"/>
  <c r="I228" i="11"/>
  <c r="I163" i="11"/>
  <c r="I46" i="11"/>
  <c r="I41" i="11"/>
  <c r="I107" i="11"/>
  <c r="I147" i="11"/>
  <c r="I251" i="11"/>
  <c r="I27" i="11"/>
  <c r="I183" i="11"/>
  <c r="I152" i="11"/>
  <c r="I9" i="11"/>
  <c r="I185" i="11"/>
  <c r="I281" i="11"/>
  <c r="I93" i="11"/>
  <c r="I159" i="11"/>
  <c r="I161" i="11"/>
  <c r="I156" i="11"/>
  <c r="I116" i="11"/>
  <c r="I198" i="11"/>
  <c r="I32" i="11"/>
  <c r="I186" i="11"/>
  <c r="I286" i="11"/>
  <c r="I268" i="11"/>
  <c r="I256" i="11"/>
  <c r="I14" i="11"/>
  <c r="I121" i="11"/>
  <c r="I74" i="11"/>
  <c r="I35" i="11"/>
  <c r="I210" i="11"/>
  <c r="I72" i="11"/>
  <c r="I47" i="11"/>
  <c r="I171" i="11"/>
  <c r="I259" i="11"/>
  <c r="I141" i="11"/>
  <c r="I102" i="11"/>
  <c r="I145" i="11"/>
  <c r="I98" i="11"/>
  <c r="I38" i="11"/>
  <c r="I57" i="11"/>
  <c r="I7" i="11"/>
  <c r="I254" i="11"/>
  <c r="I201" i="11"/>
  <c r="I44" i="11"/>
  <c r="I203" i="11"/>
  <c r="I22" i="11"/>
  <c r="I153" i="11"/>
  <c r="I294" i="11"/>
  <c r="I195" i="11"/>
  <c r="I280" i="11"/>
  <c r="I224" i="11"/>
  <c r="I261" i="11"/>
  <c r="I233" i="11"/>
  <c r="I33" i="11"/>
  <c r="I273" i="11"/>
  <c r="I69" i="11"/>
  <c r="I235" i="11"/>
  <c r="I173" i="11"/>
  <c r="I76" i="11"/>
  <c r="I179" i="11"/>
  <c r="I51" i="11"/>
  <c r="I15" i="11"/>
  <c r="I187" i="11"/>
  <c r="I13" i="11"/>
  <c r="I158" i="11"/>
  <c r="I271" i="11"/>
  <c r="I214" i="11"/>
  <c r="I136" i="11"/>
  <c r="I236" i="11"/>
  <c r="I252" i="11"/>
  <c r="I20" i="11"/>
  <c r="I146" i="11"/>
  <c r="I103" i="11"/>
  <c r="I128" i="11"/>
  <c r="I283" i="11"/>
  <c r="I162" i="11"/>
  <c r="I240" i="11"/>
  <c r="I133" i="11"/>
  <c r="I226" i="11"/>
  <c r="I16" i="11"/>
  <c r="I260" i="11"/>
  <c r="I297" i="11"/>
  <c r="I167" i="11"/>
  <c r="I277" i="11"/>
  <c r="I149" i="11"/>
  <c r="I275" i="11"/>
  <c r="I190" i="11"/>
  <c r="I192" i="11"/>
  <c r="I122" i="11"/>
  <c r="I85" i="11"/>
  <c r="I89" i="11"/>
  <c r="I42" i="11"/>
  <c r="I285" i="11"/>
  <c r="I247" i="11"/>
  <c r="I79" i="11"/>
  <c r="I55" i="11"/>
  <c r="I127" i="11"/>
  <c r="I216" i="11"/>
  <c r="I204" i="11"/>
  <c r="I258" i="11"/>
  <c r="I197" i="11"/>
  <c r="I148" i="11"/>
  <c r="I70" i="11"/>
  <c r="I137" i="11"/>
  <c r="I90" i="11"/>
  <c r="I230" i="11"/>
  <c r="I43" i="11"/>
  <c r="I140" i="11"/>
  <c r="I282" i="11"/>
  <c r="I264" i="11"/>
  <c r="I288" i="11"/>
  <c r="I84" i="11"/>
  <c r="I123" i="11"/>
  <c r="I292" i="11"/>
  <c r="I243" i="11"/>
  <c r="I191" i="11"/>
  <c r="I115" i="11"/>
  <c r="I165" i="11"/>
  <c r="I56" i="11"/>
  <c r="I112" i="11"/>
  <c r="I4" i="11"/>
  <c r="I25" i="11"/>
  <c r="I5" i="11"/>
  <c r="I189" i="11"/>
  <c r="I160" i="11"/>
  <c r="I217" i="11"/>
  <c r="I221" i="11"/>
  <c r="I64" i="11"/>
  <c r="I132" i="11"/>
  <c r="I245" i="11"/>
  <c r="I178" i="11"/>
  <c r="I166" i="11"/>
  <c r="I95" i="11"/>
  <c r="I199" i="11"/>
  <c r="I299" i="11"/>
  <c r="I26" i="11"/>
  <c r="I124" i="11"/>
  <c r="I223" i="11"/>
  <c r="I194" i="11"/>
  <c r="I244" i="11"/>
  <c r="I10" i="11"/>
  <c r="I126" i="11"/>
  <c r="I106" i="11"/>
  <c r="I86" i="11"/>
  <c r="I65" i="11"/>
  <c r="I253" i="11"/>
  <c r="I113" i="11"/>
  <c r="I255" i="11"/>
  <c r="I88" i="11"/>
  <c r="I290" i="11"/>
  <c r="I298" i="11"/>
  <c r="I225" i="11"/>
  <c r="I205" i="11"/>
  <c r="I278" i="11"/>
  <c r="I28" i="11"/>
  <c r="I144" i="11"/>
  <c r="I266" i="11"/>
  <c r="I284" i="11"/>
  <c r="I157" i="11"/>
  <c r="I118" i="11"/>
  <c r="I29" i="11"/>
  <c r="I11" i="11"/>
  <c r="I129" i="11"/>
  <c r="I82" i="11"/>
  <c r="I181" i="11"/>
  <c r="I170" i="11"/>
  <c r="I53" i="11"/>
  <c r="I177" i="11"/>
  <c r="I2" i="11"/>
  <c r="I239" i="11"/>
  <c r="I99" i="11"/>
  <c r="I59" i="11"/>
  <c r="I200" i="11"/>
  <c r="I134" i="11"/>
  <c r="I81" i="11"/>
  <c r="I34" i="11"/>
  <c r="I291" i="11"/>
  <c r="I80" i="11"/>
  <c r="I6" i="11"/>
  <c r="I250" i="11"/>
  <c r="I208" i="11"/>
  <c r="I293" i="11"/>
  <c r="I54" i="11"/>
  <c r="I287" i="11"/>
  <c r="I48" i="11"/>
  <c r="I296" i="11"/>
  <c r="I12" i="11"/>
  <c r="I117" i="11"/>
  <c r="I242" i="11"/>
  <c r="I92" i="11"/>
  <c r="I150" i="11"/>
  <c r="I222" i="11"/>
  <c r="I234" i="11"/>
  <c r="I274" i="11"/>
  <c r="I229" i="11"/>
  <c r="I213" i="11"/>
  <c r="I265" i="11"/>
  <c r="I63" i="11"/>
  <c r="I237" i="11"/>
  <c r="I40" i="11"/>
  <c r="I180" i="11"/>
  <c r="I164" i="11"/>
  <c r="I19" i="11"/>
  <c r="I138" i="11"/>
  <c r="I101" i="11"/>
  <c r="I94" i="11"/>
  <c r="I24" i="11"/>
  <c r="I108" i="11"/>
  <c r="I262" i="11"/>
  <c r="I143" i="11"/>
  <c r="I23" i="11"/>
  <c r="I289" i="11"/>
  <c r="I257" i="11"/>
  <c r="I182" i="11"/>
  <c r="I131" i="11"/>
  <c r="I248" i="11"/>
  <c r="I202" i="11"/>
  <c r="I36" i="11"/>
  <c r="I60" i="11"/>
  <c r="I83" i="11"/>
  <c r="I18" i="11"/>
  <c r="I267" i="11"/>
  <c r="I21" i="11"/>
  <c r="I75" i="11"/>
  <c r="I246" i="11"/>
  <c r="I139" i="11"/>
  <c r="I184" i="11"/>
  <c r="I172" i="11"/>
  <c r="I114" i="11"/>
  <c r="I77" i="11"/>
  <c r="I249" i="11"/>
  <c r="I301" i="11"/>
  <c r="I151" i="11"/>
  <c r="I109" i="11"/>
  <c r="I87" i="11"/>
  <c r="I67" i="11"/>
  <c r="I135" i="11"/>
  <c r="I220" i="11"/>
  <c r="I212" i="11"/>
  <c r="I142" i="11"/>
  <c r="I168" i="11"/>
  <c r="I227" i="11"/>
  <c r="I31" i="11"/>
  <c r="I219" i="11"/>
  <c r="I300" i="11"/>
  <c r="I272" i="11"/>
  <c r="I45" i="11"/>
  <c r="I269" i="11"/>
  <c r="I49" i="11"/>
  <c r="I104" i="11"/>
  <c r="I125" i="11"/>
  <c r="I68" i="11"/>
  <c r="I61" i="11"/>
  <c r="I174" i="11"/>
  <c r="I71" i="11"/>
  <c r="I238" i="11"/>
  <c r="I62" i="11"/>
  <c r="I130" i="11"/>
  <c r="I96" i="11"/>
  <c r="I52" i="11"/>
  <c r="I206" i="11"/>
  <c r="I188" i="11"/>
  <c r="I30" i="11"/>
  <c r="I97" i="11"/>
  <c r="I50" i="11"/>
  <c r="I211" i="11"/>
  <c r="I175" i="11"/>
  <c r="I196" i="11"/>
  <c r="I8" i="11"/>
  <c r="I37" i="11"/>
  <c r="I263" i="11"/>
  <c r="I295" i="11"/>
  <c r="I231" i="11"/>
  <c r="I218" i="11"/>
  <c r="I209" i="11"/>
  <c r="I169" i="11"/>
  <c r="I241" i="11"/>
  <c r="I17" i="11"/>
  <c r="I279" i="11"/>
  <c r="I276" i="11"/>
  <c r="I232" i="11"/>
  <c r="I91" i="11"/>
  <c r="I176" i="11"/>
  <c r="I270" i="11"/>
  <c r="I193" i="11"/>
  <c r="I66" i="11"/>
  <c r="M17" i="22"/>
  <c r="M20" i="22" s="1"/>
  <c r="M18" i="22"/>
  <c r="I156" i="22"/>
  <c r="I148" i="22"/>
  <c r="I268" i="22"/>
  <c r="I181" i="22"/>
  <c r="I112" i="22"/>
  <c r="I198" i="22"/>
  <c r="I147" i="22"/>
  <c r="I75" i="22"/>
  <c r="I70" i="22"/>
  <c r="I154" i="22"/>
  <c r="I224" i="22"/>
  <c r="I81" i="22"/>
  <c r="I22" i="22"/>
  <c r="I260" i="22"/>
  <c r="I189" i="22"/>
  <c r="I144" i="22"/>
  <c r="I32" i="22"/>
  <c r="I237" i="22"/>
  <c r="I116" i="22"/>
  <c r="I275" i="22"/>
  <c r="I249" i="22"/>
  <c r="I244" i="22"/>
  <c r="I30" i="22"/>
  <c r="I266" i="22"/>
  <c r="I88" i="22"/>
  <c r="I185" i="22"/>
  <c r="I176" i="22"/>
  <c r="I270" i="22"/>
  <c r="I289" i="22"/>
  <c r="I293" i="22"/>
  <c r="I279" i="22"/>
  <c r="I263" i="22"/>
  <c r="I209" i="22"/>
  <c r="I241" i="22"/>
  <c r="I23" i="22"/>
  <c r="I152" i="22"/>
  <c r="I36" i="22"/>
  <c r="I216" i="22"/>
  <c r="I151" i="22"/>
  <c r="I140" i="22"/>
  <c r="I220" i="22"/>
  <c r="I166" i="22"/>
  <c r="I98" i="22"/>
  <c r="I163" i="22"/>
  <c r="I177" i="22"/>
  <c r="I173" i="22"/>
  <c r="I79" i="22"/>
  <c r="I109" i="22"/>
  <c r="I119" i="22"/>
  <c r="I61" i="22"/>
  <c r="I123" i="22"/>
  <c r="I107" i="22"/>
  <c r="I25" i="22"/>
  <c r="I41" i="22"/>
  <c r="I149" i="22"/>
  <c r="I223" i="22"/>
  <c r="I213" i="22"/>
  <c r="I162" i="22"/>
  <c r="I167" i="22"/>
  <c r="I24" i="22"/>
  <c r="I171" i="22"/>
  <c r="I34" i="22"/>
  <c r="I186" i="22"/>
  <c r="I258" i="22"/>
  <c r="I93" i="22"/>
  <c r="I264" i="22"/>
  <c r="I31" i="22"/>
  <c r="I46" i="22"/>
  <c r="I242" i="22"/>
  <c r="I108" i="22"/>
  <c r="I60" i="22"/>
  <c r="I238" i="22"/>
  <c r="I245" i="22"/>
  <c r="I40" i="22"/>
  <c r="I296" i="22"/>
  <c r="I272" i="22"/>
  <c r="I99" i="22"/>
  <c r="I129" i="22"/>
  <c r="I39" i="22"/>
  <c r="I59" i="22"/>
  <c r="I117" i="22"/>
  <c r="I204" i="22"/>
  <c r="I227" i="22"/>
  <c r="I207" i="22"/>
  <c r="I137" i="22"/>
  <c r="I165" i="22"/>
  <c r="I121" i="22"/>
  <c r="I247" i="22"/>
  <c r="I139" i="22"/>
  <c r="I51" i="22"/>
  <c r="I194" i="22"/>
  <c r="I65" i="22"/>
  <c r="I115" i="22"/>
  <c r="I188" i="22"/>
  <c r="I243" i="22"/>
  <c r="I157" i="22"/>
  <c r="I217" i="22"/>
  <c r="I225" i="22"/>
  <c r="I265" i="22"/>
  <c r="I82" i="22"/>
  <c r="I301" i="22"/>
  <c r="I192" i="22"/>
  <c r="I200" i="22"/>
  <c r="I240" i="22"/>
  <c r="I291" i="22"/>
  <c r="I285" i="22"/>
  <c r="I44" i="22"/>
  <c r="I295" i="22"/>
  <c r="I56" i="22"/>
  <c r="I271" i="22"/>
  <c r="I95" i="22"/>
  <c r="I196" i="22"/>
  <c r="I91" i="22"/>
  <c r="I48" i="22"/>
  <c r="I276" i="22"/>
  <c r="I208" i="22"/>
  <c r="I143" i="22"/>
  <c r="I67" i="22"/>
  <c r="I294" i="22"/>
  <c r="I278" i="22"/>
  <c r="I187" i="22"/>
  <c r="I235" i="22"/>
  <c r="I83" i="22"/>
  <c r="I74" i="22"/>
  <c r="I230" i="22"/>
  <c r="I45" i="22"/>
  <c r="I130" i="22"/>
  <c r="I124" i="22"/>
  <c r="I97" i="22"/>
  <c r="I284" i="22"/>
  <c r="I286" i="22"/>
  <c r="I288" i="22"/>
  <c r="I193" i="22"/>
  <c r="I120" i="22"/>
  <c r="I261" i="22"/>
  <c r="I122" i="22"/>
  <c r="I125" i="22"/>
  <c r="I126" i="22"/>
  <c r="I153" i="22"/>
  <c r="I145" i="22"/>
  <c r="I282" i="22"/>
  <c r="I164" i="22"/>
  <c r="I231" i="22"/>
  <c r="I114" i="22"/>
  <c r="I142" i="22"/>
  <c r="I102" i="22"/>
  <c r="I90" i="22"/>
  <c r="I106" i="22"/>
  <c r="I239" i="22"/>
  <c r="I191" i="22"/>
  <c r="I35" i="22"/>
  <c r="I42" i="22"/>
  <c r="I54" i="22"/>
  <c r="I283" i="22"/>
  <c r="I52" i="22"/>
  <c r="I267" i="22"/>
  <c r="I110" i="22"/>
  <c r="I96" i="22"/>
  <c r="I26" i="22"/>
  <c r="I63" i="22"/>
  <c r="I28" i="22"/>
  <c r="I170" i="22"/>
  <c r="I255" i="22"/>
  <c r="I182" i="22"/>
  <c r="I262" i="22"/>
  <c r="I236" i="22"/>
  <c r="I127" i="22"/>
  <c r="I38" i="22"/>
  <c r="I150" i="22"/>
  <c r="I234" i="22"/>
  <c r="I86" i="22"/>
  <c r="I77" i="22"/>
  <c r="I72" i="22"/>
  <c r="I253" i="22"/>
  <c r="I273" i="22"/>
  <c r="I251" i="22"/>
  <c r="I280" i="22"/>
  <c r="I136" i="22"/>
  <c r="I146" i="22"/>
  <c r="I219" i="22"/>
  <c r="I113" i="22"/>
  <c r="I105" i="22"/>
  <c r="I141" i="22"/>
  <c r="I274" i="22"/>
  <c r="I80" i="22"/>
  <c r="I300" i="22"/>
  <c r="I281" i="22"/>
  <c r="I287" i="22"/>
  <c r="I76" i="22"/>
  <c r="I229" i="22"/>
  <c r="I132" i="22"/>
  <c r="I64" i="22"/>
  <c r="I87" i="22"/>
  <c r="I128" i="22"/>
  <c r="I215" i="22"/>
  <c r="I211" i="22"/>
  <c r="I180" i="22"/>
  <c r="I55" i="22"/>
  <c r="I184" i="22"/>
  <c r="I57" i="22"/>
  <c r="I103" i="22"/>
  <c r="I232" i="22"/>
  <c r="I228" i="22"/>
  <c r="I183" i="22"/>
  <c r="I297" i="22"/>
  <c r="I203" i="22"/>
  <c r="I169" i="22"/>
  <c r="I68" i="22"/>
  <c r="I212" i="22"/>
  <c r="I233" i="22"/>
  <c r="I199" i="22"/>
  <c r="I94" i="22"/>
  <c r="I168" i="22"/>
  <c r="I195" i="22"/>
  <c r="I226" i="22"/>
  <c r="I138" i="22"/>
  <c r="I111" i="22"/>
  <c r="I118" i="22"/>
  <c r="I175" i="22"/>
  <c r="I78" i="22"/>
  <c r="I250" i="22"/>
  <c r="I205" i="22"/>
  <c r="I84" i="22"/>
  <c r="I201" i="22"/>
  <c r="I89" i="22"/>
  <c r="I277" i="22"/>
  <c r="I33" i="22"/>
  <c r="I134" i="22"/>
  <c r="I214" i="22"/>
  <c r="I222" i="22"/>
  <c r="I158" i="22"/>
  <c r="I202" i="22"/>
  <c r="I206" i="22"/>
  <c r="I92" i="22"/>
  <c r="I133" i="22"/>
  <c r="I290" i="22"/>
  <c r="I47" i="22"/>
  <c r="I58" i="22"/>
  <c r="I190" i="22"/>
  <c r="I62" i="22"/>
  <c r="I53" i="22"/>
  <c r="I69" i="22"/>
  <c r="I246" i="22"/>
  <c r="I155" i="22"/>
  <c r="I131" i="22"/>
  <c r="I43" i="22"/>
  <c r="I256" i="22"/>
  <c r="I100" i="22"/>
  <c r="I161" i="22"/>
  <c r="I210" i="22"/>
  <c r="I29" i="22"/>
  <c r="I37" i="22"/>
  <c r="I101" i="22"/>
  <c r="I292" i="22"/>
  <c r="I172" i="22"/>
  <c r="I254" i="22"/>
  <c r="I218" i="22"/>
  <c r="I49" i="22"/>
  <c r="I178" i="22"/>
  <c r="I299" i="22"/>
  <c r="I71" i="22"/>
  <c r="I27" i="22"/>
  <c r="I73" i="22"/>
  <c r="I252" i="22"/>
  <c r="I197" i="22"/>
  <c r="I104" i="22"/>
  <c r="I248" i="22"/>
  <c r="I257" i="22"/>
  <c r="I159" i="22"/>
  <c r="I179" i="22"/>
  <c r="I298" i="22"/>
  <c r="I50" i="22"/>
  <c r="I85" i="22"/>
  <c r="I135" i="22"/>
  <c r="I66" i="22"/>
  <c r="I174" i="22"/>
  <c r="I259" i="22"/>
  <c r="I269" i="22"/>
  <c r="I160" i="22"/>
  <c r="I221" i="22"/>
  <c r="I11" i="22"/>
  <c r="I3" i="22"/>
  <c r="I17" i="22"/>
  <c r="I5" i="22"/>
  <c r="I2" i="22"/>
  <c r="I14" i="22"/>
  <c r="I7" i="22"/>
  <c r="I18" i="22"/>
  <c r="I13" i="22"/>
  <c r="I6" i="22"/>
  <c r="I16" i="22"/>
  <c r="I20" i="22"/>
  <c r="I19" i="22"/>
  <c r="I9" i="22"/>
  <c r="I8" i="22"/>
  <c r="I12" i="22"/>
  <c r="I10" i="22"/>
  <c r="I15" i="22"/>
  <c r="I21" i="22"/>
  <c r="I4" i="22"/>
  <c r="D10" i="4" l="1"/>
  <c r="D19" i="4"/>
  <c r="I23" i="4"/>
  <c r="D8" i="4"/>
  <c r="D5" i="4"/>
  <c r="C24" i="4"/>
  <c r="D5" i="5"/>
  <c r="C22" i="4"/>
  <c r="B5" i="5"/>
  <c r="D16" i="4" l="1"/>
  <c r="D18" i="4"/>
  <c r="D12" i="4"/>
  <c r="D17" i="4"/>
  <c r="D14" i="4"/>
  <c r="D15" i="4"/>
  <c r="I22" i="4"/>
  <c r="D13" i="4"/>
  <c r="D23" i="4"/>
  <c r="E23" i="4" s="1"/>
  <c r="D7" i="4"/>
  <c r="D9" i="4"/>
  <c r="I24" i="4"/>
  <c r="D6" i="4"/>
  <c r="D22" i="4" l="1"/>
  <c r="E22" i="4" s="1"/>
  <c r="D24" i="4"/>
  <c r="D6" i="5" s="1"/>
  <c r="C6" i="5"/>
  <c r="B6" i="5" l="1"/>
  <c r="E6" i="5" s="1"/>
  <c r="E8" i="5" s="1"/>
  <c r="E9" i="5" s="1"/>
  <c r="E10" i="5" s="1"/>
  <c r="E19" i="5" s="1"/>
  <c r="E24" i="4"/>
  <c r="E7" i="5" l="1"/>
  <c r="L100" i="5"/>
  <c r="L94" i="5"/>
  <c r="L88" i="5"/>
  <c r="L82" i="5"/>
  <c r="L76" i="5"/>
  <c r="L70" i="5"/>
  <c r="L64" i="5"/>
  <c r="L58" i="5"/>
  <c r="L52" i="5"/>
  <c r="L46" i="5"/>
  <c r="L40" i="5"/>
  <c r="M22" i="5"/>
  <c r="N22" i="5" s="1"/>
  <c r="M8" i="5"/>
  <c r="N8" i="5" s="1"/>
  <c r="L7" i="5"/>
  <c r="M5" i="5"/>
  <c r="N5" i="5" s="1"/>
  <c r="L22" i="5"/>
  <c r="M101" i="5"/>
  <c r="N101" i="5" s="1"/>
  <c r="M95" i="5"/>
  <c r="N95" i="5" s="1"/>
  <c r="M89" i="5"/>
  <c r="N89" i="5" s="1"/>
  <c r="M83" i="5"/>
  <c r="N83" i="5" s="1"/>
  <c r="M77" i="5"/>
  <c r="N77" i="5" s="1"/>
  <c r="M71" i="5"/>
  <c r="N71" i="5" s="1"/>
  <c r="M65" i="5"/>
  <c r="N65" i="5" s="1"/>
  <c r="M59" i="5"/>
  <c r="N59" i="5" s="1"/>
  <c r="M53" i="5"/>
  <c r="N53" i="5" s="1"/>
  <c r="M47" i="5"/>
  <c r="N47" i="5" s="1"/>
  <c r="M41" i="5"/>
  <c r="N41" i="5" s="1"/>
  <c r="L101" i="5"/>
  <c r="L95" i="5"/>
  <c r="L89" i="5"/>
  <c r="L83" i="5"/>
  <c r="L77" i="5"/>
  <c r="L71" i="5"/>
  <c r="L65" i="5"/>
  <c r="L59" i="5"/>
  <c r="L53" i="5"/>
  <c r="L47" i="5"/>
  <c r="L41" i="5"/>
  <c r="M23" i="5"/>
  <c r="N23" i="5" s="1"/>
  <c r="M15" i="5"/>
  <c r="N15" i="5" s="1"/>
  <c r="M10" i="5"/>
  <c r="N10" i="5" s="1"/>
  <c r="L9" i="5"/>
  <c r="L102" i="5"/>
  <c r="L96" i="5"/>
  <c r="L90" i="5"/>
  <c r="L84" i="5"/>
  <c r="L78" i="5"/>
  <c r="L72" i="5"/>
  <c r="L66" i="5"/>
  <c r="L60" i="5"/>
  <c r="L54" i="5"/>
  <c r="M103" i="5"/>
  <c r="N103" i="5" s="1"/>
  <c r="M98" i="5"/>
  <c r="N98" i="5" s="1"/>
  <c r="M92" i="5"/>
  <c r="N92" i="5" s="1"/>
  <c r="M86" i="5"/>
  <c r="N86" i="5" s="1"/>
  <c r="M80" i="5"/>
  <c r="N80" i="5" s="1"/>
  <c r="M74" i="5"/>
  <c r="N74" i="5" s="1"/>
  <c r="M68" i="5"/>
  <c r="N68" i="5" s="1"/>
  <c r="M62" i="5"/>
  <c r="N62" i="5" s="1"/>
  <c r="M56" i="5"/>
  <c r="N56" i="5" s="1"/>
  <c r="M50" i="5"/>
  <c r="N50" i="5" s="1"/>
  <c r="M44" i="5"/>
  <c r="N44" i="5" s="1"/>
  <c r="M37" i="5"/>
  <c r="N37" i="5" s="1"/>
  <c r="M18" i="5"/>
  <c r="N18" i="5" s="1"/>
  <c r="L17" i="5"/>
  <c r="L12" i="5"/>
  <c r="M99" i="5"/>
  <c r="N99" i="5" s="1"/>
  <c r="M93" i="5"/>
  <c r="N93" i="5" s="1"/>
  <c r="M87" i="5"/>
  <c r="N87" i="5" s="1"/>
  <c r="M81" i="5"/>
  <c r="N81" i="5" s="1"/>
  <c r="M75" i="5"/>
  <c r="N75" i="5" s="1"/>
  <c r="M69" i="5"/>
  <c r="N69" i="5" s="1"/>
  <c r="M63" i="5"/>
  <c r="N63" i="5" s="1"/>
  <c r="M57" i="5"/>
  <c r="N57" i="5" s="1"/>
  <c r="M97" i="5"/>
  <c r="N97" i="5" s="1"/>
  <c r="M73" i="5"/>
  <c r="N73" i="5" s="1"/>
  <c r="L50" i="5"/>
  <c r="L48" i="5"/>
  <c r="M43" i="5"/>
  <c r="N43" i="5" s="1"/>
  <c r="L21" i="5"/>
  <c r="M16" i="5"/>
  <c r="N16" i="5" s="1"/>
  <c r="M33" i="5"/>
  <c r="N33" i="5" s="1"/>
  <c r="M30" i="5"/>
  <c r="N30" i="5" s="1"/>
  <c r="M27" i="5"/>
  <c r="N27" i="5" s="1"/>
  <c r="M24" i="5"/>
  <c r="N24" i="5" s="1"/>
  <c r="M12" i="5"/>
  <c r="N12" i="5" s="1"/>
  <c r="M9" i="5"/>
  <c r="N9" i="5" s="1"/>
  <c r="M19" i="5"/>
  <c r="N19" i="5" s="1"/>
  <c r="M54" i="5"/>
  <c r="N54" i="5" s="1"/>
  <c r="L97" i="5"/>
  <c r="L73" i="5"/>
  <c r="L43" i="5"/>
  <c r="M38" i="5"/>
  <c r="N38" i="5" s="1"/>
  <c r="L16" i="5"/>
  <c r="L99" i="5"/>
  <c r="M90" i="5"/>
  <c r="N90" i="5" s="1"/>
  <c r="M88" i="5"/>
  <c r="N88" i="5" s="1"/>
  <c r="L86" i="5"/>
  <c r="L75" i="5"/>
  <c r="M66" i="5"/>
  <c r="N66" i="5" s="1"/>
  <c r="M64" i="5"/>
  <c r="N64" i="5" s="1"/>
  <c r="L62" i="5"/>
  <c r="M46" i="5"/>
  <c r="N46" i="5" s="1"/>
  <c r="L38" i="5"/>
  <c r="L33" i="5"/>
  <c r="L30" i="5"/>
  <c r="L27" i="5"/>
  <c r="L24" i="5"/>
  <c r="L5" i="5"/>
  <c r="M79" i="5"/>
  <c r="N79" i="5" s="1"/>
  <c r="M36" i="5"/>
  <c r="N36" i="5" s="1"/>
  <c r="M13" i="5"/>
  <c r="N13" i="5" s="1"/>
  <c r="M6" i="5"/>
  <c r="N6" i="5" s="1"/>
  <c r="M7" i="5"/>
  <c r="N7" i="5" s="1"/>
  <c r="M11" i="5"/>
  <c r="N11" i="5" s="1"/>
  <c r="M91" i="5"/>
  <c r="N91" i="5" s="1"/>
  <c r="M40" i="5"/>
  <c r="N40" i="5" s="1"/>
  <c r="L37" i="5"/>
  <c r="M55" i="5"/>
  <c r="N55" i="5" s="1"/>
  <c r="L87" i="5"/>
  <c r="M78" i="5"/>
  <c r="N78" i="5" s="1"/>
  <c r="L74" i="5"/>
  <c r="M102" i="5"/>
  <c r="N102" i="5" s="1"/>
  <c r="L11" i="5"/>
  <c r="L79" i="5"/>
  <c r="L55" i="5"/>
  <c r="L36" i="5"/>
  <c r="L19" i="5"/>
  <c r="L13" i="5"/>
  <c r="L6" i="5"/>
  <c r="L103" i="5"/>
  <c r="M96" i="5"/>
  <c r="N96" i="5" s="1"/>
  <c r="M94" i="5"/>
  <c r="N94" i="5" s="1"/>
  <c r="L92" i="5"/>
  <c r="L81" i="5"/>
  <c r="M72" i="5"/>
  <c r="N72" i="5" s="1"/>
  <c r="M70" i="5"/>
  <c r="N70" i="5" s="1"/>
  <c r="L68" i="5"/>
  <c r="M51" i="5"/>
  <c r="N51" i="5" s="1"/>
  <c r="M49" i="5"/>
  <c r="N49" i="5" s="1"/>
  <c r="M39" i="5"/>
  <c r="N39" i="5" s="1"/>
  <c r="L10" i="5"/>
  <c r="L51" i="5"/>
  <c r="L49" i="5"/>
  <c r="L44" i="5"/>
  <c r="M42" i="5"/>
  <c r="N42" i="5" s="1"/>
  <c r="L15" i="5"/>
  <c r="M67" i="5"/>
  <c r="N67" i="5" s="1"/>
  <c r="L29" i="5"/>
  <c r="L57" i="5"/>
  <c r="M34" i="5"/>
  <c r="N34" i="5" s="1"/>
  <c r="M31" i="5"/>
  <c r="N31" i="5" s="1"/>
  <c r="M28" i="5"/>
  <c r="N28" i="5" s="1"/>
  <c r="M25" i="5"/>
  <c r="N25" i="5" s="1"/>
  <c r="M14" i="5"/>
  <c r="N14" i="5" s="1"/>
  <c r="M85" i="5"/>
  <c r="N85" i="5" s="1"/>
  <c r="L39" i="5"/>
  <c r="L34" i="5"/>
  <c r="L31" i="5"/>
  <c r="L28" i="5"/>
  <c r="L25" i="5"/>
  <c r="M17" i="5"/>
  <c r="N17" i="5" s="1"/>
  <c r="L14" i="5"/>
  <c r="M61" i="5"/>
  <c r="N61" i="5" s="1"/>
  <c r="M76" i="5"/>
  <c r="N76" i="5" s="1"/>
  <c r="L63" i="5"/>
  <c r="L20" i="5"/>
  <c r="L8" i="5"/>
  <c r="L85" i="5"/>
  <c r="L61" i="5"/>
  <c r="L42" i="5"/>
  <c r="M20" i="5"/>
  <c r="N20" i="5" s="1"/>
  <c r="M100" i="5"/>
  <c r="N100" i="5" s="1"/>
  <c r="L98" i="5"/>
  <c r="M35" i="5"/>
  <c r="N35" i="5" s="1"/>
  <c r="M32" i="5"/>
  <c r="N32" i="5" s="1"/>
  <c r="M29" i="5"/>
  <c r="N29" i="5" s="1"/>
  <c r="M26" i="5"/>
  <c r="N26" i="5" s="1"/>
  <c r="L23" i="5"/>
  <c r="L91" i="5"/>
  <c r="L67" i="5"/>
  <c r="M45" i="5"/>
  <c r="N45" i="5" s="1"/>
  <c r="L93" i="5"/>
  <c r="M84" i="5"/>
  <c r="N84" i="5" s="1"/>
  <c r="M82" i="5"/>
  <c r="N82" i="5" s="1"/>
  <c r="L80" i="5"/>
  <c r="L69" i="5"/>
  <c r="M60" i="5"/>
  <c r="N60" i="5" s="1"/>
  <c r="M58" i="5"/>
  <c r="N58" i="5" s="1"/>
  <c r="L56" i="5"/>
  <c r="M52" i="5"/>
  <c r="N52" i="5" s="1"/>
  <c r="M48" i="5"/>
  <c r="N48" i="5" s="1"/>
  <c r="L45" i="5"/>
  <c r="M21" i="5"/>
  <c r="N21" i="5" s="1"/>
  <c r="L18" i="5"/>
  <c r="L35" i="5"/>
  <c r="L32" i="5"/>
  <c r="L26" i="5"/>
  <c r="E20" i="5" l="1"/>
  <c r="E21" i="5" s="1"/>
  <c r="B26" i="5" l="1"/>
  <c r="B29" i="5" s="1"/>
  <c r="C26" i="5"/>
  <c r="C29" i="5" s="1"/>
  <c r="C27" i="5" l="1"/>
  <c r="C28" i="5" s="1"/>
  <c r="C30" i="5" s="1"/>
  <c r="C31" i="5" s="1"/>
  <c r="C32" i="5" s="1"/>
  <c r="C35" i="5" s="1"/>
  <c r="B27" i="5"/>
  <c r="B28" i="5" s="1"/>
  <c r="B30" i="5" s="1"/>
  <c r="B31" i="5" s="1"/>
  <c r="B32" i="5" s="1"/>
  <c r="B38" i="5" s="1"/>
  <c r="C33" i="5" l="1"/>
  <c r="C34" i="5" s="1"/>
  <c r="B33" i="5"/>
  <c r="B34" i="5" s="1"/>
  <c r="B35" i="5"/>
  <c r="A63" i="6"/>
  <c r="A59" i="6"/>
  <c r="A55" i="6"/>
  <c r="A51" i="6"/>
  <c r="A47" i="6"/>
  <c r="A43" i="6"/>
  <c r="A39" i="6"/>
  <c r="A35" i="6"/>
  <c r="A31" i="6"/>
  <c r="A27" i="6"/>
  <c r="A23" i="6"/>
  <c r="A19" i="6"/>
  <c r="A15" i="6"/>
  <c r="A11" i="6"/>
  <c r="A7" i="6"/>
  <c r="B39" i="5"/>
  <c r="A62" i="6"/>
  <c r="A58" i="6"/>
  <c r="A54" i="6"/>
  <c r="A50" i="6"/>
  <c r="A46" i="6"/>
  <c r="A42" i="6"/>
  <c r="A38" i="6"/>
  <c r="A34" i="6"/>
  <c r="A30" i="6"/>
  <c r="A26" i="6"/>
  <c r="A22" i="6"/>
  <c r="A18" i="6"/>
  <c r="A14" i="6"/>
  <c r="A10" i="6"/>
  <c r="A6" i="6"/>
  <c r="A8" i="6"/>
  <c r="A2" i="6"/>
  <c r="A12" i="6"/>
  <c r="A65" i="6"/>
  <c r="A64" i="6"/>
  <c r="A61" i="6"/>
  <c r="A60" i="6"/>
  <c r="A57" i="6"/>
  <c r="A56" i="6"/>
  <c r="A53" i="6"/>
  <c r="A52" i="6"/>
  <c r="A49" i="6"/>
  <c r="A48" i="6"/>
  <c r="A45" i="6"/>
  <c r="A44" i="6"/>
  <c r="A41" i="6"/>
  <c r="A40" i="6"/>
  <c r="A37" i="6"/>
  <c r="A36" i="6"/>
  <c r="A33" i="6"/>
  <c r="A32" i="6"/>
  <c r="A29" i="6"/>
  <c r="A28" i="6"/>
  <c r="A25" i="6"/>
  <c r="A24" i="6"/>
  <c r="A21" i="6"/>
  <c r="A20" i="6"/>
  <c r="A17" i="6"/>
  <c r="A16" i="6"/>
  <c r="A13" i="6"/>
  <c r="A9" i="6"/>
  <c r="B27" i="6" l="1"/>
  <c r="C27" i="6" s="1"/>
  <c r="O27" i="6"/>
  <c r="X27" i="6"/>
  <c r="H27" i="6"/>
  <c r="I27" i="6" s="1"/>
  <c r="U27" i="6"/>
  <c r="F27" i="6"/>
  <c r="G27" i="6" s="1"/>
  <c r="D27" i="6"/>
  <c r="E27" i="6" s="1"/>
  <c r="R27" i="6"/>
  <c r="B31" i="6"/>
  <c r="C31" i="6" s="1"/>
  <c r="O31" i="6"/>
  <c r="X31" i="6"/>
  <c r="H31" i="6"/>
  <c r="I31" i="6" s="1"/>
  <c r="U31" i="6"/>
  <c r="F31" i="6"/>
  <c r="G31" i="6" s="1"/>
  <c r="D31" i="6"/>
  <c r="E31" i="6" s="1"/>
  <c r="R31" i="6"/>
  <c r="B35" i="6"/>
  <c r="C35" i="6" s="1"/>
  <c r="O35" i="6"/>
  <c r="X35" i="6"/>
  <c r="H35" i="6"/>
  <c r="I35" i="6" s="1"/>
  <c r="U35" i="6"/>
  <c r="F35" i="6"/>
  <c r="G35" i="6" s="1"/>
  <c r="D35" i="6"/>
  <c r="E35" i="6" s="1"/>
  <c r="R35" i="6"/>
  <c r="D64" i="6"/>
  <c r="E64" i="6" s="1"/>
  <c r="R64" i="6"/>
  <c r="B64" i="6"/>
  <c r="C64" i="6" s="1"/>
  <c r="O64" i="6"/>
  <c r="X64" i="6"/>
  <c r="H64" i="6"/>
  <c r="I64" i="6" s="1"/>
  <c r="F64" i="6"/>
  <c r="G64" i="6" s="1"/>
  <c r="U64" i="6"/>
  <c r="H17" i="6"/>
  <c r="I17" i="6" s="1"/>
  <c r="U17" i="6"/>
  <c r="F17" i="6"/>
  <c r="G17" i="6" s="1"/>
  <c r="R17" i="6"/>
  <c r="B17" i="6"/>
  <c r="C17" i="6" s="1"/>
  <c r="O17" i="6"/>
  <c r="D17" i="6"/>
  <c r="E17" i="6" s="1"/>
  <c r="X17" i="6"/>
  <c r="X38" i="6"/>
  <c r="H38" i="6"/>
  <c r="I38" i="6" s="1"/>
  <c r="U38" i="6"/>
  <c r="F38" i="6"/>
  <c r="G38" i="6" s="1"/>
  <c r="R38" i="6"/>
  <c r="O38" i="6"/>
  <c r="D38" i="6"/>
  <c r="E38" i="6" s="1"/>
  <c r="B38" i="6"/>
  <c r="C38" i="6" s="1"/>
  <c r="X42" i="6"/>
  <c r="H42" i="6"/>
  <c r="I42" i="6" s="1"/>
  <c r="U42" i="6"/>
  <c r="F42" i="6"/>
  <c r="G42" i="6" s="1"/>
  <c r="R42" i="6"/>
  <c r="O42" i="6"/>
  <c r="D42" i="6"/>
  <c r="E42" i="6" s="1"/>
  <c r="B42" i="6"/>
  <c r="C42" i="6" s="1"/>
  <c r="D48" i="6"/>
  <c r="E48" i="6" s="1"/>
  <c r="R48" i="6"/>
  <c r="B48" i="6"/>
  <c r="C48" i="6" s="1"/>
  <c r="O48" i="6"/>
  <c r="X48" i="6"/>
  <c r="H48" i="6"/>
  <c r="I48" i="6" s="1"/>
  <c r="F48" i="6"/>
  <c r="G48" i="6" s="1"/>
  <c r="U48" i="6"/>
  <c r="B39" i="6"/>
  <c r="C39" i="6" s="1"/>
  <c r="O39" i="6"/>
  <c r="X39" i="6"/>
  <c r="H39" i="6"/>
  <c r="I39" i="6" s="1"/>
  <c r="U39" i="6"/>
  <c r="F39" i="6"/>
  <c r="G39" i="6" s="1"/>
  <c r="D39" i="6"/>
  <c r="E39" i="6" s="1"/>
  <c r="R39" i="6"/>
  <c r="X34" i="6"/>
  <c r="H34" i="6"/>
  <c r="I34" i="6" s="1"/>
  <c r="U34" i="6"/>
  <c r="F34" i="6"/>
  <c r="G34" i="6" s="1"/>
  <c r="R34" i="6"/>
  <c r="O34" i="6"/>
  <c r="D34" i="6"/>
  <c r="E34" i="6" s="1"/>
  <c r="B34" i="6"/>
  <c r="C34" i="6" s="1"/>
  <c r="H41" i="6"/>
  <c r="I41" i="6" s="1"/>
  <c r="U41" i="6"/>
  <c r="F41" i="6"/>
  <c r="G41" i="6" s="1"/>
  <c r="R41" i="6"/>
  <c r="B41" i="6"/>
  <c r="C41" i="6" s="1"/>
  <c r="O41" i="6"/>
  <c r="D41" i="6"/>
  <c r="E41" i="6" s="1"/>
  <c r="X41" i="6"/>
  <c r="D44" i="6"/>
  <c r="E44" i="6" s="1"/>
  <c r="R44" i="6"/>
  <c r="B44" i="6"/>
  <c r="C44" i="6" s="1"/>
  <c r="O44" i="6"/>
  <c r="X44" i="6"/>
  <c r="H44" i="6"/>
  <c r="I44" i="6" s="1"/>
  <c r="F44" i="6"/>
  <c r="G44" i="6" s="1"/>
  <c r="U44" i="6"/>
  <c r="H45" i="6"/>
  <c r="I45" i="6" s="1"/>
  <c r="U45" i="6"/>
  <c r="F45" i="6"/>
  <c r="G45" i="6" s="1"/>
  <c r="R45" i="6"/>
  <c r="B45" i="6"/>
  <c r="C45" i="6" s="1"/>
  <c r="O45" i="6"/>
  <c r="D45" i="6"/>
  <c r="E45" i="6" s="1"/>
  <c r="X45" i="6"/>
  <c r="D8" i="6"/>
  <c r="E8" i="6" s="1"/>
  <c r="R8" i="6"/>
  <c r="B8" i="6"/>
  <c r="C8" i="6" s="1"/>
  <c r="O8" i="6"/>
  <c r="X8" i="6"/>
  <c r="U8" i="6"/>
  <c r="H8" i="6"/>
  <c r="I8" i="6" s="1"/>
  <c r="F8" i="6"/>
  <c r="G8" i="6" s="1"/>
  <c r="D28" i="6"/>
  <c r="E28" i="6" s="1"/>
  <c r="R28" i="6"/>
  <c r="B28" i="6"/>
  <c r="C28" i="6" s="1"/>
  <c r="O28" i="6"/>
  <c r="X28" i="6"/>
  <c r="U28" i="6"/>
  <c r="H28" i="6"/>
  <c r="I28" i="6" s="1"/>
  <c r="F28" i="6"/>
  <c r="G28" i="6" s="1"/>
  <c r="X58" i="6"/>
  <c r="H58" i="6"/>
  <c r="I58" i="6" s="1"/>
  <c r="U58" i="6"/>
  <c r="F58" i="6"/>
  <c r="G58" i="6" s="1"/>
  <c r="R58" i="6"/>
  <c r="O58" i="6"/>
  <c r="D58" i="6"/>
  <c r="E58" i="6" s="1"/>
  <c r="B58" i="6"/>
  <c r="C58" i="6" s="1"/>
  <c r="B43" i="6"/>
  <c r="C43" i="6" s="1"/>
  <c r="O43" i="6"/>
  <c r="X43" i="6"/>
  <c r="H43" i="6"/>
  <c r="I43" i="6" s="1"/>
  <c r="U43" i="6"/>
  <c r="F43" i="6"/>
  <c r="G43" i="6" s="1"/>
  <c r="D43" i="6"/>
  <c r="E43" i="6" s="1"/>
  <c r="R43" i="6"/>
  <c r="X50" i="6"/>
  <c r="H50" i="6"/>
  <c r="I50" i="6" s="1"/>
  <c r="U50" i="6"/>
  <c r="F50" i="6"/>
  <c r="G50" i="6" s="1"/>
  <c r="R50" i="6"/>
  <c r="O50" i="6"/>
  <c r="D50" i="6"/>
  <c r="E50" i="6" s="1"/>
  <c r="B50" i="6"/>
  <c r="C50" i="6" s="1"/>
  <c r="X6" i="6"/>
  <c r="H6" i="6"/>
  <c r="I6" i="6" s="1"/>
  <c r="U6" i="6"/>
  <c r="F6" i="6"/>
  <c r="G6" i="6" s="1"/>
  <c r="R6" i="6"/>
  <c r="D6" i="6"/>
  <c r="E6" i="6" s="1"/>
  <c r="B6" i="6"/>
  <c r="C6" i="6" s="1"/>
  <c r="O6" i="6"/>
  <c r="X10" i="6"/>
  <c r="H10" i="6"/>
  <c r="I10" i="6" s="1"/>
  <c r="U10" i="6"/>
  <c r="F10" i="6"/>
  <c r="G10" i="6" s="1"/>
  <c r="R10" i="6"/>
  <c r="D10" i="6"/>
  <c r="E10" i="6" s="1"/>
  <c r="B10" i="6"/>
  <c r="C10" i="6" s="1"/>
  <c r="O10" i="6"/>
  <c r="X14" i="6"/>
  <c r="H14" i="6"/>
  <c r="I14" i="6" s="1"/>
  <c r="U14" i="6"/>
  <c r="F14" i="6"/>
  <c r="G14" i="6" s="1"/>
  <c r="R14" i="6"/>
  <c r="O14" i="6"/>
  <c r="D14" i="6"/>
  <c r="E14" i="6" s="1"/>
  <c r="B14" i="6"/>
  <c r="C14" i="6" s="1"/>
  <c r="D32" i="6"/>
  <c r="E32" i="6" s="1"/>
  <c r="R32" i="6"/>
  <c r="B32" i="6"/>
  <c r="C32" i="6" s="1"/>
  <c r="O32" i="6"/>
  <c r="X32" i="6"/>
  <c r="H32" i="6"/>
  <c r="I32" i="6" s="1"/>
  <c r="F32" i="6"/>
  <c r="G32" i="6" s="1"/>
  <c r="U32" i="6"/>
  <c r="H33" i="6"/>
  <c r="I33" i="6" s="1"/>
  <c r="U33" i="6"/>
  <c r="F33" i="6"/>
  <c r="G33" i="6" s="1"/>
  <c r="R33" i="6"/>
  <c r="B33" i="6"/>
  <c r="C33" i="6" s="1"/>
  <c r="O33" i="6"/>
  <c r="D33" i="6"/>
  <c r="E33" i="6" s="1"/>
  <c r="X33" i="6"/>
  <c r="H57" i="6"/>
  <c r="I57" i="6" s="1"/>
  <c r="U57" i="6"/>
  <c r="F57" i="6"/>
  <c r="G57" i="6" s="1"/>
  <c r="R57" i="6"/>
  <c r="B57" i="6"/>
  <c r="C57" i="6" s="1"/>
  <c r="O57" i="6"/>
  <c r="D57" i="6"/>
  <c r="E57" i="6" s="1"/>
  <c r="X57" i="6"/>
  <c r="X22" i="6"/>
  <c r="H22" i="6"/>
  <c r="I22" i="6" s="1"/>
  <c r="U22" i="6"/>
  <c r="F22" i="6"/>
  <c r="G22" i="6" s="1"/>
  <c r="R22" i="6"/>
  <c r="O22" i="6"/>
  <c r="D22" i="6"/>
  <c r="E22" i="6" s="1"/>
  <c r="B22" i="6"/>
  <c r="C22" i="6" s="1"/>
  <c r="O7" i="6"/>
  <c r="X7" i="6"/>
  <c r="H7" i="6"/>
  <c r="I7" i="6" s="1"/>
  <c r="U7" i="6"/>
  <c r="F7" i="6"/>
  <c r="G7" i="6" s="1"/>
  <c r="D7" i="6"/>
  <c r="E7" i="6" s="1"/>
  <c r="B7" i="6"/>
  <c r="C7" i="6" s="1"/>
  <c r="R7" i="6"/>
  <c r="B55" i="6"/>
  <c r="C55" i="6" s="1"/>
  <c r="O55" i="6"/>
  <c r="X55" i="6"/>
  <c r="H55" i="6"/>
  <c r="I55" i="6" s="1"/>
  <c r="U55" i="6"/>
  <c r="F55" i="6"/>
  <c r="G55" i="6" s="1"/>
  <c r="D55" i="6"/>
  <c r="E55" i="6" s="1"/>
  <c r="R55" i="6"/>
  <c r="D40" i="6"/>
  <c r="E40" i="6" s="1"/>
  <c r="R40" i="6"/>
  <c r="B40" i="6"/>
  <c r="C40" i="6" s="1"/>
  <c r="O40" i="6"/>
  <c r="X40" i="6"/>
  <c r="U40" i="6"/>
  <c r="H40" i="6"/>
  <c r="I40" i="6" s="1"/>
  <c r="F40" i="6"/>
  <c r="G40" i="6" s="1"/>
  <c r="H65" i="6"/>
  <c r="I65" i="6" s="1"/>
  <c r="U65" i="6"/>
  <c r="F65" i="6"/>
  <c r="G65" i="6" s="1"/>
  <c r="R65" i="6"/>
  <c r="B65" i="6"/>
  <c r="C65" i="6" s="1"/>
  <c r="O65" i="6"/>
  <c r="D65" i="6"/>
  <c r="E65" i="6" s="1"/>
  <c r="X65" i="6"/>
  <c r="D20" i="6"/>
  <c r="E20" i="6" s="1"/>
  <c r="R20" i="6"/>
  <c r="B20" i="6"/>
  <c r="C20" i="6" s="1"/>
  <c r="O20" i="6"/>
  <c r="X20" i="6"/>
  <c r="U20" i="6"/>
  <c r="H20" i="6"/>
  <c r="I20" i="6" s="1"/>
  <c r="F20" i="6"/>
  <c r="G20" i="6" s="1"/>
  <c r="H21" i="6"/>
  <c r="I21" i="6" s="1"/>
  <c r="U21" i="6"/>
  <c r="F21" i="6"/>
  <c r="G21" i="6" s="1"/>
  <c r="R21" i="6"/>
  <c r="B21" i="6"/>
  <c r="C21" i="6" s="1"/>
  <c r="O21" i="6"/>
  <c r="D21" i="6"/>
  <c r="E21" i="6" s="1"/>
  <c r="X21" i="6"/>
  <c r="D24" i="6"/>
  <c r="E24" i="6" s="1"/>
  <c r="R24" i="6"/>
  <c r="B24" i="6"/>
  <c r="C24" i="6" s="1"/>
  <c r="O24" i="6"/>
  <c r="X24" i="6"/>
  <c r="U24" i="6"/>
  <c r="H24" i="6"/>
  <c r="I24" i="6" s="1"/>
  <c r="F24" i="6"/>
  <c r="G24" i="6" s="1"/>
  <c r="H25" i="6"/>
  <c r="I25" i="6" s="1"/>
  <c r="U25" i="6"/>
  <c r="F25" i="6"/>
  <c r="G25" i="6" s="1"/>
  <c r="R25" i="6"/>
  <c r="B25" i="6"/>
  <c r="C25" i="6" s="1"/>
  <c r="O25" i="6"/>
  <c r="D25" i="6"/>
  <c r="E25" i="6" s="1"/>
  <c r="X25" i="6"/>
  <c r="X54" i="6"/>
  <c r="H54" i="6"/>
  <c r="I54" i="6" s="1"/>
  <c r="U54" i="6"/>
  <c r="F54" i="6"/>
  <c r="G54" i="6" s="1"/>
  <c r="R54" i="6"/>
  <c r="O54" i="6"/>
  <c r="D54" i="6"/>
  <c r="E54" i="6" s="1"/>
  <c r="B54" i="6"/>
  <c r="C54" i="6" s="1"/>
  <c r="H29" i="6"/>
  <c r="I29" i="6" s="1"/>
  <c r="U29" i="6"/>
  <c r="F29" i="6"/>
  <c r="G29" i="6" s="1"/>
  <c r="R29" i="6"/>
  <c r="B29" i="6"/>
  <c r="C29" i="6" s="1"/>
  <c r="O29" i="6"/>
  <c r="D29" i="6"/>
  <c r="E29" i="6" s="1"/>
  <c r="X29" i="6"/>
  <c r="X62" i="6"/>
  <c r="H62" i="6"/>
  <c r="I62" i="6" s="1"/>
  <c r="U62" i="6"/>
  <c r="F62" i="6"/>
  <c r="G62" i="6" s="1"/>
  <c r="R62" i="6"/>
  <c r="O62" i="6"/>
  <c r="D62" i="6"/>
  <c r="E62" i="6" s="1"/>
  <c r="B62" i="6"/>
  <c r="C62" i="6" s="1"/>
  <c r="D56" i="6"/>
  <c r="E56" i="6" s="1"/>
  <c r="R56" i="6"/>
  <c r="B56" i="6"/>
  <c r="C56" i="6" s="1"/>
  <c r="O56" i="6"/>
  <c r="X56" i="6"/>
  <c r="U56" i="6"/>
  <c r="H56" i="6"/>
  <c r="I56" i="6" s="1"/>
  <c r="F56" i="6"/>
  <c r="G56" i="6" s="1"/>
  <c r="U9" i="6"/>
  <c r="F9" i="6"/>
  <c r="G9" i="6" s="1"/>
  <c r="R9" i="6"/>
  <c r="B9" i="6"/>
  <c r="C9" i="6" s="1"/>
  <c r="O9" i="6"/>
  <c r="H9" i="6"/>
  <c r="I9" i="6" s="1"/>
  <c r="X9" i="6"/>
  <c r="D9" i="6"/>
  <c r="E9" i="6" s="1"/>
  <c r="D60" i="6"/>
  <c r="E60" i="6" s="1"/>
  <c r="R60" i="6"/>
  <c r="B60" i="6"/>
  <c r="C60" i="6" s="1"/>
  <c r="O60" i="6"/>
  <c r="X60" i="6"/>
  <c r="U60" i="6"/>
  <c r="H60" i="6"/>
  <c r="I60" i="6" s="1"/>
  <c r="F60" i="6"/>
  <c r="G60" i="6" s="1"/>
  <c r="X26" i="6"/>
  <c r="H26" i="6"/>
  <c r="I26" i="6" s="1"/>
  <c r="U26" i="6"/>
  <c r="F26" i="6"/>
  <c r="G26" i="6" s="1"/>
  <c r="R26" i="6"/>
  <c r="O26" i="6"/>
  <c r="D26" i="6"/>
  <c r="E26" i="6" s="1"/>
  <c r="B26" i="6"/>
  <c r="C26" i="6" s="1"/>
  <c r="O11" i="6"/>
  <c r="X11" i="6"/>
  <c r="H11" i="6"/>
  <c r="I11" i="6" s="1"/>
  <c r="U11" i="6"/>
  <c r="F11" i="6"/>
  <c r="G11" i="6" s="1"/>
  <c r="D11" i="6"/>
  <c r="E11" i="6" s="1"/>
  <c r="R11" i="6"/>
  <c r="B11" i="6"/>
  <c r="C11" i="6" s="1"/>
  <c r="B59" i="6"/>
  <c r="C59" i="6" s="1"/>
  <c r="O59" i="6"/>
  <c r="X59" i="6"/>
  <c r="H59" i="6"/>
  <c r="I59" i="6" s="1"/>
  <c r="U59" i="6"/>
  <c r="F59" i="6"/>
  <c r="G59" i="6" s="1"/>
  <c r="D59" i="6"/>
  <c r="E59" i="6" s="1"/>
  <c r="R59" i="6"/>
  <c r="D16" i="6"/>
  <c r="E16" i="6" s="1"/>
  <c r="R16" i="6"/>
  <c r="B16" i="6"/>
  <c r="C16" i="6" s="1"/>
  <c r="O16" i="6"/>
  <c r="X16" i="6"/>
  <c r="U16" i="6"/>
  <c r="H16" i="6"/>
  <c r="I16" i="6" s="1"/>
  <c r="F16" i="6"/>
  <c r="G16" i="6" s="1"/>
  <c r="B19" i="6"/>
  <c r="C19" i="6" s="1"/>
  <c r="O19" i="6"/>
  <c r="X19" i="6"/>
  <c r="H19" i="6"/>
  <c r="I19" i="6" s="1"/>
  <c r="U19" i="6"/>
  <c r="F19" i="6"/>
  <c r="G19" i="6" s="1"/>
  <c r="D19" i="6"/>
  <c r="E19" i="6" s="1"/>
  <c r="R19" i="6"/>
  <c r="B23" i="6"/>
  <c r="C23" i="6" s="1"/>
  <c r="O23" i="6"/>
  <c r="X23" i="6"/>
  <c r="H23" i="6"/>
  <c r="I23" i="6" s="1"/>
  <c r="U23" i="6"/>
  <c r="F23" i="6"/>
  <c r="G23" i="6" s="1"/>
  <c r="D23" i="6"/>
  <c r="E23" i="6" s="1"/>
  <c r="R23" i="6"/>
  <c r="D12" i="6"/>
  <c r="E12" i="6" s="1"/>
  <c r="R12" i="6"/>
  <c r="B12" i="6"/>
  <c r="C12" i="6" s="1"/>
  <c r="O12" i="6"/>
  <c r="X12" i="6"/>
  <c r="H12" i="6"/>
  <c r="I12" i="6" s="1"/>
  <c r="F12" i="6"/>
  <c r="G12" i="6" s="1"/>
  <c r="U12" i="6"/>
  <c r="X46" i="6"/>
  <c r="H46" i="6"/>
  <c r="I46" i="6" s="1"/>
  <c r="U46" i="6"/>
  <c r="F46" i="6"/>
  <c r="G46" i="6" s="1"/>
  <c r="R46" i="6"/>
  <c r="O46" i="6"/>
  <c r="D46" i="6"/>
  <c r="E46" i="6" s="1"/>
  <c r="B46" i="6"/>
  <c r="C46" i="6" s="1"/>
  <c r="H49" i="6"/>
  <c r="I49" i="6" s="1"/>
  <c r="U49" i="6"/>
  <c r="F49" i="6"/>
  <c r="G49" i="6" s="1"/>
  <c r="R49" i="6"/>
  <c r="B49" i="6"/>
  <c r="C49" i="6" s="1"/>
  <c r="O49" i="6"/>
  <c r="D49" i="6"/>
  <c r="E49" i="6" s="1"/>
  <c r="X49" i="6"/>
  <c r="D52" i="6"/>
  <c r="E52" i="6" s="1"/>
  <c r="R52" i="6"/>
  <c r="B52" i="6"/>
  <c r="C52" i="6" s="1"/>
  <c r="O52" i="6"/>
  <c r="X52" i="6"/>
  <c r="H52" i="6"/>
  <c r="I52" i="6" s="1"/>
  <c r="F52" i="6"/>
  <c r="G52" i="6" s="1"/>
  <c r="U52" i="6"/>
  <c r="H53" i="6"/>
  <c r="I53" i="6" s="1"/>
  <c r="U53" i="6"/>
  <c r="F53" i="6"/>
  <c r="G53" i="6" s="1"/>
  <c r="R53" i="6"/>
  <c r="B53" i="6"/>
  <c r="C53" i="6" s="1"/>
  <c r="O53" i="6"/>
  <c r="D53" i="6"/>
  <c r="E53" i="6" s="1"/>
  <c r="X53" i="6"/>
  <c r="B47" i="6"/>
  <c r="C47" i="6" s="1"/>
  <c r="O47" i="6"/>
  <c r="X47" i="6"/>
  <c r="H47" i="6"/>
  <c r="I47" i="6" s="1"/>
  <c r="U47" i="6"/>
  <c r="F47" i="6"/>
  <c r="G47" i="6" s="1"/>
  <c r="D47" i="6"/>
  <c r="E47" i="6" s="1"/>
  <c r="R47" i="6"/>
  <c r="X18" i="6"/>
  <c r="H18" i="6"/>
  <c r="I18" i="6" s="1"/>
  <c r="U18" i="6"/>
  <c r="F18" i="6"/>
  <c r="G18" i="6" s="1"/>
  <c r="R18" i="6"/>
  <c r="O18" i="6"/>
  <c r="D18" i="6"/>
  <c r="E18" i="6" s="1"/>
  <c r="B18" i="6"/>
  <c r="C18" i="6" s="1"/>
  <c r="B51" i="6"/>
  <c r="C51" i="6" s="1"/>
  <c r="O51" i="6"/>
  <c r="X51" i="6"/>
  <c r="H51" i="6"/>
  <c r="I51" i="6" s="1"/>
  <c r="U51" i="6"/>
  <c r="F51" i="6"/>
  <c r="G51" i="6" s="1"/>
  <c r="D51" i="6"/>
  <c r="E51" i="6" s="1"/>
  <c r="R51" i="6"/>
  <c r="D36" i="6"/>
  <c r="E36" i="6" s="1"/>
  <c r="R36" i="6"/>
  <c r="B36" i="6"/>
  <c r="C36" i="6" s="1"/>
  <c r="O36" i="6"/>
  <c r="X36" i="6"/>
  <c r="U36" i="6"/>
  <c r="H36" i="6"/>
  <c r="I36" i="6" s="1"/>
  <c r="F36" i="6"/>
  <c r="G36" i="6" s="1"/>
  <c r="U13" i="6"/>
  <c r="F13" i="6"/>
  <c r="G13" i="6" s="1"/>
  <c r="R13" i="6"/>
  <c r="B13" i="6"/>
  <c r="C13" i="6" s="1"/>
  <c r="O13" i="6"/>
  <c r="H13" i="6"/>
  <c r="I13" i="6" s="1"/>
  <c r="D13" i="6"/>
  <c r="E13" i="6" s="1"/>
  <c r="X13" i="6"/>
  <c r="H37" i="6"/>
  <c r="I37" i="6" s="1"/>
  <c r="U37" i="6"/>
  <c r="F37" i="6"/>
  <c r="G37" i="6" s="1"/>
  <c r="R37" i="6"/>
  <c r="B37" i="6"/>
  <c r="C37" i="6" s="1"/>
  <c r="O37" i="6"/>
  <c r="D37" i="6"/>
  <c r="E37" i="6" s="1"/>
  <c r="X37" i="6"/>
  <c r="H61" i="6"/>
  <c r="I61" i="6" s="1"/>
  <c r="U61" i="6"/>
  <c r="F61" i="6"/>
  <c r="G61" i="6" s="1"/>
  <c r="R61" i="6"/>
  <c r="B61" i="6"/>
  <c r="C61" i="6" s="1"/>
  <c r="O61" i="6"/>
  <c r="D61" i="6"/>
  <c r="E61" i="6" s="1"/>
  <c r="X61" i="6"/>
  <c r="X30" i="6"/>
  <c r="H30" i="6"/>
  <c r="I30" i="6" s="1"/>
  <c r="U30" i="6"/>
  <c r="F30" i="6"/>
  <c r="G30" i="6" s="1"/>
  <c r="R30" i="6"/>
  <c r="O30" i="6"/>
  <c r="D30" i="6"/>
  <c r="E30" i="6" s="1"/>
  <c r="B30" i="6"/>
  <c r="C30" i="6" s="1"/>
  <c r="O15" i="6"/>
  <c r="X15" i="6"/>
  <c r="H15" i="6"/>
  <c r="I15" i="6" s="1"/>
  <c r="U15" i="6"/>
  <c r="F15" i="6"/>
  <c r="G15" i="6" s="1"/>
  <c r="D15" i="6"/>
  <c r="E15" i="6" s="1"/>
  <c r="B15" i="6"/>
  <c r="C15" i="6" s="1"/>
  <c r="R15" i="6"/>
  <c r="B63" i="6"/>
  <c r="C63" i="6" s="1"/>
  <c r="O63" i="6"/>
  <c r="X63" i="6"/>
  <c r="H63" i="6"/>
  <c r="I63" i="6" s="1"/>
  <c r="U63" i="6"/>
  <c r="F63" i="6"/>
  <c r="G63" i="6" s="1"/>
  <c r="D63" i="6"/>
  <c r="E63" i="6" s="1"/>
  <c r="R63" i="6"/>
</calcChain>
</file>

<file path=xl/sharedStrings.xml><?xml version="1.0" encoding="utf-8"?>
<sst xmlns="http://schemas.openxmlformats.org/spreadsheetml/2006/main" count="838" uniqueCount="295">
  <si>
    <t>Configuración del piloto y del cálculo de réplicas</t>
  </si>
  <si>
    <t>Celdas amarillas con letra azul = se pueden editar. Todo lo demás es fórmula.</t>
  </si>
  <si>
    <t>Parámetro</t>
  </si>
  <si>
    <t>Valor</t>
  </si>
  <si>
    <t>Nota</t>
  </si>
  <si>
    <t>1. Conversión del desplazamiento a retardo</t>
  </si>
  <si>
    <t>Unidad de la posición del micrómetro (columna A de R01–R15)</t>
  </si>
  <si>
    <t>µm</t>
  </si>
  <si>
    <t>Fija en µm (p. ej. 12483 para 12,483 mm). La potencia óptica de la columna B va en µW.</t>
  </si>
  <si>
    <t>Número de veces que el haz recorre el desplazamiento</t>
  </si>
  <si>
    <t>2 = retrorreflector en el brazo móvil (ida y vuelta): τ = 2Δx/c. Usar 4 si el brazo es de doble paso.</t>
  </si>
  <si>
    <t>Velocidad de la luz c (m/s)</t>
  </si>
  <si>
    <t>Valor exacto (SI).</t>
  </si>
  <si>
    <t>Factor de la unidad a metros</t>
  </si>
  <si>
    <t>Automático según la unidad.</t>
  </si>
  <si>
    <t>Retardo por unidad de desplazamiento (fs por unidad)</t>
  </si>
  <si>
    <t>Automático. Con µm y 2 pasos da 6,6713 fs por cada µm del micrómetro.</t>
  </si>
  <si>
    <t>2. Lectura del ancho de pulso</t>
  </si>
  <si>
    <t>Factor de forma: τp = factor × ancho de la traza</t>
  </si>
  <si>
    <t>0,65 = el que usa Calmar (sech²; el valor teórico es 0,648). Gaussiano: 0,7071.</t>
  </si>
  <si>
    <t>Lecturas en cada ala (fuera del solapamiento) para el fondo</t>
  </si>
  <si>
    <t>El fondo es el promedio de las primeras y las últimas N lecturas de la traza. Con el montaje actual: 2 por ala, a 2 y 3 Δτ_AC del pico (ver la guía de muestreo).</t>
  </si>
  <si>
    <t>Ventana de suavizado (puntos, número impar)</t>
  </si>
  <si>
    <t>1 = sin suavizar. Con toma manual (pocos puntos) dejarla en 1: promediar lecturas vecinas ensancha la traza. No cambiarla durante el experimento: es parte del programa de análisis fijo del protocolo.</t>
  </si>
  <si>
    <t>Semiventana (automático)</t>
  </si>
  <si>
    <t>Puntos a cada lado del promedio móvil.</t>
  </si>
  <si>
    <t>Lecturas mínimas dentro del ancho a media altura</t>
  </si>
  <si>
    <t>Por debajo de esto la interpolación de los cruces pierde precisión: afinar el paso cerca del pico.</t>
  </si>
  <si>
    <t>Recorrido mínimo a cada lado del centro (múltiplos de Δτ_AC)</t>
  </si>
  <si>
    <t>Las lecturas del fondo deben quedar a 2 Δτ_AC o más del centro, donde la autocorrelación sech² es &lt; 0,5 % del pico. Si quedan más cerca, el fondo sale alto y el ancho sale corto (≈ −1,5 fs en simulación).</t>
  </si>
  <si>
    <t>Lecturas en la zona de solapamiento</t>
  </si>
  <si>
    <t>Con el montaje actual caben 16 o 17 lecturas en la zona donde hay solapamiento (señal). Más 2 por ala = 20.</t>
  </si>
  <si>
    <t>Semiancho de la zona de solapamiento (múltiplos de Δτ_AC)</t>
  </si>
  <si>
    <t>A ±1,5 Δτ_AC la señal es ≈ 1 % del pico: ahí termina en la práctica el solapamiento.</t>
  </si>
  <si>
    <t>Resolución de lectura del micrómetro (µm)</t>
  </si>
  <si>
    <t>La menor división que se lee con seguridad (con nonio, 1 µm; sin nonio, 10 µm). Solo se usa en la guía de muestreo de abajo.</t>
  </si>
  <si>
    <t>3. Corrientes del diseño</t>
  </si>
  <si>
    <t>Corriente I1 (A)</t>
  </si>
  <si>
    <t>Corriente de bombeo del amplificador (AMP pump). Hoja de pruebas de fábrica, tabla 5. Se usan las tres corrientes altas alcanzables: el controlador llega a 7,12 A, así que la fila de 7,23 A queda fuera.</t>
  </si>
  <si>
    <t>Corriente I2 (A)</t>
  </si>
  <si>
    <t>Corriente I3 (A)</t>
  </si>
  <si>
    <t>4. Número de réplicas (protocolo, sección 4)</t>
  </si>
  <si>
    <t>α (riesgo de error tipo I)</t>
  </si>
  <si>
    <t>Protocolo: 0,05.</t>
  </si>
  <si>
    <t>Potencia deseada 1 − β</t>
  </si>
  <si>
    <t>Protocolo: 0,90.</t>
  </si>
  <si>
    <t>Colas de la prueba (1 o 2)</t>
  </si>
  <si>
    <t>2 si τ0 es un valor medido por el fabricante (cualquier cambio importa); 1 si solo se tiene el máximo garantizado. Con 2 colas el n es algo mayor (más conservador).</t>
  </si>
  <si>
    <t>Confianza del límite superior de σ</t>
  </si>
  <si>
    <t>Protocolo: σ = límite superior del 80 % de S (con n = 5 multiplica S por 1,56).</t>
  </si>
  <si>
    <t>δ por defecto si el fabricante no da ningún dato (fs)</t>
  </si>
  <si>
    <t>Protocolo, sección 4, regla 5.</t>
  </si>
  <si>
    <t>5. Datos del fabricante para fijar δ (llenar los que existan; ver hoja Réplicas)</t>
  </si>
  <si>
    <t>Dato</t>
  </si>
  <si>
    <t>I1</t>
  </si>
  <si>
    <t>I2</t>
  </si>
  <si>
    <t>I3</t>
  </si>
  <si>
    <t>τ0: ancho medido por el fabricante (fs)</t>
  </si>
  <si>
    <t>(1) Tolerancia del valor medido t, en τ0 ± t (fs)</t>
  </si>
  <si>
    <t>(2) Máximo garantizado τmáx (fs)</t>
  </si>
  <si>
    <t>(3) Semiancho de la banda de aceptación (fs)</t>
  </si>
  <si>
    <t>(4) Estabilidad declarada del ancho (% rms, p. ej. 2 para 2 %)</t>
  </si>
  <si>
    <t>Incertidumbre u del fabricante (fs); piso δ ≥ 2u</t>
  </si>
  <si>
    <t>Referencia: potencia media de fábrica (mW)</t>
  </si>
  <si>
    <t>Fuente: hoja de pruebas de fábrica (tabla 5: 5 A → 107 fs, 6 A → 76 fs, 7 A → 54 fs). La hoja no da tolerancia, banda de aceptación, estabilidad del ancho ni incertidumbre. La estabilidad de 0,40 % rms es de la potencia, no del ancho, y por eso no se usa en la regla 4. τmáx = 80 fs es la especificación de la tabla 4, válida solo en el punto nominal (7,0 A). Ojo: la tabla 4 reporta 70 fs a 7,0 A y la tabla 5 reporta 54 fs a 7 A; se usa la tabla 5 porque da las tres corrientes con el mismo método.</t>
  </si>
  <si>
    <t>6. Tiempo disponible para la semana</t>
  </si>
  <si>
    <t>Horas de medición útiles por día (sin calentamiento)</t>
  </si>
  <si>
    <t>Tiempo neto para tomar trazas cada día (lun 26 – jue 29).</t>
  </si>
  <si>
    <t>Minutos por traza (dejar vacío para usar el cronometraje del piloto)</t>
  </si>
  <si>
    <t>Si se llena, reemplaza la duración medida en el Registro del piloto.</t>
  </si>
  <si>
    <t>Semilla del sorteo del orden de la semana</t>
  </si>
  <si>
    <t>Cambiarla genera otro orden aleatorio en la hoja Plan semana. Fijar el definitivo el sábado por la noche.</t>
  </si>
  <si>
    <t>7. Guía de muestreo manual por corriente (automática)</t>
  </si>
  <si>
    <t>Cálculo</t>
  </si>
  <si>
    <t>τ0 de fábrica (fs)</t>
  </si>
  <si>
    <t>Ancho de la autocorrelación esperado Δτ_AC = τ0 / factor (fs)</t>
  </si>
  <si>
    <t>Δτ_AC en recorrido del micrómetro (µm)</t>
  </si>
  <si>
    <t>Zona de solapamiento: ± desde el pico (µm)</t>
  </si>
  <si>
    <t>Paso en la zona = 2 × zona / (lecturas − 1) (µm)</t>
  </si>
  <si>
    <t>Lecturas dentro del ancho a media altura</t>
  </si>
  <si>
    <t>Ala 1: lectura a ± 2 Δτ_AC del pico (µm)</t>
  </si>
  <si>
    <t>Ala 2: lectura a ± 3 Δτ_AC del pico (µm)</t>
  </si>
  <si>
    <t>Lecturas por traza = zona + 2 por ala</t>
  </si>
  <si>
    <t>¿El micrómetro lo resuelve?</t>
  </si>
  <si>
    <t>Cómo tomar una traza a mano: buscar el pico; ir a la lectura del ala 2 de un lado; avanzar girando el micrómetro siempre en el mismo sentido (así el juego mecánico no cambia la posición): ala 2, ala 1, las lecturas de la zona con el paso de la tabla, ala 1 y ala 2 del otro lado. Anotar posición y potencia de cada lectura en orden.</t>
  </si>
  <si>
    <t>Posición del micrómetro (µm)</t>
  </si>
  <si>
    <t>Potencia óptica (µW)</t>
  </si>
  <si>
    <t>Retardo τ (fs)</t>
  </si>
  <si>
    <t>Señal suavizada</t>
  </si>
  <si>
    <t>Señal normalizada</t>
  </si>
  <si>
    <t>Cruce izq. (fila)</t>
  </si>
  <si>
    <t>Cruce der. (fila)</t>
  </si>
  <si>
    <t>τ de cruce (fs)</t>
  </si>
  <si>
    <t>Retardo centrado (fs) · gráfica</t>
  </si>
  <si>
    <t>Normalizada · gráfica</t>
  </si>
  <si>
    <t>Sentido</t>
  </si>
  <si>
    <t>Puntos de la traza</t>
  </si>
  <si>
    <t>Puntos con potencia</t>
  </si>
  <si>
    <t>Fondo (promedio de las alas)</t>
  </si>
  <si>
    <t>Máximo de la señal suavizada</t>
  </si>
  <si>
    <t>Fila del máximo</t>
  </si>
  <si>
    <t>Retardo del máximo (fs)</t>
  </si>
  <si>
    <t>Fila del cruce izquierdo a media altura</t>
  </si>
  <si>
    <t>Fila del cruce derecho a media altura</t>
  </si>
  <si>
    <t>τ del cruce izquierdo (fs)</t>
  </si>
  <si>
    <t>τ del cruce derecho (fs)</t>
  </si>
  <si>
    <t>Ancho de la traza a media altura Δτ_AC (fs)</t>
  </si>
  <si>
    <t>Ancho de pulso τp = factor × Δτ_AC (fs)</t>
  </si>
  <si>
    <t>Referencia: τp si fuera gaussiano (fs)</t>
  </si>
  <si>
    <t>Centro de la traza (fs)</t>
  </si>
  <si>
    <t>Recorrido a la izquierda del centro (fs)</t>
  </si>
  <si>
    <t>Recorrido a la derecha del centro (fs)</t>
  </si>
  <si>
    <t>¿Posiciones en un solo sentido?</t>
  </si>
  <si>
    <t>Estado de la traza</t>
  </si>
  <si>
    <t>Traza R01</t>
  </si>
  <si>
    <t>Línea de media altura (gráfica)</t>
  </si>
  <si>
    <t>Columnas A y B: desde la fila 2, sin filas vacías, en orden de posición (girando el micrómetro siempre en el mismo sentido). Posición en µm; potencia en µW.</t>
  </si>
  <si>
    <t>Traza R02</t>
  </si>
  <si>
    <t>Traza R03</t>
  </si>
  <si>
    <t>Traza R04</t>
  </si>
  <si>
    <t>Traza R05</t>
  </si>
  <si>
    <t>Traza R06</t>
  </si>
  <si>
    <t>Traza R07</t>
  </si>
  <si>
    <t>Traza R08</t>
  </si>
  <si>
    <t>Traza R09</t>
  </si>
  <si>
    <t>Traza R10</t>
  </si>
  <si>
    <t>Traza R11</t>
  </si>
  <si>
    <t>Traza R12</t>
  </si>
  <si>
    <t>Traza R13</t>
  </si>
  <si>
    <t>Traza R14</t>
  </si>
  <si>
    <t>Traza R15</t>
  </si>
  <si>
    <t>Traza Ejemplo</t>
  </si>
  <si>
    <t>Traza manual simulada de un pulso sech² de 54 fs (7 A), con la guía de muestreo de Configuración: 16 lecturas cada 2 µm en la zona de solapamiento y 2 por ala, 20 en total; lecturas a 1 µm, ruido 1,5 %. Solo muestra cómo se ve una traza bien procesada; no entra al resumen.</t>
  </si>
  <si>
    <t>Registro del piloto · sábado 24 de octubre de 2026</t>
  </si>
  <si>
    <t>Orden sorteado (semilla 20261024): 5 réplicas por corriente, 15 trazas. Medir en este orden; la traza N° k se pega en la hoja Rk.</t>
  </si>
  <si>
    <t>Amarillo = llenar. La duración se toma de la hora de inicio de una traza a la de la siguiente (incluye el cambio de corriente).</t>
  </si>
  <si>
    <t>N°</t>
  </si>
  <si>
    <t>Hoja</t>
  </si>
  <si>
    <t>Corriente</t>
  </si>
  <si>
    <t>Corriente (A)</t>
  </si>
  <si>
    <t>Hora inicio</t>
  </si>
  <si>
    <t>Hora fin</t>
  </si>
  <si>
    <t>Potencia media del láser (mW)</t>
  </si>
  <si>
    <t>¿Válida?</t>
  </si>
  <si>
    <t>Observaciones (causa si no es válida)</t>
  </si>
  <si>
    <t>Δτ_AC (fs)</t>
  </si>
  <si>
    <t>τp (fs)</t>
  </si>
  <si>
    <t>R01</t>
  </si>
  <si>
    <t>Sí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</si>
  <si>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</si>
  <si>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</si>
  <si>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</si>
  <si>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</si>
  <si>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</si>
  <si>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</si>
  <si>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</si>
  <si>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</si>
  <si>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</si>
  <si>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</si>
  <si>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</si>
  <si>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</si>
  <si>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</si>
  <si>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</si>
  <si>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Duración media por traza (min)</t>
  </si>
  <si>
    <t>entre inicios consecutivos</t>
  </si>
  <si>
    <t>Duración media de la toma sola (min)</t>
  </si>
  <si>
    <t>de inicio a fin de cada traza</t>
  </si>
  <si>
    <t>Reglas del protocolo (sección 5): una traza solo se marca «No» por una causa anotada en el momento (el láser perdió los pulsos, la potencia salió del rango o el barrido se interrumpió). Nunca por dar un valor inesperado. Toda traza descartada se repone con una nueva (pegarla en la misma hoja y anotarlo).</t>
  </si>
  <si>
    <t>Resumen del piloto por corriente</t>
  </si>
  <si>
    <t>Solo cuentan las trazas con τp calculado y marcadas «Sí» en el Registro.</t>
  </si>
  <si>
    <t>τp usable (fs)</t>
  </si>
  <si>
    <t>(τp − media)²</t>
  </si>
  <si>
    <t>Orden</t>
  </si>
  <si>
    <t>x I1</t>
  </si>
  <si>
    <t>τp I1</t>
  </si>
  <si>
    <t>x I2</t>
  </si>
  <si>
    <t>τp I2</t>
  </si>
  <si>
    <t>x I3</t>
  </si>
  <si>
    <t>τp I3</t>
  </si>
  <si>
    <t>Columnas G:L: solo alimentan las gráficas (#N/A = punto que no se dibuja).</t>
  </si>
  <si>
    <t>n</t>
  </si>
  <si>
    <t>Media τp (fs)</t>
  </si>
  <si>
    <t>S (fs)</t>
  </si>
  <si>
    <t>CV (%)</t>
  </si>
  <si>
    <t>τ0 fábrica (fs)</t>
  </si>
  <si>
    <t>Media − τ0 (fs)</t>
  </si>
  <si>
    <t>x</t>
  </si>
  <si>
    <t>Con solo 5 datos por corriente no se prueba normalidad: el piloto solo estima S. La normalidad se revisa con los datos de la semana (protocolo, sección 6).</t>
  </si>
  <si>
    <t>Número de réplicas de la semana (protocolo, sección 4)</t>
  </si>
  <si>
    <t>Todo es automático. Celdas verdes = resultados clave. Montgomery, sec. 2-4.2 y curvas OC (apéndice V).</t>
  </si>
  <si>
    <t>Paso 1 · σ conservadora</t>
  </si>
  <si>
    <t>Usado</t>
  </si>
  <si>
    <t>n del piloto (trazas válidas)</t>
  </si>
  <si>
    <t>S del piloto (fs)</t>
  </si>
  <si>
    <t>Corriente con la S mayor</t>
  </si>
  <si>
    <t>n con que se estimó esa S</t>
  </si>
  <si>
    <t>Factor del límite superior: √[(n − 1)/χ²(1 − conf; n − 1)]</t>
  </si>
  <si>
    <t>σ para el diseño = factor × S mayor (fs)</t>
  </si>
  <si>
    <t>Con n = 5 y conf = 0,80 el factor es 1,557 (el «1,56» del protocolo).</t>
  </si>
  <si>
    <t>Paso 2 · δ que importa detectar</t>
  </si>
  <si>
    <t>Regla que aplica (primer dato del fabricante que exista)</t>
  </si>
  <si>
    <t>δ según la regla (fs)</t>
  </si>
  <si>
    <t>δ con el piso 2u (fs)</t>
  </si>
  <si>
    <t>Si δ cambia por corriente, se usa la menor (la que exige más réplicas). La regla 2 necesita τ0 medido; sin él cae a la 5 (10 fs).</t>
  </si>
  <si>
    <t>Paso 3 · Número de réplicas por corriente</t>
  </si>
  <si>
    <t>α · potencia · colas</t>
  </si>
  <si>
    <t>d = δ/σ</t>
  </si>
  <si>
    <t>n necesario por corriente (curva OC, t de una muestra)</t>
  </si>
  <si>
    <t>Potencia que se logra con ese n</t>
  </si>
  <si>
    <t>Verificar en Minitab: Estadísticas › Potencia y tamaño de la muestra › t de 1 muestra, con Diferencia = δ, Desv. Est. = σ y Potencia = 0,90.</t>
  </si>
  <si>
    <t>Paso 4 · Reparto en la semana</t>
  </si>
  <si>
    <t>3 días</t>
  </si>
  <si>
    <t>4 días</t>
  </si>
  <si>
    <t>Minutos por traza (incluye cambio de corriente)</t>
  </si>
  <si>
    <t>Trazas que caben por día</t>
  </si>
  <si>
    <t>Réplicas por corriente y por día = ⌈n / días⌉</t>
  </si>
  <si>
    <t>Trazas por día = 3 × réplicas por día</t>
  </si>
  <si>
    <t>¿Caben en el día?</t>
  </si>
  <si>
    <t>n por corriente del plan (réplicas por día × días)</t>
  </si>
  <si>
    <t>Si no caben: réplicas por corriente y día que sí caben</t>
  </si>
  <si>
    <t>n por corriente que sí cabe</t>
  </si>
  <si>
    <t>n por corriente que se mide</t>
  </si>
  <si>
    <t>δ detectable δdet con ese n (fs)</t>
  </si>
  <si>
    <t>¿δdet ≤ δ?</t>
  </si>
  <si>
    <t>Total de trazas de la semana</t>
  </si>
  <si>
    <t>Se redondea hacia arriba para repartir igual entre días; el n del plan puede quedar un poco por encima del necesario.</t>
  </si>
  <si>
    <t>Mínima diferencia que el plan detecta con α y potencia fijados (la «salida» de la curva OC con n fijo).</t>
  </si>
  <si>
    <t>Decisión: días de medición (3 = lun–mié; 4 = usar también el jueves 29)</t>
  </si>
  <si>
    <t>Réplicas por corriente y por día del plan</t>
  </si>
  <si>
    <t>n por corriente del plan</t>
  </si>
  <si>
    <t>La hoja Plan semana arma el orden sorteado de cada día con este número (máximo 20).</t>
  </si>
  <si>
    <t>Curva OC numérica: potencia de la t de una muestra (aproximación normal de la t no central)</t>
  </si>
  <si>
    <t>ν</t>
  </si>
  <si>
    <t>t crítico</t>
  </si>
  <si>
    <t>λ = d√n</t>
  </si>
  <si>
    <t>Potencia</t>
  </si>
  <si>
    <t>n si ≥ 1−β</t>
  </si>
  <si>
    <t>d₀</t>
  </si>
  <si>
    <t>d₁</t>
  </si>
  <si>
    <t>d₂</t>
  </si>
  <si>
    <t>d₃</t>
  </si>
  <si>
    <t>d_det</t>
  </si>
  <si>
    <t>Plan de medición de la semana · orden sorteado por día</t>
  </si>
  <si>
    <t>Al fijar el plan el sábado por la noche, copiar estas columnas y pegarlas como valores en las hojas de registro de cada día: si se cambia un parámetro después, el orden cambia.</t>
  </si>
  <si>
    <t>Posición</t>
  </si>
  <si>
    <t>Lun 26 oct</t>
  </si>
  <si>
    <t>Valor (A)</t>
  </si>
  <si>
    <t>clave d1</t>
  </si>
  <si>
    <t>etiq d1</t>
  </si>
  <si>
    <t>rango d1</t>
  </si>
  <si>
    <t>Mar 27 oct</t>
  </si>
  <si>
    <t>clave d2</t>
  </si>
  <si>
    <t>etiq d2</t>
  </si>
  <si>
    <t>rango d2</t>
  </si>
  <si>
    <t>Mié 28 oct</t>
  </si>
  <si>
    <t>clave d3</t>
  </si>
  <si>
    <t>etiq d3</t>
  </si>
  <si>
    <t>rango d3</t>
  </si>
  <si>
    <t>Jue 29 oct</t>
  </si>
  <si>
    <t>clave d4</t>
  </si>
  <si>
    <t>etiq d4</t>
  </si>
  <si>
    <t>rango d4</t>
  </si>
  <si>
    <t>Columnas auxiliares del sorteo: grupo M:X, oculto</t>
  </si>
  <si>
    <t>Piloto del autocorrelador · cálculo del número de réplicas</t>
  </si>
  <si>
    <t>Trabajo práctico · Diseño de Experimentos Avanzados (3008475) · UNAL 2026-II · J. E. Rodríguez Ochoa y S. Zapata Henao · sábado 24 de octubre de 2026</t>
  </si>
  <si>
    <t>Antes de medir</t>
  </si>
  <si>
    <t>1</t>
  </si>
  <si>
    <t>Configuración: la posición va en µm y la potencia óptica en µW. Revisar que el haz recorra 2 veces el desplazamiento (retrorreflector: τ = 2Δx/c). Las corrientes ya están puestas según la hoja de pruebas de fábrica: I1 = 5 A (τ0 = 107 fs), I2 = 6 A (76 fs), I3 = 7 A (54 fs).</t>
  </si>
  <si>
    <t>2</t>
  </si>
  <si>
    <t>Registro piloto: el orden de las 15 trazas ya está sorteado (5 por corriente). Medir en ese orden.</t>
  </si>
  <si>
    <t>Durante el piloto</t>
  </si>
  <si>
    <t>3</t>
  </si>
  <si>
    <t>En la hoja Rk (k = número de la traza en el Registro), escribir desde la fila 2 la posición del micrómetro (columna A, en µm) y la potencia óptica (columna B, en µW), una lectura por fila, en orden de posición. Con el montaje actual son unas 20 lecturas (16–17 en la zona de solapamiento y 2 por ala); caben hasta 300. La guía de muestreo (Configuración, numeral 7) da el paso y la posición de las alas para cada corriente.</t>
  </si>
  <si>
    <t>4</t>
  </si>
  <si>
    <t>Mirar el Estado de la traza (celda M20) y las dos gráficas a la derecha. «OK» = la traza se procesó bien. Un «Aviso» no invalida la traza pero va al informe; un «Revisar» hay que mirarlo antes de seguir.</t>
  </si>
  <si>
    <t>5</t>
  </si>
  <si>
    <t>En el Registro, anotar la hora de inicio y de fin (hh:mm), la potencia media del láser en mW y, si la traza se descarta por una causa anotada, «No» y la causa.</t>
  </si>
  <si>
    <t>Al terminar (sábado por la noche)</t>
  </si>
  <si>
    <t>6</t>
  </si>
  <si>
    <t>Resumen piloto: media, S y CV de τp por corriente y las gráficas de puntos y de τp contra el orden.</t>
  </si>
  <si>
    <t>7</t>
  </si>
  <si>
    <t>Configuración, numeral 5: llenar los datos del fabricante que se tengan (si no hay ninguno, δ = 10 fs). Revisar también las horas útiles por día.</t>
  </si>
  <si>
    <t>8</t>
  </si>
  <si>
    <t>Réplicas: el n por corriente sale solo (σ = 1,56·S mayor, δ por la regla, α = 0,05, potencia 0,90). Elegir 3 o 4 días en la celda B37 y revisar si caben y el δ detectable.</t>
  </si>
  <si>
    <t>9</t>
  </si>
  <si>
    <t>Plan semana: orden sorteado de cada día. Copiarlo como valores a las hojas de registro de la semana.</t>
  </si>
  <si>
    <t>Cómo se calcula τp en cada traza</t>
  </si>
  <si>
    <t>·</t>
  </si>
  <si>
    <t>Retardo τ = (pasos × desplazamiento en metros / c) × 10¹⁵ fs; con 2 pasos, 6,67 fs por cada µm del micrómetro.</t>
  </si>
  <si>
    <t>Se resta el fondo (promedio de los primeros y últimos N puntos), se normaliza al máximo y se buscan los dos cruces a 0,5 más cercanos al pico, interpolando linealmente entre puntos.</t>
  </si>
  <si>
    <t>Δτ_AC = distancia entre los cruces; τp = 0,65 × Δτ_AC (factor de Calmar, sech²). Es el ancho a media altura medido directamente, sin ajuste por mínimos cuadrados. Con 20 lecturas según la guía (≈ 6 dentro del ancho) la simulación da un sesgo de +0,4 a +0,9 fs (igual para todas las trazas de una corriente), frente a una dispersión de 0,7 a 1,6 fs entre trazas.</t>
  </si>
  <si>
    <t>El número de réplicas usa la aproximación normal de la t no central; se comparó con el cálculo exacto (scipy) para d entre 0,3 y 4: da el mismo n en 147 de 148 casos (el otro difiere en 1). Confirmar el resultado final en Minitab.</t>
  </si>
  <si>
    <t>Colores</t>
  </si>
  <si>
    <t>Amarillo con letra azul = se escribe. Verde = resultado clave. Letra verde = viene de otra hoja. Gris = cálculo intermedio. La hoja Ejemplo tiene una traza manual simulada de 54 fs (7 A) para ver cómo debe quedar.</t>
  </si>
  <si>
    <t>Nota: R02 a R07 Descartar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</si>
</sst>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E+00"/>
    <numFmt numFmtId="165" formatCode="0.0000"/>
    <numFmt numFmtId="166" formatCode="0.000"/>
    <numFmt numFmtId="167" formatCode="hh:mm"/>
  </numFmts>
  <fonts count="14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1F386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808080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6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2" fillId="0" borderId="0" xfId="0" applyFont="1" applyAlignment="1">
      <alignment vertical="top" wrapText="1"/>
    </xf>
    <xf numFmtId="0" fontId="7" fillId="3" borderId="2" xfId="0" applyFont="1" applyFill="1" applyBorder="1" applyAlignment="1">
      <alignment vertical="center"/>
    </xf>
    <xf numFmtId="1" fontId="5" fillId="0" borderId="2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1" fontId="7" fillId="3" borderId="2" xfId="0" applyNumberFormat="1" applyFont="1" applyFill="1" applyBorder="1" applyAlignment="1">
      <alignment vertical="center"/>
    </xf>
    <xf numFmtId="2" fontId="8" fillId="0" borderId="2" xfId="0" applyNumberFormat="1" applyFont="1" applyBorder="1" applyAlignment="1">
      <alignment vertical="center"/>
    </xf>
    <xf numFmtId="2" fontId="5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166" fontId="5" fillId="0" borderId="2" xfId="0" applyNumberFormat="1" applyFont="1" applyBorder="1" applyAlignment="1">
      <alignment vertical="center"/>
    </xf>
    <xf numFmtId="167" fontId="7" fillId="3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 wrapText="1"/>
    </xf>
    <xf numFmtId="2" fontId="9" fillId="0" borderId="0" xfId="0" applyNumberFormat="1" applyFont="1" applyAlignment="1">
      <alignment vertical="center"/>
    </xf>
    <xf numFmtId="2" fontId="10" fillId="4" borderId="3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1" fillId="0" borderId="2" xfId="0" applyFont="1" applyBorder="1" applyAlignment="1">
      <alignment vertical="center" wrapText="1"/>
    </xf>
    <xf numFmtId="1" fontId="10" fillId="4" borderId="3" xfId="0" applyNumberFormat="1" applyFont="1" applyFill="1" applyBorder="1" applyAlignment="1">
      <alignment vertical="center"/>
    </xf>
    <xf numFmtId="1" fontId="12" fillId="3" borderId="3" xfId="0" applyNumberFormat="1" applyFont="1" applyFill="1" applyBorder="1" applyAlignment="1">
      <alignment vertical="center"/>
    </xf>
    <xf numFmtId="165" fontId="9" fillId="0" borderId="0" xfId="0" applyNumberFormat="1" applyFont="1" applyAlignment="1">
      <alignment vertical="center"/>
    </xf>
    <xf numFmtId="0" fontId="4" fillId="4" borderId="3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6" fillId="2" borderId="2" xfId="0" applyFont="1" applyFill="1" applyBorder="1" applyAlignment="1">
      <alignment horizontal="center" vertical="center" wrapText="1"/>
    </xf>
    <xf numFmtId="11" fontId="7" fillId="3" borderId="2" xfId="0" applyNumberFormat="1" applyFont="1" applyFill="1" applyBorder="1" applyAlignment="1">
      <alignment vertical="center"/>
    </xf>
    <xf numFmtId="0" fontId="13" fillId="0" borderId="0" xfId="0" applyFont="1" applyAlignment="1">
      <alignment horizontal="center" vertical="top"/>
    </xf>
  </cellXfs>
  <cellStyles count="1">
    <cellStyle name="Normal" xfId="0" builtinId="0"/>
  </cellStyles>
  <dxfs count="96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D9D9D9"/>
      </font>
    </dxf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BE5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9E1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BE5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9E1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BE5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9E1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BE5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9E1F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D9D9D9"/>
      </font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Diagrama de puntos: τp por corriente y valor de fábrica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I1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'Resumen piloto'!$G$5:$G$19</c:f>
              <c:numCache>
                <c:formatCode>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#N/A</c:v>
                </c:pt>
                <c:pt idx="13">
                  <c:v>1</c:v>
                </c:pt>
                <c:pt idx="14">
                  <c:v>#N/A</c:v>
                </c:pt>
              </c:numCache>
            </c:numRef>
          </c:xVal>
          <c:yVal>
            <c:numRef>
              <c:f>'Resumen piloto'!$H$5:$H$19</c:f>
              <c:numCache>
                <c:formatCode>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204.320145634103</c:v>
                </c:pt>
                <c:pt idx="9">
                  <c:v>197.55455915598921</c:v>
                </c:pt>
                <c:pt idx="10">
                  <c:v>199.265613700865</c:v>
                </c:pt>
                <c:pt idx="11">
                  <c:v>204.67597400975657</c:v>
                </c:pt>
                <c:pt idx="12">
                  <c:v>#N/A</c:v>
                </c:pt>
                <c:pt idx="13">
                  <c:v>199.58178355068841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67-4F42-ACBD-16C52EE4B8F2}"/>
            </c:ext>
          </c:extLst>
        </c:ser>
        <c:ser>
          <c:idx val="1"/>
          <c:order val="1"/>
          <c:tx>
            <c:v>I2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C55A11"/>
              </a:solidFill>
              <a:ln>
                <a:solidFill>
                  <a:srgbClr val="C55A11"/>
                </a:solidFill>
              </a:ln>
            </c:spPr>
          </c:marker>
          <c:xVal>
            <c:numRef>
              <c:f>'Resumen piloto'!$I$5:$I$19</c:f>
              <c:numCache>
                <c:formatCode>0.00</c:formatCode>
                <c:ptCount val="15"/>
                <c:pt idx="0">
                  <c:v>2</c:v>
                </c:pt>
                <c:pt idx="1">
                  <c:v>#N/A</c:v>
                </c:pt>
                <c:pt idx="2">
                  <c:v>#N/A</c:v>
                </c:pt>
                <c:pt idx="3">
                  <c:v>2</c:v>
                </c:pt>
                <c:pt idx="4">
                  <c:v>#N/A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2</c:v>
                </c:pt>
              </c:numCache>
            </c:numRef>
          </c:xVal>
          <c:yVal>
            <c:numRef>
              <c:f>'Resumen piloto'!$J$5:$J$19</c:f>
              <c:numCache>
                <c:formatCode>0.00</c:formatCode>
                <c:ptCount val="15"/>
                <c:pt idx="0">
                  <c:v>66.428103729477428</c:v>
                </c:pt>
                <c:pt idx="1">
                  <c:v>#N/A</c:v>
                </c:pt>
                <c:pt idx="2">
                  <c:v>#N/A</c:v>
                </c:pt>
                <c:pt idx="3">
                  <c:v>162.29915277172853</c:v>
                </c:pt>
                <c:pt idx="4">
                  <c:v>#N/A</c:v>
                </c:pt>
                <c:pt idx="5">
                  <c:v>155.08808421853962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154.76126797378581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67-4F42-ACBD-16C52EE4B8F2}"/>
            </c:ext>
          </c:extLst>
        </c:ser>
        <c:ser>
          <c:idx val="2"/>
          <c:order val="2"/>
          <c:tx>
            <c:v>I3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548235"/>
              </a:solidFill>
              <a:ln>
                <a:solidFill>
                  <a:srgbClr val="548235"/>
                </a:solidFill>
              </a:ln>
            </c:spPr>
          </c:marker>
          <c:xVal>
            <c:numRef>
              <c:f>'Resumen piloto'!$K$5:$K$19</c:f>
              <c:numCache>
                <c:formatCode>0.00</c:formatCode>
                <c:ptCount val="15"/>
                <c:pt idx="0">
                  <c:v>#N/A</c:v>
                </c:pt>
                <c:pt idx="1">
                  <c:v>3</c:v>
                </c:pt>
                <c:pt idx="2">
                  <c:v>3</c:v>
                </c:pt>
                <c:pt idx="3">
                  <c:v>#N/A</c:v>
                </c:pt>
                <c:pt idx="4">
                  <c:v>3</c:v>
                </c:pt>
                <c:pt idx="5">
                  <c:v>#N/A</c:v>
                </c:pt>
                <c:pt idx="6">
                  <c:v>#N/A</c:v>
                </c:pt>
                <c:pt idx="7">
                  <c:v>3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3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'Resumen piloto'!$L$5:$L$19</c:f>
              <c:numCache>
                <c:formatCode>0.00</c:formatCode>
                <c:ptCount val="15"/>
                <c:pt idx="0">
                  <c:v>#N/A</c:v>
                </c:pt>
                <c:pt idx="1">
                  <c:v>128.8331691938852</c:v>
                </c:pt>
                <c:pt idx="2">
                  <c:v>164.92268774983489</c:v>
                </c:pt>
                <c:pt idx="3">
                  <c:v>#N/A</c:v>
                </c:pt>
                <c:pt idx="4">
                  <c:v>162.04582453904885</c:v>
                </c:pt>
                <c:pt idx="5">
                  <c:v>#N/A</c:v>
                </c:pt>
                <c:pt idx="6">
                  <c:v>#N/A</c:v>
                </c:pt>
                <c:pt idx="7">
                  <c:v>158.56969271988541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154.22635104580664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67-4F42-ACBD-16C52EE4B8F2}"/>
            </c:ext>
          </c:extLst>
        </c:ser>
        <c:ser>
          <c:idx val="3"/>
          <c:order val="3"/>
          <c:tx>
            <c:v>τ0 fábrica</c:v>
          </c:tx>
          <c:spPr>
            <a:ln w="28575">
              <a:noFill/>
            </a:ln>
          </c:spPr>
          <c:marker>
            <c:symbol val="dash"/>
            <c:size val="14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'Resumen piloto'!$J$22:$J$24</c:f>
              <c:numCache>
                <c:formatCode>0.00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'Resumen piloto'!$H$22:$H$24</c:f>
              <c:numCache>
                <c:formatCode>0.00</c:formatCode>
                <c:ptCount val="3"/>
                <c:pt idx="0">
                  <c:v>107</c:v>
                </c:pt>
                <c:pt idx="1">
                  <c:v>76</c:v>
                </c:pt>
                <c:pt idx="2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67-4F42-ACBD-16C52EE4B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Corriente (1 = I1, 2 = I2, 3 = I3)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10002"/>
        <c:crosses val="autoZero"/>
        <c:crossBetween val="midCat"/>
        <c:majorUnit val="1"/>
      </c:val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τp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τp contra el orden de medición (independencia)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I1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'Resumen piloto'!$E$5:$E$19</c:f>
              <c:numCache>
                <c:formatCode>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'Resumen piloto'!$H$5:$H$19</c:f>
              <c:numCache>
                <c:formatCode>0.00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204.320145634103</c:v>
                </c:pt>
                <c:pt idx="9">
                  <c:v>197.55455915598921</c:v>
                </c:pt>
                <c:pt idx="10">
                  <c:v>199.265613700865</c:v>
                </c:pt>
                <c:pt idx="11">
                  <c:v>204.67597400975657</c:v>
                </c:pt>
                <c:pt idx="12">
                  <c:v>#N/A</c:v>
                </c:pt>
                <c:pt idx="13">
                  <c:v>199.58178355068841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ED-4AF6-A4D1-4E8B7B192E33}"/>
            </c:ext>
          </c:extLst>
        </c:ser>
        <c:ser>
          <c:idx val="1"/>
          <c:order val="1"/>
          <c:tx>
            <c:v>I2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C55A11"/>
              </a:solidFill>
              <a:ln>
                <a:solidFill>
                  <a:srgbClr val="C55A11"/>
                </a:solidFill>
              </a:ln>
            </c:spPr>
          </c:marker>
          <c:xVal>
            <c:numRef>
              <c:f>'Resumen piloto'!$E$5:$E$19</c:f>
              <c:numCache>
                <c:formatCode>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'Resumen piloto'!$J$5:$J$19</c:f>
              <c:numCache>
                <c:formatCode>0.00</c:formatCode>
                <c:ptCount val="15"/>
                <c:pt idx="0">
                  <c:v>66.428103729477428</c:v>
                </c:pt>
                <c:pt idx="1">
                  <c:v>#N/A</c:v>
                </c:pt>
                <c:pt idx="2">
                  <c:v>#N/A</c:v>
                </c:pt>
                <c:pt idx="3">
                  <c:v>162.29915277172853</c:v>
                </c:pt>
                <c:pt idx="4">
                  <c:v>#N/A</c:v>
                </c:pt>
                <c:pt idx="5">
                  <c:v>155.08808421853962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154.76126797378581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ED-4AF6-A4D1-4E8B7B192E33}"/>
            </c:ext>
          </c:extLst>
        </c:ser>
        <c:ser>
          <c:idx val="2"/>
          <c:order val="2"/>
          <c:tx>
            <c:v>I3</c:v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548235"/>
              </a:solidFill>
              <a:ln>
                <a:solidFill>
                  <a:srgbClr val="548235"/>
                </a:solidFill>
              </a:ln>
            </c:spPr>
          </c:marker>
          <c:xVal>
            <c:numRef>
              <c:f>'Resumen piloto'!$E$5:$E$19</c:f>
              <c:numCache>
                <c:formatCode>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'Resumen piloto'!$L$5:$L$19</c:f>
              <c:numCache>
                <c:formatCode>0.00</c:formatCode>
                <c:ptCount val="15"/>
                <c:pt idx="0">
                  <c:v>#N/A</c:v>
                </c:pt>
                <c:pt idx="1">
                  <c:v>128.8331691938852</c:v>
                </c:pt>
                <c:pt idx="2">
                  <c:v>164.92268774983489</c:v>
                </c:pt>
                <c:pt idx="3">
                  <c:v>#N/A</c:v>
                </c:pt>
                <c:pt idx="4">
                  <c:v>162.04582453904885</c:v>
                </c:pt>
                <c:pt idx="5">
                  <c:v>#N/A</c:v>
                </c:pt>
                <c:pt idx="6">
                  <c:v>#N/A</c:v>
                </c:pt>
                <c:pt idx="7">
                  <c:v>158.56969271988541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154.22635104580664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ED-4AF6-A4D1-4E8B7B192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  <c:max val="16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Orden de medición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50020002"/>
        <c:crosses val="autoZero"/>
        <c:crossBetween val="midCat"/>
        <c:majorUnit val="1"/>
      </c:val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τp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'R01'!$A$2:$A$301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</c:numCache>
            </c:numRef>
          </c:xVal>
          <c:yVal>
            <c:numRef>
              <c:f>'R01'!$B$2:$B$301</c:f>
              <c:numCache>
                <c:formatCode>0.00E+00</c:formatCode>
                <c:ptCount val="300"/>
                <c:pt idx="0">
                  <c:v>9.9999999999999995E-7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3.9999999999999998E-6</c:v>
                </c:pt>
                <c:pt idx="4">
                  <c:v>1.1193E-6</c:v>
                </c:pt>
                <c:pt idx="5">
                  <c:v>1.9622999999999998E-6</c:v>
                </c:pt>
                <c:pt idx="6">
                  <c:v>4.0636000000000004E-6</c:v>
                </c:pt>
                <c:pt idx="7">
                  <c:v>1.499E-6</c:v>
                </c:pt>
                <c:pt idx="8">
                  <c:v>2.4679999999999999E-6</c:v>
                </c:pt>
                <c:pt idx="9">
                  <c:v>2.9009999999999998E-6</c:v>
                </c:pt>
                <c:pt idx="10">
                  <c:v>2.1720000000000001E-6</c:v>
                </c:pt>
                <c:pt idx="11">
                  <c:v>1.065E-6</c:v>
                </c:pt>
                <c:pt idx="12">
                  <c:v>3.5039999999999998E-6</c:v>
                </c:pt>
                <c:pt idx="13">
                  <c:v>2.0600000000000002E-6</c:v>
                </c:pt>
                <c:pt idx="14">
                  <c:v>8.6600000000000005E-7</c:v>
                </c:pt>
                <c:pt idx="15">
                  <c:v>2.7959999999999999E-7</c:v>
                </c:pt>
                <c:pt idx="16">
                  <c:v>9.9999999999999995E-8</c:v>
                </c:pt>
                <c:pt idx="17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2B-41F7-9F91-90DC085A2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03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'R01'!$I$2:$I$301</c:f>
              <c:numCache>
                <c:formatCode>0.00</c:formatCode>
                <c:ptCount val="300"/>
                <c:pt idx="0">
                  <c:v>-395.20309049566214</c:v>
                </c:pt>
                <c:pt idx="1">
                  <c:v>-328.49027145603173</c:v>
                </c:pt>
                <c:pt idx="2">
                  <c:v>-261.77745241640133</c:v>
                </c:pt>
                <c:pt idx="3">
                  <c:v>-195.0646333767709</c:v>
                </c:pt>
                <c:pt idx="4">
                  <c:v>-128.35181433714052</c:v>
                </c:pt>
                <c:pt idx="5">
                  <c:v>-61.638995297510121</c:v>
                </c:pt>
                <c:pt idx="6">
                  <c:v>5.0738237421203394</c:v>
                </c:pt>
                <c:pt idx="7">
                  <c:v>71.786642781750743</c:v>
                </c:pt>
                <c:pt idx="8">
                  <c:v>138.49946182138109</c:v>
                </c:pt>
                <c:pt idx="9">
                  <c:v>205.21228086101149</c:v>
                </c:pt>
                <c:pt idx="10">
                  <c:v>271.9250999006419</c:v>
                </c:pt>
                <c:pt idx="11">
                  <c:v>338.63791894027241</c:v>
                </c:pt>
                <c:pt idx="12">
                  <c:v>405.35073797990282</c:v>
                </c:pt>
                <c:pt idx="13">
                  <c:v>472.06355701953322</c:v>
                </c:pt>
                <c:pt idx="14">
                  <c:v>538.77637605916357</c:v>
                </c:pt>
                <c:pt idx="15">
                  <c:v>605.48919509879397</c:v>
                </c:pt>
                <c:pt idx="16">
                  <c:v>672.20201413842437</c:v>
                </c:pt>
                <c:pt idx="17">
                  <c:v>738.91483317805478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'R01'!$J$2:$J$301</c:f>
              <c:numCache>
                <c:formatCode>0.0000</c:formatCode>
                <c:ptCount val="300"/>
                <c:pt idx="0">
                  <c:v>0.13423387780478155</c:v>
                </c:pt>
                <c:pt idx="1">
                  <c:v>0.13423387780478155</c:v>
                </c:pt>
                <c:pt idx="2">
                  <c:v>0.13423387780478155</c:v>
                </c:pt>
                <c:pt idx="3">
                  <c:v>0.98202679025603334</c:v>
                </c:pt>
                <c:pt idx="4">
                  <c:v>0.16794777595659302</c:v>
                </c:pt>
                <c:pt idx="5">
                  <c:v>0.40617758435539469</c:v>
                </c:pt>
                <c:pt idx="6">
                  <c:v>1</c:v>
                </c:pt>
                <c:pt idx="7">
                  <c:v>0.27525009890917307</c:v>
                </c:pt>
                <c:pt idx="8">
                  <c:v>0.54908720963092739</c:v>
                </c:pt>
                <c:pt idx="9">
                  <c:v>0.67145198666139139</c:v>
                </c:pt>
                <c:pt idx="10">
                  <c:v>0.46543830893573729</c:v>
                </c:pt>
                <c:pt idx="11">
                  <c:v>0.15260272424122534</c:v>
                </c:pt>
                <c:pt idx="12">
                  <c:v>0.84185836206409304</c:v>
                </c:pt>
                <c:pt idx="13">
                  <c:v>0.4337873735375572</c:v>
                </c:pt>
                <c:pt idx="14">
                  <c:v>9.6365794381958983E-2</c:v>
                </c:pt>
                <c:pt idx="15">
                  <c:v>-6.9349460238512392E-2</c:v>
                </c:pt>
                <c:pt idx="16">
                  <c:v>-0.120103995930594</c:v>
                </c:pt>
                <c:pt idx="17">
                  <c:v>-0.14836375967896906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D-4560-AA23-173F13866F52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'R01'!$L$23:$L$24</c:f>
              <c:numCache>
                <c:formatCode>0.00</c:formatCode>
                <c:ptCount val="2"/>
                <c:pt idx="0">
                  <c:v>-51.098541330367254</c:v>
                </c:pt>
                <c:pt idx="1">
                  <c:v>51.098541330367254</c:v>
                </c:pt>
              </c:numCache>
            </c:numRef>
          </c:xVal>
          <c:yVal>
            <c:numRef>
              <c:f>'R01'!$M$23:$M$24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1D-4560-AA23-173F13866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4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'R02'!$A$2:$A$301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'R02'!$B$2:$B$301</c:f>
              <c:numCache>
                <c:formatCode>0.00E+00</c:formatCode>
                <c:ptCount val="300"/>
                <c:pt idx="0" formatCode="General">
                  <c:v>0</c:v>
                </c:pt>
                <c:pt idx="1">
                  <c:v>1.9969999999999999E-8</c:v>
                </c:pt>
                <c:pt idx="2">
                  <c:v>2.0970000000000001E-7</c:v>
                </c:pt>
                <c:pt idx="3">
                  <c:v>1.359E-6</c:v>
                </c:pt>
                <c:pt idx="4">
                  <c:v>3.8680000000000001E-6</c:v>
                </c:pt>
                <c:pt idx="5">
                  <c:v>9.4879999999999996E-6</c:v>
                </c:pt>
                <c:pt idx="6">
                  <c:v>1.502E-5</c:v>
                </c:pt>
                <c:pt idx="7">
                  <c:v>2.798E-5</c:v>
                </c:pt>
                <c:pt idx="8">
                  <c:v>3.3460000000000002E-5</c:v>
                </c:pt>
                <c:pt idx="9">
                  <c:v>1.755E-5</c:v>
                </c:pt>
                <c:pt idx="10">
                  <c:v>9.5149999999999995E-6</c:v>
                </c:pt>
                <c:pt idx="11">
                  <c:v>2.604E-6</c:v>
                </c:pt>
                <c:pt idx="12">
                  <c:v>1.3979999999999999E-7</c:v>
                </c:pt>
                <c:pt idx="13">
                  <c:v>-1.3979999999999999E-7</c:v>
                </c:pt>
                <c:pt idx="14">
                  <c:v>-1.3979999999999999E-7</c:v>
                </c:pt>
                <c:pt idx="15">
                  <c:v>-1.119E-7</c:v>
                </c:pt>
                <c:pt idx="16">
                  <c:v>5.5929999999999999E-8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1C-401F-8BC5-063063F4C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'R02'!$I$2:$I$301</c:f>
              <c:numCache>
                <c:formatCode>0.00</c:formatCode>
                <c:ptCount val="300"/>
                <c:pt idx="0">
                  <c:v>-508.15857375146174</c:v>
                </c:pt>
                <c:pt idx="1">
                  <c:v>-441.44575471183134</c:v>
                </c:pt>
                <c:pt idx="2">
                  <c:v>-374.73293567220094</c:v>
                </c:pt>
                <c:pt idx="3">
                  <c:v>-308.02011663257053</c:v>
                </c:pt>
                <c:pt idx="4">
                  <c:v>-241.30729759294013</c:v>
                </c:pt>
                <c:pt idx="5">
                  <c:v>-174.59447855330973</c:v>
                </c:pt>
                <c:pt idx="6">
                  <c:v>-107.88165951367927</c:v>
                </c:pt>
                <c:pt idx="7">
                  <c:v>-41.168840474048864</c:v>
                </c:pt>
                <c:pt idx="8">
                  <c:v>25.543978565581483</c:v>
                </c:pt>
                <c:pt idx="9">
                  <c:v>92.256797605211887</c:v>
                </c:pt>
                <c:pt idx="10">
                  <c:v>158.96961664484229</c:v>
                </c:pt>
                <c:pt idx="11">
                  <c:v>225.68243568447281</c:v>
                </c:pt>
                <c:pt idx="12">
                  <c:v>292.39525472410321</c:v>
                </c:pt>
                <c:pt idx="13">
                  <c:v>359.10807376373361</c:v>
                </c:pt>
                <c:pt idx="14">
                  <c:v>425.82089280336402</c:v>
                </c:pt>
                <c:pt idx="15">
                  <c:v>492.53371184299442</c:v>
                </c:pt>
                <c:pt idx="16">
                  <c:v>559.24653088262471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'R02'!$J$2:$J$301</c:f>
              <c:numCache>
                <c:formatCode>0.0000</c:formatCode>
                <c:ptCount val="300"/>
                <c:pt idx="0">
                  <c:v>2.6890555439361798E-4</c:v>
                </c:pt>
                <c:pt idx="1">
                  <c:v>8.6557710119812364E-4</c:v>
                </c:pt>
                <c:pt idx="2">
                  <c:v>6.5344049717649174E-3</c:v>
                </c:pt>
                <c:pt idx="3">
                  <c:v>4.0873644267829932E-2</c:v>
                </c:pt>
                <c:pt idx="4">
                  <c:v>0.1158385371537841</c:v>
                </c:pt>
                <c:pt idx="5">
                  <c:v>0.2837551166751322</c:v>
                </c:pt>
                <c:pt idx="6">
                  <c:v>0.44904239744240937</c:v>
                </c:pt>
                <c:pt idx="7">
                  <c:v>0.83626639576921924</c:v>
                </c:pt>
                <c:pt idx="8">
                  <c:v>1</c:v>
                </c:pt>
                <c:pt idx="9">
                  <c:v>0.52463473662194859</c:v>
                </c:pt>
                <c:pt idx="10">
                  <c:v>0.28456183333831303</c:v>
                </c:pt>
                <c:pt idx="11">
                  <c:v>7.8072245958947073E-2</c:v>
                </c:pt>
                <c:pt idx="12">
                  <c:v>4.4459051659744842E-3</c:v>
                </c:pt>
                <c:pt idx="13">
                  <c:v>-3.9080940571872471E-3</c:v>
                </c:pt>
                <c:pt idx="14">
                  <c:v>-3.9080940571872471E-3</c:v>
                </c:pt>
                <c:pt idx="15">
                  <c:v>-3.0744868385670322E-3</c:v>
                </c:pt>
                <c:pt idx="16">
                  <c:v>1.9400041829752905E-3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3-4B22-B240-FDC5F97A3E30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'R02'!$L$23:$L$24</c:f>
              <c:numCache>
                <c:formatCode>0.00</c:formatCode>
                <c:ptCount val="2"/>
                <c:pt idx="0">
                  <c:v>-99.102437841450126</c:v>
                </c:pt>
                <c:pt idx="1">
                  <c:v>99.102437841450183</c:v>
                </c:pt>
              </c:numCache>
            </c:numRef>
          </c:xVal>
          <c:yVal>
            <c:numRef>
              <c:f>'R02'!$M$23:$M$24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63-4B22-B240-FDC5F97A3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0001"/>
        <c:axId val="50060002"/>
      </c:scatterChart>
      <c:valAx>
        <c:axId val="500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6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'R03'!$A$2:$A$301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'R03'!$B$2:$B$301</c:f>
              <c:numCache>
                <c:formatCode>0.00E+00</c:formatCode>
                <c:ptCount val="300"/>
                <c:pt idx="0" formatCode="General">
                  <c:v>0</c:v>
                </c:pt>
                <c:pt idx="1">
                  <c:v>-8.3890000000000005E-8</c:v>
                </c:pt>
                <c:pt idx="2">
                  <c:v>1.258E-7</c:v>
                </c:pt>
                <c:pt idx="3">
                  <c:v>1.372E-6</c:v>
                </c:pt>
                <c:pt idx="4">
                  <c:v>3.5870000000000001E-6</c:v>
                </c:pt>
                <c:pt idx="5">
                  <c:v>1.186E-5</c:v>
                </c:pt>
                <c:pt idx="6">
                  <c:v>2.6380000000000002E-5</c:v>
                </c:pt>
                <c:pt idx="7">
                  <c:v>3.4929999999999999E-5</c:v>
                </c:pt>
                <c:pt idx="8">
                  <c:v>3.2709999999999997E-5</c:v>
                </c:pt>
                <c:pt idx="9">
                  <c:v>1.9729999999999999E-5</c:v>
                </c:pt>
                <c:pt idx="10">
                  <c:v>7.0480000000000001E-6</c:v>
                </c:pt>
                <c:pt idx="11">
                  <c:v>8.3890000000000003E-7</c:v>
                </c:pt>
                <c:pt idx="12" formatCode="General">
                  <c:v>0</c:v>
                </c:pt>
                <c:pt idx="13">
                  <c:v>-1.275E-7</c:v>
                </c:pt>
                <c:pt idx="14">
                  <c:v>-3.8169999999999998E-7</c:v>
                </c:pt>
                <c:pt idx="15">
                  <c:v>-3.5339999999999997E-7</c:v>
                </c:pt>
                <c:pt idx="16">
                  <c:v>-1.4189999999999999E-7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B0-43EA-AB5D-6D1F3B3F3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70001"/>
        <c:axId val="50070002"/>
      </c:scatterChart>
      <c:valAx>
        <c:axId val="500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2"/>
        <c:crosses val="autoZero"/>
        <c:crossBetween val="midCat"/>
      </c:valAx>
      <c:valAx>
        <c:axId val="5007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'R03'!$I$2:$I$301</c:f>
              <c:numCache>
                <c:formatCode>0.00</c:formatCode>
                <c:ptCount val="300"/>
                <c:pt idx="0">
                  <c:v>-485.84749633929374</c:v>
                </c:pt>
                <c:pt idx="1">
                  <c:v>-419.13467729966334</c:v>
                </c:pt>
                <c:pt idx="2">
                  <c:v>-352.42185826003293</c:v>
                </c:pt>
                <c:pt idx="3">
                  <c:v>-285.70903922040247</c:v>
                </c:pt>
                <c:pt idx="4">
                  <c:v>-218.99622018077213</c:v>
                </c:pt>
                <c:pt idx="5">
                  <c:v>-152.28340114114172</c:v>
                </c:pt>
                <c:pt idx="6">
                  <c:v>-85.570582101511263</c:v>
                </c:pt>
                <c:pt idx="7">
                  <c:v>-18.85776306188086</c:v>
                </c:pt>
                <c:pt idx="8">
                  <c:v>47.855055977749487</c:v>
                </c:pt>
                <c:pt idx="9">
                  <c:v>114.56787501737989</c:v>
                </c:pt>
                <c:pt idx="10">
                  <c:v>181.28069405701029</c:v>
                </c:pt>
                <c:pt idx="11">
                  <c:v>247.99351309664081</c:v>
                </c:pt>
                <c:pt idx="12">
                  <c:v>314.70633213627121</c:v>
                </c:pt>
                <c:pt idx="13">
                  <c:v>381.41915117590162</c:v>
                </c:pt>
                <c:pt idx="14">
                  <c:v>448.13197021553202</c:v>
                </c:pt>
                <c:pt idx="15">
                  <c:v>514.84478925516237</c:v>
                </c:pt>
                <c:pt idx="16">
                  <c:v>581.55760829479277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'R03'!$J$2:$J$301</c:f>
              <c:numCache>
                <c:formatCode>0.0000</c:formatCode>
                <c:ptCount val="300"/>
                <c:pt idx="0">
                  <c:v>4.1282490654436415E-3</c:v>
                </c:pt>
                <c:pt idx="1">
                  <c:v>1.7365032542240614E-3</c:v>
                </c:pt>
                <c:pt idx="2">
                  <c:v>7.7148699147871055E-3</c:v>
                </c:pt>
                <c:pt idx="3">
                  <c:v>4.3244654512973303E-2</c:v>
                </c:pt>
                <c:pt idx="4">
                  <c:v>0.10639541112104782</c:v>
                </c:pt>
                <c:pt idx="5">
                  <c:v>0.34226277428971613</c:v>
                </c:pt>
                <c:pt idx="6">
                  <c:v>0.75623522844287272</c:v>
                </c:pt>
                <c:pt idx="7">
                  <c:v>1</c:v>
                </c:pt>
                <c:pt idx="8">
                  <c:v>0.93670669089393876</c:v>
                </c:pt>
                <c:pt idx="9">
                  <c:v>0.56664040612066247</c:v>
                </c:pt>
                <c:pt idx="10">
                  <c:v>0.20507025022738903</c:v>
                </c:pt>
                <c:pt idx="11">
                  <c:v>2.8045707177639444E-2</c:v>
                </c:pt>
                <c:pt idx="12">
                  <c:v>4.1282490654436415E-3</c:v>
                </c:pt>
                <c:pt idx="13">
                  <c:v>4.9316036678472583E-4</c:v>
                </c:pt>
                <c:pt idx="14">
                  <c:v>-6.7542086308552459E-3</c:v>
                </c:pt>
                <c:pt idx="15">
                  <c:v>-5.9473614922509526E-3</c:v>
                </c:pt>
                <c:pt idx="16">
                  <c:v>8.2609172583248414E-5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D-4032-A6E4-A3D4B8A43E9E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'R03'!$L$23:$L$24</c:f>
              <c:numCache>
                <c:formatCode>0.00</c:formatCode>
                <c:ptCount val="2"/>
                <c:pt idx="0">
                  <c:v>-126.86360596141145</c:v>
                </c:pt>
                <c:pt idx="1">
                  <c:v>126.86360596141145</c:v>
                </c:pt>
              </c:numCache>
            </c:numRef>
          </c:xVal>
          <c:yVal>
            <c:numRef>
              <c:f>'R03'!$M$23:$M$24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BD-4032-A6E4-A3D4B8A43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0001"/>
        <c:axId val="50080002"/>
      </c:scatterChart>
      <c:val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8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'R04'!$A$2:$A$301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'R04'!$B$2:$B$301</c:f>
              <c:numCache>
                <c:formatCode>0.00E+00</c:formatCode>
                <c:ptCount val="300"/>
                <c:pt idx="0" formatCode="General">
                  <c:v>0</c:v>
                </c:pt>
                <c:pt idx="1">
                  <c:v>1.4189999999999999E-7</c:v>
                </c:pt>
                <c:pt idx="2">
                  <c:v>6.1939999999999995E-7</c:v>
                </c:pt>
                <c:pt idx="3">
                  <c:v>1.502E-6</c:v>
                </c:pt>
                <c:pt idx="4">
                  <c:v>3.129E-6</c:v>
                </c:pt>
                <c:pt idx="5">
                  <c:v>1.168E-5</c:v>
                </c:pt>
                <c:pt idx="6">
                  <c:v>2.052E-5</c:v>
                </c:pt>
                <c:pt idx="7">
                  <c:v>3.1099999999999997E-5</c:v>
                </c:pt>
                <c:pt idx="8">
                  <c:v>2.8690000000000001E-5</c:v>
                </c:pt>
                <c:pt idx="9">
                  <c:v>1.7139999999999999E-5</c:v>
                </c:pt>
                <c:pt idx="10">
                  <c:v>8.2979999999999992E-6</c:v>
                </c:pt>
                <c:pt idx="11">
                  <c:v>1.9069999999999999E-6</c:v>
                </c:pt>
                <c:pt idx="12">
                  <c:v>8.991E-7</c:v>
                </c:pt>
                <c:pt idx="13">
                  <c:v>2.6689999999999999E-7</c:v>
                </c:pt>
                <c:pt idx="14">
                  <c:v>-5.5929999999999999E-8</c:v>
                </c:pt>
                <c:pt idx="15">
                  <c:v>-1.119E-7</c:v>
                </c:pt>
                <c:pt idx="16">
                  <c:v>-5.5929999999999999E-8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D1-4989-B53C-56FC78E19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0001"/>
        <c:axId val="50090002"/>
      </c:scatterChart>
      <c:valAx>
        <c:axId val="500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'R04'!$I$2:$I$301</c:f>
              <c:numCache>
                <c:formatCode>0.00</c:formatCode>
                <c:ptCount val="300"/>
                <c:pt idx="0">
                  <c:v>-487.59086166946554</c:v>
                </c:pt>
                <c:pt idx="1">
                  <c:v>-420.87804262983514</c:v>
                </c:pt>
                <c:pt idx="2">
                  <c:v>-354.16522359020473</c:v>
                </c:pt>
                <c:pt idx="3">
                  <c:v>-287.45240455057433</c:v>
                </c:pt>
                <c:pt idx="4">
                  <c:v>-220.73958551094393</c:v>
                </c:pt>
                <c:pt idx="5">
                  <c:v>-154.02676647131352</c:v>
                </c:pt>
                <c:pt idx="6">
                  <c:v>-87.313947431683061</c:v>
                </c:pt>
                <c:pt idx="7">
                  <c:v>-20.601128392052658</c:v>
                </c:pt>
                <c:pt idx="8">
                  <c:v>46.111690647577689</c:v>
                </c:pt>
                <c:pt idx="9">
                  <c:v>112.82450968720809</c:v>
                </c:pt>
                <c:pt idx="10">
                  <c:v>179.5373287268385</c:v>
                </c:pt>
                <c:pt idx="11">
                  <c:v>246.25014776646901</c:v>
                </c:pt>
                <c:pt idx="12">
                  <c:v>312.96296680609942</c:v>
                </c:pt>
                <c:pt idx="13">
                  <c:v>379.67578584572982</c:v>
                </c:pt>
                <c:pt idx="14">
                  <c:v>446.38860488536022</c:v>
                </c:pt>
                <c:pt idx="15">
                  <c:v>513.10142392499063</c:v>
                </c:pt>
                <c:pt idx="16">
                  <c:v>579.81424296462092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'R04'!$J$2:$J$301</c:f>
              <c:numCache>
                <c:formatCode>0.0000</c:formatCode>
                <c:ptCount val="300"/>
                <c:pt idx="0">
                  <c:v>2.0839707607570219E-4</c:v>
                </c:pt>
                <c:pt idx="1">
                  <c:v>4.7701471871658902E-3</c:v>
                </c:pt>
                <c:pt idx="2">
                  <c:v>2.0120645270644149E-2</c:v>
                </c:pt>
                <c:pt idx="3">
                  <c:v>4.8494152304105739E-2</c:v>
                </c:pt>
                <c:pt idx="4">
                  <c:v>0.10079836252781071</c:v>
                </c:pt>
                <c:pt idx="5">
                  <c:v>0.3756928318719418</c:v>
                </c:pt>
                <c:pt idx="6">
                  <c:v>0.65987796916607333</c:v>
                </c:pt>
                <c:pt idx="7">
                  <c:v>1</c:v>
                </c:pt>
                <c:pt idx="8">
                  <c:v>0.92252418768338729</c:v>
                </c:pt>
                <c:pt idx="9">
                  <c:v>0.55121894608302302</c:v>
                </c:pt>
                <c:pt idx="10">
                  <c:v>0.26696951350896064</c:v>
                </c:pt>
                <c:pt idx="11">
                  <c:v>6.1513946490092543E-2</c:v>
                </c:pt>
                <c:pt idx="12">
                  <c:v>2.911234016896639E-2</c:v>
                </c:pt>
                <c:pt idx="13">
                  <c:v>8.7886021828408271E-3</c:v>
                </c:pt>
                <c:pt idx="14">
                  <c:v>-1.5896204271890915E-3</c:v>
                </c:pt>
                <c:pt idx="15">
                  <c:v>-3.3889238360525018E-3</c:v>
                </c:pt>
                <c:pt idx="16">
                  <c:v>-1.5896204271890915E-3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CA-4D09-8177-49CEA5C4CC56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'R04'!$L$23:$L$24</c:f>
              <c:numCache>
                <c:formatCode>0.00</c:formatCode>
                <c:ptCount val="2"/>
                <c:pt idx="0">
                  <c:v>-124.84550213209883</c:v>
                </c:pt>
                <c:pt idx="1">
                  <c:v>124.84550213209889</c:v>
                </c:pt>
              </c:numCache>
            </c:numRef>
          </c:xVal>
          <c:yVal>
            <c:numRef>
              <c:f>'R04'!$M$23:$M$24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CA-4D09-8177-49CEA5C4C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0001"/>
        <c:axId val="50100002"/>
      </c:scatterChart>
      <c:valAx>
        <c:axId val="50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0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'R05'!$A$2:$A$301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'R05'!$B$2:$B$301</c:f>
              <c:numCache>
                <c:formatCode>0.00E+00</c:formatCode>
                <c:ptCount val="300"/>
                <c:pt idx="0" formatCode="General">
                  <c:v>0</c:v>
                </c:pt>
                <c:pt idx="1">
                  <c:v>6.2139999999999999E-8</c:v>
                </c:pt>
                <c:pt idx="2">
                  <c:v>2.656E-7</c:v>
                </c:pt>
                <c:pt idx="3">
                  <c:v>1.2470000000000001E-6</c:v>
                </c:pt>
                <c:pt idx="4">
                  <c:v>3.546E-6</c:v>
                </c:pt>
                <c:pt idx="5">
                  <c:v>1.206E-5</c:v>
                </c:pt>
                <c:pt idx="6">
                  <c:v>2.8099999999999999E-5</c:v>
                </c:pt>
                <c:pt idx="7">
                  <c:v>3.7119999999999997E-5</c:v>
                </c:pt>
                <c:pt idx="8">
                  <c:v>3.3229999999999999E-5</c:v>
                </c:pt>
                <c:pt idx="9">
                  <c:v>2.0599999999999999E-5</c:v>
                </c:pt>
                <c:pt idx="10">
                  <c:v>6.9659999999999999E-6</c:v>
                </c:pt>
                <c:pt idx="11">
                  <c:v>1.8369999999999999E-6</c:v>
                </c:pt>
                <c:pt idx="12">
                  <c:v>7.1559999999999998E-7</c:v>
                </c:pt>
                <c:pt idx="13">
                  <c:v>2.1010000000000001E-7</c:v>
                </c:pt>
                <c:pt idx="14" formatCode="General">
                  <c:v>0</c:v>
                </c:pt>
                <c:pt idx="15">
                  <c:v>6.9909999999999995E-8</c:v>
                </c:pt>
                <c:pt idx="16">
                  <c:v>3.0759999999999998E-7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B-4DBB-AA27-A5F8922C5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10001"/>
        <c:axId val="50110002"/>
      </c:scatterChart>
      <c:valAx>
        <c:axId val="501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2"/>
        <c:crosses val="autoZero"/>
        <c:crossBetween val="midCat"/>
      </c:valAx>
      <c:valAx>
        <c:axId val="5011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1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'R05'!$I$2:$I$301</c:f>
              <c:numCache>
                <c:formatCode>0.00</c:formatCode>
                <c:ptCount val="300"/>
                <c:pt idx="0">
                  <c:v>-485.47779742148657</c:v>
                </c:pt>
                <c:pt idx="1">
                  <c:v>-418.76497838185617</c:v>
                </c:pt>
                <c:pt idx="2">
                  <c:v>-352.05215934222576</c:v>
                </c:pt>
                <c:pt idx="3">
                  <c:v>-285.33934030259536</c:v>
                </c:pt>
                <c:pt idx="4">
                  <c:v>-218.62652126296496</c:v>
                </c:pt>
                <c:pt idx="5">
                  <c:v>-151.91370222333455</c:v>
                </c:pt>
                <c:pt idx="6">
                  <c:v>-85.200883183704093</c:v>
                </c:pt>
                <c:pt idx="7">
                  <c:v>-18.488064144073689</c:v>
                </c:pt>
                <c:pt idx="8">
                  <c:v>48.224754895556657</c:v>
                </c:pt>
                <c:pt idx="9">
                  <c:v>114.93757393518706</c:v>
                </c:pt>
                <c:pt idx="10">
                  <c:v>181.65039297481746</c:v>
                </c:pt>
                <c:pt idx="11">
                  <c:v>248.36321201444798</c:v>
                </c:pt>
                <c:pt idx="12">
                  <c:v>315.07603105407838</c:v>
                </c:pt>
                <c:pt idx="13">
                  <c:v>381.78885009370879</c:v>
                </c:pt>
                <c:pt idx="14">
                  <c:v>448.50166913333919</c:v>
                </c:pt>
                <c:pt idx="15">
                  <c:v>515.2144881729696</c:v>
                </c:pt>
                <c:pt idx="16">
                  <c:v>581.92730721259989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'R05'!$J$2:$J$301</c:f>
              <c:numCache>
                <c:formatCode>0.0000</c:formatCode>
                <c:ptCount val="300"/>
                <c:pt idx="0">
                  <c:v>-2.9697984367099916E-3</c:v>
                </c:pt>
                <c:pt idx="1">
                  <c:v>-1.2907967321071584E-3</c:v>
                </c:pt>
                <c:pt idx="2">
                  <c:v>4.206623396931986E-3</c:v>
                </c:pt>
                <c:pt idx="3">
                  <c:v>3.0723718229523241E-2</c:v>
                </c:pt>
                <c:pt idx="4">
                  <c:v>9.2841917760934783E-2</c:v>
                </c:pt>
                <c:pt idx="5">
                  <c:v>0.32288730741314786</c:v>
                </c:pt>
                <c:pt idx="6">
                  <c:v>0.75628266212556239</c:v>
                </c:pt>
                <c:pt idx="7">
                  <c:v>1</c:v>
                </c:pt>
                <c:pt idx="8">
                  <c:v>0.894893520584084</c:v>
                </c:pt>
                <c:pt idx="9">
                  <c:v>0.55363520823883494</c:v>
                </c:pt>
                <c:pt idx="10">
                  <c:v>0.18524915673328254</c:v>
                </c:pt>
                <c:pt idx="11">
                  <c:v>4.6665317935279137E-2</c:v>
                </c:pt>
                <c:pt idx="12">
                  <c:v>1.6365470630135635E-2</c:v>
                </c:pt>
                <c:pt idx="13">
                  <c:v>2.7070322381702026E-3</c:v>
                </c:pt>
                <c:pt idx="14">
                  <c:v>-2.9697984367099916E-3</c:v>
                </c:pt>
                <c:pt idx="15">
                  <c:v>-1.0808539698805087E-3</c:v>
                </c:pt>
                <c:pt idx="16">
                  <c:v>5.34144913869766E-3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58-4262-B61B-85406814CD70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'R05'!$L$23:$L$24</c:f>
              <c:numCache>
                <c:formatCode>0.00</c:formatCode>
                <c:ptCount val="2"/>
                <c:pt idx="0">
                  <c:v>-124.65063426080684</c:v>
                </c:pt>
                <c:pt idx="1">
                  <c:v>124.65063426080678</c:v>
                </c:pt>
              </c:numCache>
            </c:numRef>
          </c:xVal>
          <c:yVal>
            <c:numRef>
              <c:f>'R05'!$M$23:$M$24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58-4262-B61B-85406814C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0001"/>
        <c:axId val="50120002"/>
      </c:scatterChart>
      <c:valAx>
        <c:axId val="501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120002"/>
        <c:crosses val="autoZero"/>
        <c:crossBetween val="midCat"/>
      </c:valAx>
      <c:valAx>
        <c:axId val="5012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2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'R06'!$A$2:$A$301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'R06'!$B$2:$B$301</c:f>
              <c:numCache>
                <c:formatCode>0.00E+00</c:formatCode>
                <c:ptCount val="300"/>
                <c:pt idx="0">
                  <c:v>-4.0790000000000002E-6</c:v>
                </c:pt>
                <c:pt idx="1">
                  <c:v>-9.9439999999999996E-7</c:v>
                </c:pt>
                <c:pt idx="2">
                  <c:v>4.08E-7</c:v>
                </c:pt>
                <c:pt idx="3">
                  <c:v>1.122E-6</c:v>
                </c:pt>
                <c:pt idx="4">
                  <c:v>3.1970000000000001E-6</c:v>
                </c:pt>
                <c:pt idx="5">
                  <c:v>7.3599999999999998E-6</c:v>
                </c:pt>
                <c:pt idx="6">
                  <c:v>1.9709999999999999E-5</c:v>
                </c:pt>
                <c:pt idx="7">
                  <c:v>2.7840000000000001E-5</c:v>
                </c:pt>
                <c:pt idx="8">
                  <c:v>2.6169999999999998E-5</c:v>
                </c:pt>
                <c:pt idx="9">
                  <c:v>1.358E-5</c:v>
                </c:pt>
                <c:pt idx="10">
                  <c:v>7.1770000000000001E-6</c:v>
                </c:pt>
                <c:pt idx="11">
                  <c:v>2.159E-6</c:v>
                </c:pt>
                <c:pt idx="12">
                  <c:v>9.540000000000001E-7</c:v>
                </c:pt>
                <c:pt idx="13">
                  <c:v>2.5269999999999998E-7</c:v>
                </c:pt>
                <c:pt idx="14">
                  <c:v>-2.775E-8</c:v>
                </c:pt>
                <c:pt idx="15">
                  <c:v>-1.5379999999999999E-7</c:v>
                </c:pt>
                <c:pt idx="16">
                  <c:v>-1.9570000000000001E-7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D3-4A0A-B96D-E65148BAC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0001"/>
        <c:axId val="50130002"/>
      </c:scatterChart>
      <c:valAx>
        <c:axId val="501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2"/>
        <c:crosses val="autoZero"/>
        <c:crossBetween val="midCat"/>
      </c:valAx>
      <c:valAx>
        <c:axId val="5013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13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'R06'!$I$2:$I$301</c:f>
              <c:numCache>
                <c:formatCode>0.00</c:formatCode>
                <c:ptCount val="300"/>
                <c:pt idx="0">
                  <c:v>-484.63703241919256</c:v>
                </c:pt>
                <c:pt idx="1">
                  <c:v>-417.92421337956216</c:v>
                </c:pt>
                <c:pt idx="2">
                  <c:v>-351.21139433993176</c:v>
                </c:pt>
                <c:pt idx="3">
                  <c:v>-284.49857530030135</c:v>
                </c:pt>
                <c:pt idx="4">
                  <c:v>-217.78575626067095</c:v>
                </c:pt>
                <c:pt idx="5">
                  <c:v>-151.07293722104055</c:v>
                </c:pt>
                <c:pt idx="6">
                  <c:v>-84.360118181410087</c:v>
                </c:pt>
                <c:pt idx="7">
                  <c:v>-17.647299141779683</c:v>
                </c:pt>
                <c:pt idx="8">
                  <c:v>49.065519897850663</c:v>
                </c:pt>
                <c:pt idx="9">
                  <c:v>115.77833893748107</c:v>
                </c:pt>
                <c:pt idx="10">
                  <c:v>182.49115797711147</c:v>
                </c:pt>
                <c:pt idx="11">
                  <c:v>249.20397701674199</c:v>
                </c:pt>
                <c:pt idx="12">
                  <c:v>315.91679605637239</c:v>
                </c:pt>
                <c:pt idx="13">
                  <c:v>382.62961509600279</c:v>
                </c:pt>
                <c:pt idx="14">
                  <c:v>449.3424341356332</c:v>
                </c:pt>
                <c:pt idx="15">
                  <c:v>516.0552531752636</c:v>
                </c:pt>
                <c:pt idx="16">
                  <c:v>582.76807221489389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'R06'!$J$2:$J$301</c:f>
              <c:numCache>
                <c:formatCode>0.0000</c:formatCode>
                <c:ptCount val="300"/>
                <c:pt idx="0">
                  <c:v>-9.3276498528466076E-2</c:v>
                </c:pt>
                <c:pt idx="1">
                  <c:v>1.2375955726394878E-2</c:v>
                </c:pt>
                <c:pt idx="2">
                  <c:v>6.0410385424578425E-2</c:v>
                </c:pt>
                <c:pt idx="3">
                  <c:v>8.4866020624594862E-2</c:v>
                </c:pt>
                <c:pt idx="4">
                  <c:v>0.15593806970027288</c:v>
                </c:pt>
                <c:pt idx="5">
                  <c:v>0.29852743852053681</c:v>
                </c:pt>
                <c:pt idx="6">
                  <c:v>0.72153457398300602</c:v>
                </c:pt>
                <c:pt idx="7">
                  <c:v>1</c:v>
                </c:pt>
                <c:pt idx="8">
                  <c:v>0.94279984484029755</c:v>
                </c:pt>
                <c:pt idx="9">
                  <c:v>0.511572327797991</c:v>
                </c:pt>
                <c:pt idx="10">
                  <c:v>0.29225939756591079</c:v>
                </c:pt>
                <c:pt idx="11">
                  <c:v>0.12038491936747589</c:v>
                </c:pt>
                <c:pt idx="12">
                  <c:v>7.9111753518708652E-2</c:v>
                </c:pt>
                <c:pt idx="13">
                  <c:v>5.5091113510625268E-2</c:v>
                </c:pt>
                <c:pt idx="14">
                  <c:v>4.5485255118686035E-2</c:v>
                </c:pt>
                <c:pt idx="15">
                  <c:v>4.1167842209775582E-2</c:v>
                </c:pt>
                <c:pt idx="16">
                  <c:v>3.9732700592295618E-2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0-4768-9DCE-69AC76812728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'R06'!$L$23:$L$24</c:f>
              <c:numCache>
                <c:formatCode>0.00</c:formatCode>
                <c:ptCount val="2"/>
                <c:pt idx="0">
                  <c:v>-119.29852632195355</c:v>
                </c:pt>
                <c:pt idx="1">
                  <c:v>119.29852632195355</c:v>
                </c:pt>
              </c:numCache>
            </c:numRef>
          </c:xVal>
          <c:yVal>
            <c:numRef>
              <c:f>'R06'!$M$23:$M$24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80-4768-9DCE-69AC76812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40001"/>
        <c:axId val="50140002"/>
      </c:scatterChart>
      <c:valAx>
        <c:axId val="501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140002"/>
        <c:crosses val="autoZero"/>
        <c:crossBetween val="midCat"/>
      </c:valAx>
      <c:valAx>
        <c:axId val="5014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4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'R07'!$A$2:$A$301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'R07'!$B$2:$B$301</c:f>
              <c:numCache>
                <c:formatCode>0.00E+00</c:formatCode>
                <c:ptCount val="300"/>
                <c:pt idx="0">
                  <c:v>-8.3890000000000005E-8</c:v>
                </c:pt>
                <c:pt idx="1">
                  <c:v>1.462E-8</c:v>
                </c:pt>
                <c:pt idx="2">
                  <c:v>2.671E-7</c:v>
                </c:pt>
                <c:pt idx="3">
                  <c:v>1.0240000000000001E-6</c:v>
                </c:pt>
                <c:pt idx="4">
                  <c:v>3.0979999999999998E-6</c:v>
                </c:pt>
                <c:pt idx="5">
                  <c:v>1.043E-5</c:v>
                </c:pt>
                <c:pt idx="6">
                  <c:v>1.9959999999999999E-5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F2-4601-9120-10F8C093A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50001"/>
        <c:axId val="50150002"/>
      </c:scatterChart>
      <c:valAx>
        <c:axId val="501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50002"/>
        <c:crosses val="autoZero"/>
        <c:crossBetween val="midCat"/>
      </c:valAx>
      <c:valAx>
        <c:axId val="5015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15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'R07'!$I$2:$I$301</c:f>
              <c:numCache>
                <c:formatCode>0.00</c:formatCode>
                <c:ptCount val="3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'R07'!$J$2:$J$301</c:f>
              <c:numCache>
                <c:formatCode>0.0000</c:formatCode>
                <c:ptCount val="3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3-4CE8-9CDC-446407531435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'R07'!$L$23:$L$24</c:f>
              <c:numCache>
                <c:formatCode>0.00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'R07'!$M$23:$M$24</c:f>
              <c:numCache>
                <c:formatCode>0.00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13-4CE8-9CDC-446407531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60001"/>
        <c:axId val="50160002"/>
      </c:scatterChart>
      <c:valAx>
        <c:axId val="501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160002"/>
        <c:crosses val="autoZero"/>
        <c:crossBetween val="midCat"/>
      </c:valAx>
      <c:valAx>
        <c:axId val="5016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6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'R08'!$A$2:$A$301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'R08'!$B$2:$B$301</c:f>
              <c:numCache>
                <c:formatCode>0.00E+00</c:formatCode>
                <c:ptCount val="300"/>
                <c:pt idx="0">
                  <c:v>1.3979999999999999E-7</c:v>
                </c:pt>
                <c:pt idx="1">
                  <c:v>2.5170000000000001E-7</c:v>
                </c:pt>
                <c:pt idx="2">
                  <c:v>6.9910000000000001E-7</c:v>
                </c:pt>
                <c:pt idx="3">
                  <c:v>2.5210000000000001E-6</c:v>
                </c:pt>
                <c:pt idx="4">
                  <c:v>6.6019999999999996E-6</c:v>
                </c:pt>
                <c:pt idx="5">
                  <c:v>2.033E-5</c:v>
                </c:pt>
                <c:pt idx="6">
                  <c:v>3.5330000000000002E-5</c:v>
                </c:pt>
                <c:pt idx="7">
                  <c:v>4.015E-5</c:v>
                </c:pt>
                <c:pt idx="8">
                  <c:v>3.0670000000000003E-5</c:v>
                </c:pt>
                <c:pt idx="9">
                  <c:v>1.4579999999999999E-5</c:v>
                </c:pt>
                <c:pt idx="10">
                  <c:v>4.3290000000000004E-6</c:v>
                </c:pt>
                <c:pt idx="11">
                  <c:v>1.6819999999999999E-6</c:v>
                </c:pt>
                <c:pt idx="12">
                  <c:v>4.1940000000000001E-7</c:v>
                </c:pt>
                <c:pt idx="13">
                  <c:v>1.3979999999999999E-7</c:v>
                </c:pt>
                <c:pt idx="14">
                  <c:v>1.3979999999999999E-7</c:v>
                </c:pt>
                <c:pt idx="15">
                  <c:v>2.7959999999999999E-7</c:v>
                </c:pt>
                <c:pt idx="16">
                  <c:v>5.313E-7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9-46DA-B1AF-89C9D7A1E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70001"/>
        <c:axId val="50170002"/>
      </c:scatterChart>
      <c:valAx>
        <c:axId val="501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70002"/>
        <c:crosses val="autoZero"/>
        <c:crossBetween val="midCat"/>
      </c:valAx>
      <c:valAx>
        <c:axId val="5017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17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'R08'!$I$2:$I$301</c:f>
              <c:numCache>
                <c:formatCode>0.00</c:formatCode>
                <c:ptCount val="300"/>
                <c:pt idx="0">
                  <c:v>-455.03198002977649</c:v>
                </c:pt>
                <c:pt idx="1">
                  <c:v>-388.31916099014609</c:v>
                </c:pt>
                <c:pt idx="2">
                  <c:v>-321.60634195051568</c:v>
                </c:pt>
                <c:pt idx="3">
                  <c:v>-254.89352291088525</c:v>
                </c:pt>
                <c:pt idx="4">
                  <c:v>-188.18070387125488</c:v>
                </c:pt>
                <c:pt idx="5">
                  <c:v>-121.46788483162447</c:v>
                </c:pt>
                <c:pt idx="6">
                  <c:v>-54.755065791994014</c:v>
                </c:pt>
                <c:pt idx="7">
                  <c:v>11.95775324763639</c:v>
                </c:pt>
                <c:pt idx="8">
                  <c:v>78.670572287266737</c:v>
                </c:pt>
                <c:pt idx="9">
                  <c:v>145.38339132689714</c:v>
                </c:pt>
                <c:pt idx="10">
                  <c:v>212.09621036652754</c:v>
                </c:pt>
                <c:pt idx="11">
                  <c:v>278.80902940615806</c:v>
                </c:pt>
                <c:pt idx="12">
                  <c:v>345.52184844578846</c:v>
                </c:pt>
                <c:pt idx="13">
                  <c:v>412.23466748541887</c:v>
                </c:pt>
                <c:pt idx="14">
                  <c:v>478.94748652504927</c:v>
                </c:pt>
                <c:pt idx="15">
                  <c:v>545.66030556467967</c:v>
                </c:pt>
                <c:pt idx="16">
                  <c:v>612.37312460430996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'R08'!$J$2:$J$301</c:f>
              <c:numCache>
                <c:formatCode>0.0000</c:formatCode>
                <c:ptCount val="300"/>
                <c:pt idx="0">
                  <c:v>-4.0351924997616018E-3</c:v>
                </c:pt>
                <c:pt idx="1">
                  <c:v>-1.2271201072036209E-3</c:v>
                </c:pt>
                <c:pt idx="2">
                  <c:v>1.000015056688432E-2</c:v>
                </c:pt>
                <c:pt idx="3">
                  <c:v>5.5719784990489192E-2</c:v>
                </c:pt>
                <c:pt idx="4">
                  <c:v>0.15813036080844378</c:v>
                </c:pt>
                <c:pt idx="5">
                  <c:v>0.50262739213137464</c:v>
                </c:pt>
                <c:pt idx="6">
                  <c:v>0.87904460293003162</c:v>
                </c:pt>
                <c:pt idx="7">
                  <c:v>1</c:v>
                </c:pt>
                <c:pt idx="8">
                  <c:v>0.76210432277524898</c:v>
                </c:pt>
                <c:pt idx="9">
                  <c:v>0.35833412799188946</c:v>
                </c:pt>
                <c:pt idx="10">
                  <c:v>0.10109060613208731</c:v>
                </c:pt>
                <c:pt idx="11">
                  <c:v>3.4665515666484313E-2</c:v>
                </c:pt>
                <c:pt idx="12">
                  <c:v>2.9812243095253639E-3</c:v>
                </c:pt>
                <c:pt idx="13">
                  <c:v>-4.0351924997616018E-3</c:v>
                </c:pt>
                <c:pt idx="14">
                  <c:v>-4.0351924997616018E-3</c:v>
                </c:pt>
                <c:pt idx="15">
                  <c:v>-5.2698409511811953E-4</c:v>
                </c:pt>
                <c:pt idx="16">
                  <c:v>5.7892967020833448E-3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2F-408F-A92B-6AE49B434402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'R08'!$L$23:$L$24</c:f>
              <c:numCache>
                <c:formatCode>0.00</c:formatCode>
                <c:ptCount val="2"/>
                <c:pt idx="0">
                  <c:v>-121.97668670760419</c:v>
                </c:pt>
                <c:pt idx="1">
                  <c:v>121.97668670760413</c:v>
                </c:pt>
              </c:numCache>
            </c:numRef>
          </c:xVal>
          <c:yVal>
            <c:numRef>
              <c:f>'R08'!$M$23:$M$24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2F-408F-A92B-6AE49B434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80001"/>
        <c:axId val="50180002"/>
      </c:scatterChart>
      <c:valAx>
        <c:axId val="501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180002"/>
        <c:crosses val="autoZero"/>
        <c:crossBetween val="midCat"/>
      </c:valAx>
      <c:valAx>
        <c:axId val="5018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18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'R09'!$A$2:$A$301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'R09'!$B$2:$B$301</c:f>
              <c:numCache>
                <c:formatCode>0.00E+00</c:formatCode>
                <c:ptCount val="300"/>
                <c:pt idx="0" formatCode="General">
                  <c:v>0</c:v>
                </c:pt>
                <c:pt idx="1">
                  <c:v>4.6139999999999999E-7</c:v>
                </c:pt>
                <c:pt idx="2">
                  <c:v>1.626E-6</c:v>
                </c:pt>
                <c:pt idx="3">
                  <c:v>3.783E-6</c:v>
                </c:pt>
                <c:pt idx="4">
                  <c:v>7.9740000000000002E-6</c:v>
                </c:pt>
                <c:pt idx="5">
                  <c:v>1.491E-5</c:v>
                </c:pt>
                <c:pt idx="6">
                  <c:v>2.2289999999999998E-5</c:v>
                </c:pt>
                <c:pt idx="7">
                  <c:v>2.3070000000000001E-5</c:v>
                </c:pt>
                <c:pt idx="8">
                  <c:v>1.961E-5</c:v>
                </c:pt>
                <c:pt idx="9">
                  <c:v>1.274E-5</c:v>
                </c:pt>
                <c:pt idx="10">
                  <c:v>7.1330000000000001E-6</c:v>
                </c:pt>
                <c:pt idx="11">
                  <c:v>3.1530000000000001E-6</c:v>
                </c:pt>
                <c:pt idx="12">
                  <c:v>1.1629999999999999E-6</c:v>
                </c:pt>
                <c:pt idx="13">
                  <c:v>2.7959999999999999E-7</c:v>
                </c:pt>
                <c:pt idx="14">
                  <c:v>-1.54E-7</c:v>
                </c:pt>
                <c:pt idx="15">
                  <c:v>-2.9569999999999998E-7</c:v>
                </c:pt>
                <c:pt idx="16">
                  <c:v>-4.2160000000000002E-7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A-4CC8-90F2-BA99E6790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90001"/>
        <c:axId val="50190002"/>
      </c:scatterChart>
      <c:valAx>
        <c:axId val="501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90002"/>
        <c:crosses val="autoZero"/>
        <c:crossBetween val="midCat"/>
      </c:valAx>
      <c:valAx>
        <c:axId val="5019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9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'R09'!$I$2:$I$301</c:f>
              <c:numCache>
                <c:formatCode>0.00</c:formatCode>
                <c:ptCount val="300"/>
                <c:pt idx="0">
                  <c:v>-457.96386755564254</c:v>
                </c:pt>
                <c:pt idx="1">
                  <c:v>-391.25104851601213</c:v>
                </c:pt>
                <c:pt idx="2">
                  <c:v>-324.53822947638173</c:v>
                </c:pt>
                <c:pt idx="3">
                  <c:v>-257.82541043675133</c:v>
                </c:pt>
                <c:pt idx="4">
                  <c:v>-191.11259139712092</c:v>
                </c:pt>
                <c:pt idx="5">
                  <c:v>-124.39977235749052</c:v>
                </c:pt>
                <c:pt idx="6">
                  <c:v>-57.686953317860059</c:v>
                </c:pt>
                <c:pt idx="7">
                  <c:v>9.0258657217703444</c:v>
                </c:pt>
                <c:pt idx="8">
                  <c:v>75.738684761400691</c:v>
                </c:pt>
                <c:pt idx="9">
                  <c:v>142.45150380103109</c:v>
                </c:pt>
                <c:pt idx="10">
                  <c:v>209.1643228406615</c:v>
                </c:pt>
                <c:pt idx="11">
                  <c:v>275.87714188029202</c:v>
                </c:pt>
                <c:pt idx="12">
                  <c:v>342.58996091992242</c:v>
                </c:pt>
                <c:pt idx="13">
                  <c:v>409.30277995955282</c:v>
                </c:pt>
                <c:pt idx="14">
                  <c:v>476.01559899918323</c:v>
                </c:pt>
                <c:pt idx="15">
                  <c:v>542.72841803881363</c:v>
                </c:pt>
                <c:pt idx="16">
                  <c:v>609.44123707844392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'R09'!$J$2:$J$301</c:f>
              <c:numCache>
                <c:formatCode>0.0000</c:formatCode>
                <c:ptCount val="300"/>
                <c:pt idx="0">
                  <c:v>2.7654132071985036E-3</c:v>
                </c:pt>
                <c:pt idx="1">
                  <c:v>2.2710104943054536E-2</c:v>
                </c:pt>
                <c:pt idx="2">
                  <c:v>7.3051648063076055E-2</c:v>
                </c:pt>
                <c:pt idx="3">
                  <c:v>0.16629113673720144</c:v>
                </c:pt>
                <c:pt idx="4">
                  <c:v>0.34745325868122534</c:v>
                </c:pt>
                <c:pt idx="5">
                  <c:v>0.64727203171958125</c:v>
                </c:pt>
                <c:pt idx="6">
                  <c:v>0.96628335597319515</c:v>
                </c:pt>
                <c:pt idx="7">
                  <c:v>1</c:v>
                </c:pt>
                <c:pt idx="8">
                  <c:v>0.8504364252144303</c:v>
                </c:pt>
                <c:pt idx="9">
                  <c:v>0.55347059897834239</c:v>
                </c:pt>
                <c:pt idx="10">
                  <c:v>0.31109980018565764</c:v>
                </c:pt>
                <c:pt idx="11">
                  <c:v>0.13905846271555147</c:v>
                </c:pt>
                <c:pt idx="12">
                  <c:v>5.3037793980498377E-2</c:v>
                </c:pt>
                <c:pt idx="13">
                  <c:v>1.4851533296806968E-2</c:v>
                </c:pt>
                <c:pt idx="14">
                  <c:v>-3.8914626647603796E-3</c:v>
                </c:pt>
                <c:pt idx="15">
                  <c:v>-1.0016652996296572E-2</c:v>
                </c:pt>
                <c:pt idx="16">
                  <c:v>-1.5458865153956464E-2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7-4714-9EEE-E0B96D8CD599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'R09'!$L$23:$L$24</c:f>
              <c:numCache>
                <c:formatCode>0.00</c:formatCode>
                <c:ptCount val="2"/>
                <c:pt idx="0">
                  <c:v>-157.16934279546382</c:v>
                </c:pt>
                <c:pt idx="1">
                  <c:v>157.16934279546388</c:v>
                </c:pt>
              </c:numCache>
            </c:numRef>
          </c:xVal>
          <c:yVal>
            <c:numRef>
              <c:f>'R09'!$M$23:$M$24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7-4714-9EEE-E0B96D8CD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00001"/>
        <c:axId val="50200002"/>
      </c:scatterChart>
      <c:valAx>
        <c:axId val="502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200002"/>
        <c:crosses val="autoZero"/>
        <c:crossBetween val="midCat"/>
      </c:valAx>
      <c:valAx>
        <c:axId val="5020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20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'R10'!$A$2:$A$301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'R10'!$B$2:$B$301</c:f>
              <c:numCache>
                <c:formatCode>0.00E+00</c:formatCode>
                <c:ptCount val="300"/>
                <c:pt idx="0" formatCode="General">
                  <c:v>0</c:v>
                </c:pt>
                <c:pt idx="1">
                  <c:v>5.0460000000000001E-7</c:v>
                </c:pt>
                <c:pt idx="2">
                  <c:v>1.8080000000000001E-6</c:v>
                </c:pt>
                <c:pt idx="3">
                  <c:v>3.8970000000000001E-6</c:v>
                </c:pt>
                <c:pt idx="4">
                  <c:v>8.7180000000000002E-6</c:v>
                </c:pt>
                <c:pt idx="5">
                  <c:v>1.5679999999999999E-5</c:v>
                </c:pt>
                <c:pt idx="6">
                  <c:v>2.1460000000000001E-5</c:v>
                </c:pt>
                <c:pt idx="7">
                  <c:v>2.357E-5</c:v>
                </c:pt>
                <c:pt idx="8">
                  <c:v>1.9890000000000001E-5</c:v>
                </c:pt>
                <c:pt idx="9">
                  <c:v>1.1620000000000001E-5</c:v>
                </c:pt>
                <c:pt idx="10">
                  <c:v>7.0079999999999996E-6</c:v>
                </c:pt>
                <c:pt idx="11">
                  <c:v>2.7609999999999999E-6</c:v>
                </c:pt>
                <c:pt idx="12">
                  <c:v>1.1069999999999999E-6</c:v>
                </c:pt>
                <c:pt idx="13">
                  <c:v>6.9909999999999995E-8</c:v>
                </c:pt>
                <c:pt idx="14">
                  <c:v>-2.656E-7</c:v>
                </c:pt>
                <c:pt idx="15">
                  <c:v>-4.3560000000000001E-7</c:v>
                </c:pt>
                <c:pt idx="16">
                  <c:v>-5.6140000000000004E-7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F-4458-BE35-92119DA57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0001"/>
        <c:axId val="50210002"/>
      </c:scatterChart>
      <c:valAx>
        <c:axId val="502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10002"/>
        <c:crosses val="autoZero"/>
        <c:crossBetween val="midCat"/>
      </c:valAx>
      <c:valAx>
        <c:axId val="5021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1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'R10'!$I$2:$I$301</c:f>
              <c:numCache>
                <c:formatCode>0.00</c:formatCode>
                <c:ptCount val="300"/>
                <c:pt idx="0">
                  <c:v>-447.6158106005974</c:v>
                </c:pt>
                <c:pt idx="1">
                  <c:v>-380.902991560967</c:v>
                </c:pt>
                <c:pt idx="2">
                  <c:v>-314.19017252133659</c:v>
                </c:pt>
                <c:pt idx="3">
                  <c:v>-247.47735348170616</c:v>
                </c:pt>
                <c:pt idx="4">
                  <c:v>-180.76453444207579</c:v>
                </c:pt>
                <c:pt idx="5">
                  <c:v>-114.05171540244538</c:v>
                </c:pt>
                <c:pt idx="6">
                  <c:v>-47.338896362814921</c:v>
                </c:pt>
                <c:pt idx="7">
                  <c:v>19.373922676815482</c:v>
                </c:pt>
                <c:pt idx="8">
                  <c:v>86.086741716445829</c:v>
                </c:pt>
                <c:pt idx="9">
                  <c:v>152.79956075607623</c:v>
                </c:pt>
                <c:pt idx="10">
                  <c:v>219.51237979570664</c:v>
                </c:pt>
                <c:pt idx="11">
                  <c:v>286.22519883533715</c:v>
                </c:pt>
                <c:pt idx="12">
                  <c:v>352.93801787496756</c:v>
                </c:pt>
                <c:pt idx="13">
                  <c:v>419.65083691459796</c:v>
                </c:pt>
                <c:pt idx="14">
                  <c:v>486.36365595422836</c:v>
                </c:pt>
                <c:pt idx="15">
                  <c:v>553.07647499385871</c:v>
                </c:pt>
                <c:pt idx="16">
                  <c:v>619.78929403348911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'R10'!$J$2:$J$301</c:f>
              <c:numCache>
                <c:formatCode>0.0000</c:formatCode>
                <c:ptCount val="300"/>
                <c:pt idx="0">
                  <c:v>5.1956054716352012E-3</c:v>
                </c:pt>
                <c:pt idx="1">
                  <c:v>2.6492945203455857E-2</c:v>
                </c:pt>
                <c:pt idx="2">
                  <c:v>8.1504741886878465E-2</c:v>
                </c:pt>
                <c:pt idx="3">
                  <c:v>0.16967387129586251</c:v>
                </c:pt>
                <c:pt idx="4">
                  <c:v>0.37315083294292439</c:v>
                </c:pt>
                <c:pt idx="5">
                  <c:v>0.6669916557985236</c:v>
                </c:pt>
                <c:pt idx="6">
                  <c:v>0.91094453659504249</c:v>
                </c:pt>
                <c:pt idx="7">
                  <c:v>1</c:v>
                </c:pt>
                <c:pt idx="8">
                  <c:v>0.84468051880083239</c:v>
                </c:pt>
                <c:pt idx="9">
                  <c:v>0.49563374991031151</c:v>
                </c:pt>
                <c:pt idx="10">
                  <c:v>0.30097792184222411</c:v>
                </c:pt>
                <c:pt idx="11">
                  <c:v>0.12172742275177162</c:v>
                </c:pt>
                <c:pt idx="12">
                  <c:v>5.1918068973667436E-2</c:v>
                </c:pt>
                <c:pt idx="13">
                  <c:v>8.146253550611781E-3</c:v>
                </c:pt>
                <c:pt idx="14">
                  <c:v>-6.0144092583916849E-3</c:v>
                </c:pt>
                <c:pt idx="15">
                  <c:v>-1.3189493987701063E-2</c:v>
                </c:pt>
                <c:pt idx="16">
                  <c:v>-1.8499056687390002E-2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34-4F3F-AE1B-64B472FA8FCF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'R10'!$L$23:$L$24</c:f>
              <c:numCache>
                <c:formatCode>0.00</c:formatCode>
                <c:ptCount val="2"/>
                <c:pt idx="0">
                  <c:v>-151.96504550460708</c:v>
                </c:pt>
                <c:pt idx="1">
                  <c:v>151.96504550460708</c:v>
                </c:pt>
              </c:numCache>
            </c:numRef>
          </c:xVal>
          <c:yVal>
            <c:numRef>
              <c:f>'R10'!$M$23:$M$24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34-4F3F-AE1B-64B472FA8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20001"/>
        <c:axId val="50220002"/>
      </c:scatterChart>
      <c:valAx>
        <c:axId val="502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220002"/>
        <c:crosses val="autoZero"/>
        <c:crossBetween val="midCat"/>
      </c:valAx>
      <c:valAx>
        <c:axId val="5022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22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'R11'!$A$2:$A$301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</c:numCache>
            </c:numRef>
          </c:xVal>
          <c:yVal>
            <c:numRef>
              <c:f>'R11'!$B$2:$B$301</c:f>
              <c:numCache>
                <c:formatCode>0.00E+00</c:formatCode>
                <c:ptCount val="300"/>
                <c:pt idx="0">
                  <c:v>-5.5929999999999999E-8</c:v>
                </c:pt>
                <c:pt idx="1">
                  <c:v>5.4720000000000003E-7</c:v>
                </c:pt>
                <c:pt idx="2">
                  <c:v>1.584E-6</c:v>
                </c:pt>
                <c:pt idx="3">
                  <c:v>4.0929999999999996E-6</c:v>
                </c:pt>
                <c:pt idx="4">
                  <c:v>8.704E-6</c:v>
                </c:pt>
                <c:pt idx="5">
                  <c:v>1.4939999999999999E-5</c:v>
                </c:pt>
                <c:pt idx="6">
                  <c:v>2.179E-5</c:v>
                </c:pt>
                <c:pt idx="7">
                  <c:v>2.3499999999999999E-5</c:v>
                </c:pt>
                <c:pt idx="8">
                  <c:v>1.9219999999999999E-5</c:v>
                </c:pt>
                <c:pt idx="9">
                  <c:v>1.2140000000000001E-5</c:v>
                </c:pt>
                <c:pt idx="10">
                  <c:v>6.0270000000000001E-6</c:v>
                </c:pt>
                <c:pt idx="11">
                  <c:v>2.6630000000000002E-6</c:v>
                </c:pt>
                <c:pt idx="12">
                  <c:v>9.809E-7</c:v>
                </c:pt>
                <c:pt idx="13">
                  <c:v>1.3979999999999999E-7</c:v>
                </c:pt>
                <c:pt idx="14">
                  <c:v>-2.656E-7</c:v>
                </c:pt>
                <c:pt idx="15">
                  <c:v>-4.2160000000000002E-7</c:v>
                </c:pt>
                <c:pt idx="16">
                  <c:v>-5.6140000000000004E-7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D7-4131-B1CD-4407DA4BC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30001"/>
        <c:axId val="50230002"/>
      </c:scatterChart>
      <c:valAx>
        <c:axId val="502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30002"/>
        <c:crosses val="autoZero"/>
        <c:crossBetween val="midCat"/>
      </c:valAx>
      <c:valAx>
        <c:axId val="5023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23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'R11'!$I$2:$I$301</c:f>
              <c:numCache>
                <c:formatCode>0.00</c:formatCode>
                <c:ptCount val="300"/>
                <c:pt idx="0">
                  <c:v>-452.061103095715</c:v>
                </c:pt>
                <c:pt idx="1">
                  <c:v>-385.34828405608459</c:v>
                </c:pt>
                <c:pt idx="2">
                  <c:v>-318.63546501645419</c:v>
                </c:pt>
                <c:pt idx="3">
                  <c:v>-251.92264597682376</c:v>
                </c:pt>
                <c:pt idx="4">
                  <c:v>-185.20982693719338</c:v>
                </c:pt>
                <c:pt idx="5">
                  <c:v>-118.49700789756298</c:v>
                </c:pt>
                <c:pt idx="6">
                  <c:v>-51.78418885793252</c:v>
                </c:pt>
                <c:pt idx="7">
                  <c:v>14.928630181697883</c:v>
                </c:pt>
                <c:pt idx="8">
                  <c:v>81.64144922132823</c:v>
                </c:pt>
                <c:pt idx="9">
                  <c:v>148.35426826095863</c:v>
                </c:pt>
                <c:pt idx="10">
                  <c:v>215.06708730058904</c:v>
                </c:pt>
                <c:pt idx="11">
                  <c:v>281.77990634021955</c:v>
                </c:pt>
                <c:pt idx="12">
                  <c:v>348.49272537984996</c:v>
                </c:pt>
                <c:pt idx="13">
                  <c:v>415.20554441948036</c:v>
                </c:pt>
                <c:pt idx="14">
                  <c:v>481.91836345911076</c:v>
                </c:pt>
                <c:pt idx="15">
                  <c:v>548.63118249874117</c:v>
                </c:pt>
                <c:pt idx="16">
                  <c:v>615.34400153837146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'R11'!$J$2:$J$301</c:f>
              <c:numCache>
                <c:formatCode>0.0000</c:formatCode>
                <c:ptCount val="300"/>
                <c:pt idx="0">
                  <c:v>2.8363328727286515E-3</c:v>
                </c:pt>
                <c:pt idx="1">
                  <c:v>2.8367879390079963E-2</c:v>
                </c:pt>
                <c:pt idx="2">
                  <c:v>7.2257434592424119E-2</c:v>
                </c:pt>
                <c:pt idx="3">
                  <c:v>0.17846778760426968</c:v>
                </c:pt>
                <c:pt idx="4">
                  <c:v>0.37365947263321353</c:v>
                </c:pt>
                <c:pt idx="5">
                  <c:v>0.63764024640039929</c:v>
                </c:pt>
                <c:pt idx="6">
                  <c:v>0.92761271277391155</c:v>
                </c:pt>
                <c:pt idx="7">
                  <c:v>1</c:v>
                </c:pt>
                <c:pt idx="8">
                  <c:v>0.81882012320019959</c:v>
                </c:pt>
                <c:pt idx="9">
                  <c:v>0.519111355036044</c:v>
                </c:pt>
                <c:pt idx="10">
                  <c:v>0.26033738613950658</c:v>
                </c:pt>
                <c:pt idx="11">
                  <c:v>0.11793338951461679</c:v>
                </c:pt>
                <c:pt idx="12">
                  <c:v>4.6727158027480294E-2</c:v>
                </c:pt>
                <c:pt idx="13">
                  <c:v>1.112192569656625E-2</c:v>
                </c:pt>
                <c:pt idx="14">
                  <c:v>-6.0393645031157749E-3</c:v>
                </c:pt>
                <c:pt idx="15">
                  <c:v>-1.2643117021987003E-2</c:v>
                </c:pt>
                <c:pt idx="16">
                  <c:v>-1.8561095240821605E-2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50-45B0-8770-6F97FD3141D1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'R11'!$L$23:$L$24</c:f>
              <c:numCache>
                <c:formatCode>0.00</c:formatCode>
                <c:ptCount val="2"/>
                <c:pt idx="0">
                  <c:v>-153.28124130835766</c:v>
                </c:pt>
                <c:pt idx="1">
                  <c:v>153.28124130835772</c:v>
                </c:pt>
              </c:numCache>
            </c:numRef>
          </c:xVal>
          <c:yVal>
            <c:numRef>
              <c:f>'R11'!$M$23:$M$24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50-45B0-8770-6F97FD314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40001"/>
        <c:axId val="50240002"/>
      </c:scatterChart>
      <c:valAx>
        <c:axId val="502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240002"/>
        <c:crosses val="autoZero"/>
        <c:crossBetween val="midCat"/>
      </c:valAx>
      <c:valAx>
        <c:axId val="5024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24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'R12'!$A$2:$A$301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</c:numCache>
            </c:numRef>
          </c:xVal>
          <c:yVal>
            <c:numRef>
              <c:f>'R12'!$B$2:$B$301</c:f>
              <c:numCache>
                <c:formatCode>0.00E+00</c:formatCode>
                <c:ptCount val="300"/>
                <c:pt idx="0">
                  <c:v>-5.8940000000000002E-7</c:v>
                </c:pt>
                <c:pt idx="1">
                  <c:v>-5.3340000000000005E-7</c:v>
                </c:pt>
                <c:pt idx="2">
                  <c:v>-4.6349999999999999E-7</c:v>
                </c:pt>
                <c:pt idx="3">
                  <c:v>-4.3560000000000001E-7</c:v>
                </c:pt>
                <c:pt idx="4">
                  <c:v>-2.7959999999999999E-7</c:v>
                </c:pt>
                <c:pt idx="5">
                  <c:v>-1.258E-7</c:v>
                </c:pt>
                <c:pt idx="6">
                  <c:v>4.904E-7</c:v>
                </c:pt>
                <c:pt idx="7">
                  <c:v>1.6819999999999999E-6</c:v>
                </c:pt>
                <c:pt idx="8">
                  <c:v>4.1910000000000002E-6</c:v>
                </c:pt>
                <c:pt idx="9">
                  <c:v>8.9139999999999997E-6</c:v>
                </c:pt>
                <c:pt idx="10">
                  <c:v>1.5469999999999999E-5</c:v>
                </c:pt>
                <c:pt idx="11">
                  <c:v>2.2330000000000001E-5</c:v>
                </c:pt>
                <c:pt idx="12">
                  <c:v>2.3450000000000001E-5</c:v>
                </c:pt>
                <c:pt idx="13">
                  <c:v>1.927E-5</c:v>
                </c:pt>
                <c:pt idx="14">
                  <c:v>1.2099999999999999E-5</c:v>
                </c:pt>
                <c:pt idx="15">
                  <c:v>6.195E-6</c:v>
                </c:pt>
                <c:pt idx="16">
                  <c:v>2.621E-6</c:v>
                </c:pt>
                <c:pt idx="17">
                  <c:v>1.023E-6</c:v>
                </c:pt>
                <c:pt idx="18">
                  <c:v>1.3979999999999999E-7</c:v>
                </c:pt>
                <c:pt idx="19">
                  <c:v>-3.0800000000000001E-7</c:v>
                </c:pt>
                <c:pt idx="20">
                  <c:v>-4.6349999999999999E-7</c:v>
                </c:pt>
                <c:pt idx="21">
                  <c:v>-5.3340000000000005E-7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E5-41DE-BF59-45A9B3804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50001"/>
        <c:axId val="50250002"/>
      </c:scatterChart>
      <c:valAx>
        <c:axId val="502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50002"/>
        <c:crosses val="autoZero"/>
        <c:crossBetween val="midCat"/>
      </c:valAx>
      <c:valAx>
        <c:axId val="5025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25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'R12'!$I$2:$I$301</c:f>
              <c:numCache>
                <c:formatCode>0.00</c:formatCode>
                <c:ptCount val="300"/>
                <c:pt idx="0">
                  <c:v>-783.76650318133932</c:v>
                </c:pt>
                <c:pt idx="1">
                  <c:v>-717.05368414170891</c:v>
                </c:pt>
                <c:pt idx="2">
                  <c:v>-650.34086510207851</c:v>
                </c:pt>
                <c:pt idx="3">
                  <c:v>-583.62804606244811</c:v>
                </c:pt>
                <c:pt idx="4">
                  <c:v>-516.9152270228177</c:v>
                </c:pt>
                <c:pt idx="5">
                  <c:v>-450.2024079831873</c:v>
                </c:pt>
                <c:pt idx="6">
                  <c:v>-383.48958894355684</c:v>
                </c:pt>
                <c:pt idx="7">
                  <c:v>-316.77676990392644</c:v>
                </c:pt>
                <c:pt idx="8">
                  <c:v>-250.06395086429609</c:v>
                </c:pt>
                <c:pt idx="9">
                  <c:v>-183.35113182466569</c:v>
                </c:pt>
                <c:pt idx="10">
                  <c:v>-116.63831278503528</c:v>
                </c:pt>
                <c:pt idx="11">
                  <c:v>-49.925493745404765</c:v>
                </c:pt>
                <c:pt idx="12">
                  <c:v>16.787325294225639</c:v>
                </c:pt>
                <c:pt idx="13">
                  <c:v>83.500144333856042</c:v>
                </c:pt>
                <c:pt idx="14">
                  <c:v>150.21296337348645</c:v>
                </c:pt>
                <c:pt idx="15">
                  <c:v>216.92578241311685</c:v>
                </c:pt>
                <c:pt idx="16">
                  <c:v>283.63860145274714</c:v>
                </c:pt>
                <c:pt idx="17">
                  <c:v>350.35142049237754</c:v>
                </c:pt>
                <c:pt idx="18">
                  <c:v>417.06423953200795</c:v>
                </c:pt>
                <c:pt idx="19">
                  <c:v>483.77705857163835</c:v>
                </c:pt>
                <c:pt idx="20">
                  <c:v>550.48987761126875</c:v>
                </c:pt>
                <c:pt idx="21">
                  <c:v>617.20269665089916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'R12'!$J$2:$J$301</c:f>
              <c:numCache>
                <c:formatCode>0.0000</c:formatCode>
                <c:ptCount val="300"/>
                <c:pt idx="0">
                  <c:v>-2.480199583610039E-3</c:v>
                </c:pt>
                <c:pt idx="1">
                  <c:v>-1.4491288025296142E-4</c:v>
                </c:pt>
                <c:pt idx="2">
                  <c:v>2.7700253441159664E-3</c:v>
                </c:pt>
                <c:pt idx="3">
                  <c:v>3.9334985409670816E-3</c:v>
                </c:pt>
                <c:pt idx="4">
                  <c:v>1.0438940071747515E-2</c:v>
                </c:pt>
                <c:pt idx="5">
                  <c:v>1.6852638196324633E-2</c:v>
                </c:pt>
                <c:pt idx="6">
                  <c:v>4.2549132242907343E-2</c:v>
                </c:pt>
                <c:pt idx="7">
                  <c:v>9.2240697166484045E-2</c:v>
                </c:pt>
                <c:pt idx="8">
                  <c:v>0.196869881786536</c:v>
                </c:pt>
                <c:pt idx="9">
                  <c:v>0.39382629428574106</c:v>
                </c:pt>
                <c:pt idx="10">
                  <c:v>0.66722164477161627</c:v>
                </c:pt>
                <c:pt idx="11">
                  <c:v>0.95329426593285849</c:v>
                </c:pt>
                <c:pt idx="12">
                  <c:v>1</c:v>
                </c:pt>
                <c:pt idx="13">
                  <c:v>0.82568752821370373</c:v>
                </c:pt>
                <c:pt idx="14">
                  <c:v>0.52668742708744909</c:v>
                </c:pt>
                <c:pt idx="15">
                  <c:v>0.28043978452810003</c:v>
                </c:pt>
                <c:pt idx="16">
                  <c:v>0.13139845099598935</c:v>
                </c:pt>
                <c:pt idx="17">
                  <c:v>6.4759376853764136E-2</c:v>
                </c:pt>
                <c:pt idx="18">
                  <c:v>2.7928569417961065E-2</c:v>
                </c:pt>
                <c:pt idx="19">
                  <c:v>9.2546161007592814E-3</c:v>
                </c:pt>
                <c:pt idx="20">
                  <c:v>2.7700253441159664E-3</c:v>
                </c:pt>
                <c:pt idx="21">
                  <c:v>-1.4491288025296142E-4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E5-48E6-A292-E589BDD83853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'R12'!$L$23:$L$24</c:f>
              <c:numCache>
                <c:formatCode>0.00</c:formatCode>
                <c:ptCount val="2"/>
                <c:pt idx="0">
                  <c:v>-157.44305693058197</c:v>
                </c:pt>
                <c:pt idx="1">
                  <c:v>157.44305693058197</c:v>
                </c:pt>
              </c:numCache>
            </c:numRef>
          </c:xVal>
          <c:yVal>
            <c:numRef>
              <c:f>'R12'!$M$23:$M$24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E5-48E6-A292-E589BDD83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0001"/>
        <c:axId val="50260002"/>
      </c:scatterChart>
      <c:valAx>
        <c:axId val="502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260002"/>
        <c:crosses val="autoZero"/>
        <c:crossBetween val="midCat"/>
      </c:valAx>
      <c:valAx>
        <c:axId val="5026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26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'R13'!$A$2:$A$301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</c:numCache>
            </c:numRef>
          </c:xVal>
          <c:yVal>
            <c:numRef>
              <c:f>'R13'!$B$2:$B$301</c:f>
              <c:numCache>
                <c:formatCode>0.00E+00</c:formatCode>
                <c:ptCount val="300"/>
                <c:pt idx="0">
                  <c:v>-2.7959999999999999E-7</c:v>
                </c:pt>
                <c:pt idx="1">
                  <c:v>-8.3890000000000005E-8</c:v>
                </c:pt>
                <c:pt idx="2">
                  <c:v>5.5929999999999999E-8</c:v>
                </c:pt>
                <c:pt idx="3" formatCode="General">
                  <c:v>0</c:v>
                </c:pt>
                <c:pt idx="4">
                  <c:v>-1.5379999999999999E-7</c:v>
                </c:pt>
                <c:pt idx="5">
                  <c:v>-2.7959999999999999E-7</c:v>
                </c:pt>
                <c:pt idx="6">
                  <c:v>-1.3979999999999999E-7</c:v>
                </c:pt>
                <c:pt idx="7">
                  <c:v>4.1940000000000001E-7</c:v>
                </c:pt>
                <c:pt idx="8">
                  <c:v>2.4090000000000001E-6</c:v>
                </c:pt>
                <c:pt idx="9">
                  <c:v>7.3989999999999998E-6</c:v>
                </c:pt>
                <c:pt idx="10">
                  <c:v>2.0169999999999998E-5</c:v>
                </c:pt>
                <c:pt idx="11">
                  <c:v>3.574E-5</c:v>
                </c:pt>
                <c:pt idx="12">
                  <c:v>3.9780000000000002E-5</c:v>
                </c:pt>
                <c:pt idx="13">
                  <c:v>2.8929999999999999E-5</c:v>
                </c:pt>
                <c:pt idx="14">
                  <c:v>1.1770000000000001E-5</c:v>
                </c:pt>
                <c:pt idx="15">
                  <c:v>3.9509999999999999E-6</c:v>
                </c:pt>
                <c:pt idx="16">
                  <c:v>9.7830000000000002E-7</c:v>
                </c:pt>
                <c:pt idx="17" formatCode="General">
                  <c:v>0</c:v>
                </c:pt>
                <c:pt idx="18">
                  <c:v>-2.7959999999999999E-7</c:v>
                </c:pt>
                <c:pt idx="19">
                  <c:v>-2.7959999999999999E-7</c:v>
                </c:pt>
                <c:pt idx="20">
                  <c:v>-1.3979999999999999E-7</c:v>
                </c:pt>
                <c:pt idx="21">
                  <c:v>4.1939999999999997E-8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B-4954-8F70-A1C391A6B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70001"/>
        <c:axId val="50270002"/>
      </c:scatterChart>
      <c:valAx>
        <c:axId val="502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70002"/>
        <c:crosses val="autoZero"/>
        <c:crossBetween val="midCat"/>
      </c:valAx>
      <c:valAx>
        <c:axId val="5027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27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'R13'!$I$2:$I$301</c:f>
              <c:numCache>
                <c:formatCode>0.00</c:formatCode>
                <c:ptCount val="300"/>
                <c:pt idx="0">
                  <c:v>-783.9999397760696</c:v>
                </c:pt>
                <c:pt idx="1">
                  <c:v>-717.28712073643919</c:v>
                </c:pt>
                <c:pt idx="2">
                  <c:v>-650.57430169680879</c:v>
                </c:pt>
                <c:pt idx="3">
                  <c:v>-583.86148265717839</c:v>
                </c:pt>
                <c:pt idx="4">
                  <c:v>-517.14866361754798</c:v>
                </c:pt>
                <c:pt idx="5">
                  <c:v>-450.43584457791758</c:v>
                </c:pt>
                <c:pt idx="6">
                  <c:v>-383.72302553828712</c:v>
                </c:pt>
                <c:pt idx="7">
                  <c:v>-317.01020649865671</c:v>
                </c:pt>
                <c:pt idx="8">
                  <c:v>-250.29738745902637</c:v>
                </c:pt>
                <c:pt idx="9">
                  <c:v>-183.58456841939596</c:v>
                </c:pt>
                <c:pt idx="10">
                  <c:v>-116.87174937976556</c:v>
                </c:pt>
                <c:pt idx="11">
                  <c:v>-50.158930340135043</c:v>
                </c:pt>
                <c:pt idx="12">
                  <c:v>16.55388869949536</c:v>
                </c:pt>
                <c:pt idx="13">
                  <c:v>83.266707739125764</c:v>
                </c:pt>
                <c:pt idx="14">
                  <c:v>149.97952677875617</c:v>
                </c:pt>
                <c:pt idx="15">
                  <c:v>216.69234581838657</c:v>
                </c:pt>
                <c:pt idx="16">
                  <c:v>283.40516485801686</c:v>
                </c:pt>
                <c:pt idx="17">
                  <c:v>350.11798389764726</c:v>
                </c:pt>
                <c:pt idx="18">
                  <c:v>416.83080293727767</c:v>
                </c:pt>
                <c:pt idx="19">
                  <c:v>483.54362197690807</c:v>
                </c:pt>
                <c:pt idx="20">
                  <c:v>550.25644101653847</c:v>
                </c:pt>
                <c:pt idx="21">
                  <c:v>616.96926005616888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'R13'!$J$2:$J$301</c:f>
              <c:numCache>
                <c:formatCode>0.0000</c:formatCode>
                <c:ptCount val="300"/>
                <c:pt idx="0">
                  <c:v>-4.1173357663661821E-3</c:v>
                </c:pt>
                <c:pt idx="1">
                  <c:v>7.8825000540476658E-4</c:v>
                </c:pt>
                <c:pt idx="2">
                  <c:v>4.2929201939950999E-3</c:v>
                </c:pt>
                <c:pt idx="3">
                  <c:v>2.8910019873876237E-3</c:v>
                </c:pt>
                <c:pt idx="4">
                  <c:v>-9.6408508889039943E-4</c:v>
                </c:pt>
                <c:pt idx="5">
                  <c:v>-4.1173357663661821E-3</c:v>
                </c:pt>
                <c:pt idx="6">
                  <c:v>-6.1316688948927917E-4</c:v>
                </c:pt>
                <c:pt idx="7">
                  <c:v>1.3403508618018332E-2</c:v>
                </c:pt>
                <c:pt idx="8">
                  <c:v>6.3273997870051862E-2</c:v>
                </c:pt>
                <c:pt idx="9">
                  <c:v>0.18835127037087979</c:v>
                </c:pt>
                <c:pt idx="10">
                  <c:v>0.50846386498171614</c:v>
                </c:pt>
                <c:pt idx="11">
                  <c:v>0.89873503388710518</c:v>
                </c:pt>
                <c:pt idx="12">
                  <c:v>1</c:v>
                </c:pt>
                <c:pt idx="13">
                  <c:v>0.72803839546413152</c:v>
                </c:pt>
                <c:pt idx="14">
                  <c:v>0.2979129453410439</c:v>
                </c:pt>
                <c:pt idx="15">
                  <c:v>0.10192513097551811</c:v>
                </c:pt>
                <c:pt idx="16">
                  <c:v>2.7412664449824493E-2</c:v>
                </c:pt>
                <c:pt idx="17">
                  <c:v>2.8910019873876237E-3</c:v>
                </c:pt>
                <c:pt idx="18">
                  <c:v>-4.1173357663661821E-3</c:v>
                </c:pt>
                <c:pt idx="19">
                  <c:v>-4.1173357663661821E-3</c:v>
                </c:pt>
                <c:pt idx="20">
                  <c:v>-6.1316688948927917E-4</c:v>
                </c:pt>
                <c:pt idx="21">
                  <c:v>3.9422526504506944E-3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2-4121-A6D8-A2B5603A3EFC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'R13'!$L$23:$L$24</c:f>
              <c:numCache>
                <c:formatCode>0.00</c:formatCode>
                <c:ptCount val="2"/>
                <c:pt idx="0">
                  <c:v>-118.63565465062049</c:v>
                </c:pt>
                <c:pt idx="1">
                  <c:v>118.63565465062049</c:v>
                </c:pt>
              </c:numCache>
            </c:numRef>
          </c:xVal>
          <c:yVal>
            <c:numRef>
              <c:f>'R13'!$M$23:$M$24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B2-4121-A6D8-A2B5603A3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80001"/>
        <c:axId val="50280002"/>
      </c:scatterChart>
      <c:valAx>
        <c:axId val="502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280002"/>
        <c:crosses val="autoZero"/>
        <c:crossBetween val="midCat"/>
      </c:valAx>
      <c:valAx>
        <c:axId val="5028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28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'R14'!$A$2:$A$301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</c:numCache>
            </c:numRef>
          </c:xVal>
          <c:yVal>
            <c:numRef>
              <c:f>'R14'!$B$2:$B$301</c:f>
              <c:numCache>
                <c:formatCode>0.00E+00</c:formatCode>
                <c:ptCount val="300"/>
                <c:pt idx="0">
                  <c:v>1.398E-8</c:v>
                </c:pt>
                <c:pt idx="1">
                  <c:v>5.5899999999999998E-8</c:v>
                </c:pt>
                <c:pt idx="2" formatCode="General">
                  <c:v>0</c:v>
                </c:pt>
                <c:pt idx="3">
                  <c:v>1.5379999999999999E-7</c:v>
                </c:pt>
                <c:pt idx="4">
                  <c:v>1.6780000000000001E-7</c:v>
                </c:pt>
                <c:pt idx="5">
                  <c:v>5.7540000000000003E-7</c:v>
                </c:pt>
                <c:pt idx="6">
                  <c:v>1.079E-6</c:v>
                </c:pt>
                <c:pt idx="7">
                  <c:v>2.2010000000000002E-6</c:v>
                </c:pt>
                <c:pt idx="8">
                  <c:v>4.3449999999999999E-6</c:v>
                </c:pt>
                <c:pt idx="9">
                  <c:v>8.6619999999999994E-6</c:v>
                </c:pt>
                <c:pt idx="10">
                  <c:v>1.611E-5</c:v>
                </c:pt>
                <c:pt idx="11">
                  <c:v>2.2439999999999999E-5</c:v>
                </c:pt>
                <c:pt idx="12">
                  <c:v>2.4700000000000001E-5</c:v>
                </c:pt>
                <c:pt idx="13">
                  <c:v>1.9919999999999999E-5</c:v>
                </c:pt>
                <c:pt idx="14">
                  <c:v>1.308E-5</c:v>
                </c:pt>
                <c:pt idx="15">
                  <c:v>6.0270000000000001E-6</c:v>
                </c:pt>
                <c:pt idx="16">
                  <c:v>3.2099999999999998E-7</c:v>
                </c:pt>
                <c:pt idx="17">
                  <c:v>1.6959999999999999E-6</c:v>
                </c:pt>
                <c:pt idx="18">
                  <c:v>7.1520000000000005E-7</c:v>
                </c:pt>
                <c:pt idx="19">
                  <c:v>2.938E-7</c:v>
                </c:pt>
                <c:pt idx="20">
                  <c:v>6.9909999999999995E-8</c:v>
                </c:pt>
                <c:pt idx="21">
                  <c:v>2.796E-8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F-4D07-8FCE-8018065FC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0001"/>
        <c:axId val="50290002"/>
      </c:scatterChart>
      <c:valAx>
        <c:axId val="502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290002"/>
        <c:crosses val="autoZero"/>
        <c:crossBetween val="midCat"/>
      </c:valAx>
      <c:valAx>
        <c:axId val="5029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29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'R14'!$I$2:$I$301</c:f>
              <c:numCache>
                <c:formatCode>0.00</c:formatCode>
                <c:ptCount val="300"/>
                <c:pt idx="0">
                  <c:v>-787.16159266963734</c:v>
                </c:pt>
                <c:pt idx="1">
                  <c:v>-720.44877363000694</c:v>
                </c:pt>
                <c:pt idx="2">
                  <c:v>-653.73595459037654</c:v>
                </c:pt>
                <c:pt idx="3">
                  <c:v>-587.02313555074613</c:v>
                </c:pt>
                <c:pt idx="4">
                  <c:v>-520.31031651111573</c:v>
                </c:pt>
                <c:pt idx="5">
                  <c:v>-453.59749747148533</c:v>
                </c:pt>
                <c:pt idx="6">
                  <c:v>-386.88467843185487</c:v>
                </c:pt>
                <c:pt idx="7">
                  <c:v>-320.17185939222446</c:v>
                </c:pt>
                <c:pt idx="8">
                  <c:v>-253.45904035259412</c:v>
                </c:pt>
                <c:pt idx="9">
                  <c:v>-186.74622131296371</c:v>
                </c:pt>
                <c:pt idx="10">
                  <c:v>-120.03340227333331</c:v>
                </c:pt>
                <c:pt idx="11">
                  <c:v>-53.320583233702791</c:v>
                </c:pt>
                <c:pt idx="12">
                  <c:v>13.392235805927612</c:v>
                </c:pt>
                <c:pt idx="13">
                  <c:v>80.105054845558016</c:v>
                </c:pt>
                <c:pt idx="14">
                  <c:v>146.81787388518842</c:v>
                </c:pt>
                <c:pt idx="15">
                  <c:v>213.53069292481882</c:v>
                </c:pt>
                <c:pt idx="16">
                  <c:v>280.24351196444911</c:v>
                </c:pt>
                <c:pt idx="17">
                  <c:v>346.95633100407952</c:v>
                </c:pt>
                <c:pt idx="18">
                  <c:v>413.66915004370992</c:v>
                </c:pt>
                <c:pt idx="19">
                  <c:v>480.38196908334032</c:v>
                </c:pt>
                <c:pt idx="20">
                  <c:v>547.09478812297073</c:v>
                </c:pt>
                <c:pt idx="21">
                  <c:v>613.80760716260113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'R14'!$J$2:$J$301</c:f>
              <c:numCache>
                <c:formatCode>0.0000</c:formatCode>
                <c:ptCount val="300"/>
                <c:pt idx="0">
                  <c:v>-1.1338076541901863E-3</c:v>
                </c:pt>
                <c:pt idx="1">
                  <c:v>5.6624481343576756E-4</c:v>
                </c:pt>
                <c:pt idx="2">
                  <c:v>-1.700762174643689E-3</c:v>
                </c:pt>
                <c:pt idx="3">
                  <c:v>4.5365486440793953E-3</c:v>
                </c:pt>
                <c:pt idx="4">
                  <c:v>5.104314258267453E-3</c:v>
                </c:pt>
                <c:pt idx="5">
                  <c:v>2.163440456848546E-2</c:v>
                </c:pt>
                <c:pt idx="6">
                  <c:v>4.2057744804564423E-2</c:v>
                </c:pt>
                <c:pt idx="7">
                  <c:v>8.7560103313064436E-2</c:v>
                </c:pt>
                <c:pt idx="8">
                  <c:v>0.17450935165729262</c:v>
                </c:pt>
                <c:pt idx="9">
                  <c:v>0.34958393426085277</c:v>
                </c:pt>
                <c:pt idx="10">
                  <c:v>0.65163524100889925</c:v>
                </c:pt>
                <c:pt idx="11">
                  <c:v>0.90834640799535638</c:v>
                </c:pt>
                <c:pt idx="12">
                  <c:v>1</c:v>
                </c:pt>
                <c:pt idx="13">
                  <c:v>0.80614859744150613</c:v>
                </c:pt>
                <c:pt idx="14">
                  <c:v>0.52875454022391255</c:v>
                </c:pt>
                <c:pt idx="15">
                  <c:v>0.24272233473331492</c:v>
                </c:pt>
                <c:pt idx="16">
                  <c:v>1.1317292264953906E-2</c:v>
                </c:pt>
                <c:pt idx="17">
                  <c:v>6.7079986515566653E-2</c:v>
                </c:pt>
                <c:pt idx="18">
                  <c:v>2.7303949773020492E-2</c:v>
                </c:pt>
                <c:pt idx="19">
                  <c:v>1.0214204785959967E-2</c:v>
                </c:pt>
                <c:pt idx="20">
                  <c:v>1.1344159744911017E-3</c:v>
                </c:pt>
                <c:pt idx="21">
                  <c:v>-5.6685313373668349E-4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3C-4C1A-B407-221DB8E91578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'R14'!$L$23:$L$24</c:f>
              <c:numCache>
                <c:formatCode>0.00</c:formatCode>
                <c:ptCount val="2"/>
                <c:pt idx="0">
                  <c:v>-153.52444888514492</c:v>
                </c:pt>
                <c:pt idx="1">
                  <c:v>153.52444888514492</c:v>
                </c:pt>
              </c:numCache>
            </c:numRef>
          </c:xVal>
          <c:yVal>
            <c:numRef>
              <c:f>'R14'!$M$23:$M$24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3C-4C1A-B407-221DB8E91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00001"/>
        <c:axId val="50300002"/>
      </c:scatterChart>
      <c:valAx>
        <c:axId val="503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300002"/>
        <c:crosses val="autoZero"/>
        <c:crossBetween val="midCat"/>
      </c:valAx>
      <c:valAx>
        <c:axId val="5030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30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'R15'!$A$2:$A$301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</c:numCache>
            </c:numRef>
          </c:xVal>
          <c:yVal>
            <c:numRef>
              <c:f>'R15'!$B$2:$B$301</c:f>
              <c:numCache>
                <c:formatCode>0.00E+00</c:formatCode>
                <c:ptCount val="300"/>
                <c:pt idx="0">
                  <c:v>-1.4E-8</c:v>
                </c:pt>
                <c:pt idx="1">
                  <c:v>-1.398E-8</c:v>
                </c:pt>
                <c:pt idx="2" formatCode="General">
                  <c:v>0</c:v>
                </c:pt>
                <c:pt idx="3" formatCode="General">
                  <c:v>0</c:v>
                </c:pt>
                <c:pt idx="4">
                  <c:v>-1.398E-8</c:v>
                </c:pt>
                <c:pt idx="5" formatCode="General">
                  <c:v>0</c:v>
                </c:pt>
                <c:pt idx="6">
                  <c:v>2.7959999999999999E-7</c:v>
                </c:pt>
                <c:pt idx="7">
                  <c:v>9.809E-7</c:v>
                </c:pt>
                <c:pt idx="8">
                  <c:v>1.9489999999999999E-6</c:v>
                </c:pt>
                <c:pt idx="9">
                  <c:v>5.0019999999999997E-6</c:v>
                </c:pt>
                <c:pt idx="10">
                  <c:v>1.7940000000000001E-5</c:v>
                </c:pt>
                <c:pt idx="11">
                  <c:v>3.0750000000000002E-5</c:v>
                </c:pt>
                <c:pt idx="12">
                  <c:v>3.3699999999999999E-5</c:v>
                </c:pt>
                <c:pt idx="13">
                  <c:v>2.3240000000000001E-5</c:v>
                </c:pt>
                <c:pt idx="14">
                  <c:v>1.0020000000000001E-5</c:v>
                </c:pt>
                <c:pt idx="15">
                  <c:v>3.1939999999999998E-6</c:v>
                </c:pt>
                <c:pt idx="16">
                  <c:v>1.4980000000000001E-6</c:v>
                </c:pt>
                <c:pt idx="17">
                  <c:v>5.6140000000000004E-7</c:v>
                </c:pt>
                <c:pt idx="18">
                  <c:v>1.3979999999999999E-7</c:v>
                </c:pt>
                <c:pt idx="19">
                  <c:v>-1.398E-8</c:v>
                </c:pt>
                <c:pt idx="20">
                  <c:v>-4.1939999999999997E-8</c:v>
                </c:pt>
                <c:pt idx="21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00-4EE8-91FB-EF6206F1C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10001"/>
        <c:axId val="50310002"/>
      </c:scatterChart>
      <c:valAx>
        <c:axId val="503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10002"/>
        <c:crosses val="autoZero"/>
        <c:crossBetween val="midCat"/>
      </c:valAx>
      <c:valAx>
        <c:axId val="5031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5031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'R15'!$I$2:$I$301</c:f>
              <c:numCache>
                <c:formatCode>0.00</c:formatCode>
                <c:ptCount val="300"/>
                <c:pt idx="0">
                  <c:v>-780.50983477218881</c:v>
                </c:pt>
                <c:pt idx="1">
                  <c:v>-713.79701573255841</c:v>
                </c:pt>
                <c:pt idx="2">
                  <c:v>-647.084196692928</c:v>
                </c:pt>
                <c:pt idx="3">
                  <c:v>-580.3713776532976</c:v>
                </c:pt>
                <c:pt idx="4">
                  <c:v>-513.6585586136672</c:v>
                </c:pt>
                <c:pt idx="5">
                  <c:v>-446.94573957403679</c:v>
                </c:pt>
                <c:pt idx="6">
                  <c:v>-380.23292053440633</c:v>
                </c:pt>
                <c:pt idx="7">
                  <c:v>-313.52010149477593</c:v>
                </c:pt>
                <c:pt idx="8">
                  <c:v>-246.80728245514558</c:v>
                </c:pt>
                <c:pt idx="9">
                  <c:v>-180.09446341551518</c:v>
                </c:pt>
                <c:pt idx="10">
                  <c:v>-113.38164437588478</c:v>
                </c:pt>
                <c:pt idx="11">
                  <c:v>-46.668825336254258</c:v>
                </c:pt>
                <c:pt idx="12">
                  <c:v>20.043993703376145</c:v>
                </c:pt>
                <c:pt idx="13">
                  <c:v>86.756812743006549</c:v>
                </c:pt>
                <c:pt idx="14">
                  <c:v>153.46963178263695</c:v>
                </c:pt>
                <c:pt idx="15">
                  <c:v>220.18245082226736</c:v>
                </c:pt>
                <c:pt idx="16">
                  <c:v>286.89526986189765</c:v>
                </c:pt>
                <c:pt idx="17">
                  <c:v>353.60808890152805</c:v>
                </c:pt>
                <c:pt idx="18">
                  <c:v>420.32090794115845</c:v>
                </c:pt>
                <c:pt idx="19">
                  <c:v>487.03372698078886</c:v>
                </c:pt>
                <c:pt idx="20">
                  <c:v>553.74654602041926</c:v>
                </c:pt>
                <c:pt idx="21">
                  <c:v>620.45936506004966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'R15'!$J$2:$J$301</c:f>
              <c:numCache>
                <c:formatCode>0.0000</c:formatCode>
                <c:ptCount val="300"/>
                <c:pt idx="0">
                  <c:v>1.0321056021980286E-4</c:v>
                </c:pt>
                <c:pt idx="1">
                  <c:v>1.0380372435899711E-4</c:v>
                </c:pt>
                <c:pt idx="2">
                  <c:v>5.184254576557915E-4</c:v>
                </c:pt>
                <c:pt idx="3">
                  <c:v>5.184254576557915E-4</c:v>
                </c:pt>
                <c:pt idx="4">
                  <c:v>1.0380372435899711E-4</c:v>
                </c:pt>
                <c:pt idx="5">
                  <c:v>5.184254576557915E-4</c:v>
                </c:pt>
                <c:pt idx="6">
                  <c:v>8.8108601235916805E-3</c:v>
                </c:pt>
                <c:pt idx="7">
                  <c:v>2.9610160664438737E-2</c:v>
                </c:pt>
                <c:pt idx="8">
                  <c:v>5.8322270822137354E-2</c:v>
                </c:pt>
                <c:pt idx="9">
                  <c:v>0.14886877667014259</c:v>
                </c:pt>
                <c:pt idx="10">
                  <c:v>0.53258665831491558</c:v>
                </c:pt>
                <c:pt idx="11">
                  <c:v>0.91250828946884532</c:v>
                </c:pt>
                <c:pt idx="12">
                  <c:v>1</c:v>
                </c:pt>
                <c:pt idx="13">
                  <c:v>0.68977515520139698</c:v>
                </c:pt>
                <c:pt idx="14">
                  <c:v>0.29769365919398483</c:v>
                </c:pt>
                <c:pt idx="15">
                  <c:v>9.5246738486980634E-2</c:v>
                </c:pt>
                <c:pt idx="16">
                  <c:v>4.4946419483306577E-2</c:v>
                </c:pt>
                <c:pt idx="17">
                  <c:v>1.716854284483894E-2</c:v>
                </c:pt>
                <c:pt idx="18">
                  <c:v>4.664642790623735E-3</c:v>
                </c:pt>
                <c:pt idx="19">
                  <c:v>1.0380372435899711E-4</c:v>
                </c:pt>
                <c:pt idx="20">
                  <c:v>-7.2543974223459153E-4</c:v>
                </c:pt>
                <c:pt idx="21">
                  <c:v>5.184254576557915E-4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5B-4CD3-91D6-8D26C639208C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'R15'!$L$23:$L$24</c:f>
              <c:numCache>
                <c:formatCode>0.00</c:formatCode>
                <c:ptCount val="2"/>
                <c:pt idx="0">
                  <c:v>-119.04712921060445</c:v>
                </c:pt>
                <c:pt idx="1">
                  <c:v>119.04712921060445</c:v>
                </c:pt>
              </c:numCache>
            </c:numRef>
          </c:xVal>
          <c:yVal>
            <c:numRef>
              <c:f>'R15'!$M$23:$M$24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5B-4CD3-91D6-8D26C6392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20001"/>
        <c:axId val="50320002"/>
      </c:scatterChart>
      <c:valAx>
        <c:axId val="503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320002"/>
        <c:crosses val="autoZero"/>
        <c:crossBetween val="midCat"/>
      </c:valAx>
      <c:valAx>
        <c:axId val="5032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32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Traza cruda: potencia óptica contra desplazamiento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Datos crudos</c:v>
          </c:tx>
          <c:spPr>
            <a:ln w="9525">
              <a:solidFill>
                <a:srgbClr val="BFBFBF"/>
              </a:solidFill>
            </a:ln>
          </c:spPr>
          <c:marker>
            <c:symbol val="circle"/>
            <c:size val="5"/>
            <c:spPr>
              <a:solidFill>
                <a:srgbClr val="7F7F7F"/>
              </a:solidFill>
              <a:ln>
                <a:solidFill>
                  <a:srgbClr val="7F7F7F"/>
                </a:solidFill>
              </a:ln>
            </c:spPr>
          </c:marker>
          <c:xVal>
            <c:numRef>
              <c:f>Ejemplo!$A$2:$A$301</c:f>
              <c:numCache>
                <c:formatCode>General</c:formatCode>
                <c:ptCount val="300"/>
                <c:pt idx="0">
                  <c:v>12463</c:v>
                </c:pt>
                <c:pt idx="1">
                  <c:v>12475</c:v>
                </c:pt>
                <c:pt idx="2">
                  <c:v>12485</c:v>
                </c:pt>
                <c:pt idx="3">
                  <c:v>12487</c:v>
                </c:pt>
                <c:pt idx="4">
                  <c:v>12489</c:v>
                </c:pt>
                <c:pt idx="5">
                  <c:v>12491</c:v>
                </c:pt>
                <c:pt idx="6">
                  <c:v>12493</c:v>
                </c:pt>
                <c:pt idx="7">
                  <c:v>12495</c:v>
                </c:pt>
                <c:pt idx="8">
                  <c:v>12497</c:v>
                </c:pt>
                <c:pt idx="9">
                  <c:v>12499</c:v>
                </c:pt>
                <c:pt idx="10">
                  <c:v>12501</c:v>
                </c:pt>
                <c:pt idx="11">
                  <c:v>12503</c:v>
                </c:pt>
                <c:pt idx="12">
                  <c:v>12505</c:v>
                </c:pt>
                <c:pt idx="13">
                  <c:v>12507</c:v>
                </c:pt>
                <c:pt idx="14">
                  <c:v>12509</c:v>
                </c:pt>
                <c:pt idx="15">
                  <c:v>12511</c:v>
                </c:pt>
                <c:pt idx="16">
                  <c:v>12513</c:v>
                </c:pt>
                <c:pt idx="17">
                  <c:v>12515</c:v>
                </c:pt>
                <c:pt idx="18">
                  <c:v>12525</c:v>
                </c:pt>
                <c:pt idx="19">
                  <c:v>12538</c:v>
                </c:pt>
              </c:numCache>
            </c:numRef>
          </c:xVal>
          <c:yVal>
            <c:numRef>
              <c:f>Ejemplo!$B$2:$B$301</c:f>
              <c:numCache>
                <c:formatCode>General</c:formatCode>
                <c:ptCount val="300"/>
                <c:pt idx="0">
                  <c:v>0.70299999999999996</c:v>
                </c:pt>
                <c:pt idx="1">
                  <c:v>0.73199999999999998</c:v>
                </c:pt>
                <c:pt idx="2">
                  <c:v>2.0670000000000002</c:v>
                </c:pt>
                <c:pt idx="3">
                  <c:v>3.3969999999999998</c:v>
                </c:pt>
                <c:pt idx="4">
                  <c:v>5.7050000000000001</c:v>
                </c:pt>
                <c:pt idx="5">
                  <c:v>9.7249999999999996</c:v>
                </c:pt>
                <c:pt idx="6">
                  <c:v>15.852</c:v>
                </c:pt>
                <c:pt idx="7">
                  <c:v>22.751000000000001</c:v>
                </c:pt>
                <c:pt idx="8">
                  <c:v>30.004999999999999</c:v>
                </c:pt>
                <c:pt idx="9">
                  <c:v>35.301000000000002</c:v>
                </c:pt>
                <c:pt idx="10">
                  <c:v>35.231000000000002</c:v>
                </c:pt>
                <c:pt idx="11">
                  <c:v>30.335000000000001</c:v>
                </c:pt>
                <c:pt idx="12">
                  <c:v>22.6</c:v>
                </c:pt>
                <c:pt idx="13">
                  <c:v>15.532999999999999</c:v>
                </c:pt>
                <c:pt idx="14">
                  <c:v>9.8179999999999996</c:v>
                </c:pt>
                <c:pt idx="15">
                  <c:v>5.6749999999999998</c:v>
                </c:pt>
                <c:pt idx="16">
                  <c:v>3.3969999999999998</c:v>
                </c:pt>
                <c:pt idx="17">
                  <c:v>2.0350000000000001</c:v>
                </c:pt>
                <c:pt idx="18">
                  <c:v>0.72099999999999997</c:v>
                </c:pt>
                <c:pt idx="19">
                  <c:v>0.68100000000000005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D-42C0-95BF-821FE5D63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30001"/>
        <c:axId val="50330002"/>
      </c:scatterChart>
      <c:valAx>
        <c:axId val="503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Posición del micrómetro (µm)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30002"/>
        <c:crosses val="autoZero"/>
        <c:crossBetween val="midCat"/>
      </c:valAx>
      <c:valAx>
        <c:axId val="50330002"/>
        <c:scaling>
          <c:orientation val="minMax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óptica (µW)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33000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aseline="0"/>
            </a:pPr>
            <a:r>
              <a:rPr lang="en-US" sz="1100" baseline="0"/>
              <a:t>Autocorrelación normalizada (sin fondo) contra retardo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Traza normalizada</c:v>
          </c:tx>
          <c:spPr>
            <a:ln w="9525">
              <a:solidFill>
                <a:srgbClr val="8EA9DB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xVal>
            <c:numRef>
              <c:f>Ejemplo!$I$2:$I$301</c:f>
              <c:numCache>
                <c:formatCode>0.00</c:formatCode>
                <c:ptCount val="300"/>
                <c:pt idx="0">
                  <c:v>-246.5857885149162</c:v>
                </c:pt>
                <c:pt idx="1">
                  <c:v>-166.53040566734853</c:v>
                </c:pt>
                <c:pt idx="2">
                  <c:v>-99.817586627730634</c:v>
                </c:pt>
                <c:pt idx="3">
                  <c:v>-86.475022819795413</c:v>
                </c:pt>
                <c:pt idx="4">
                  <c:v>-73.132459011874744</c:v>
                </c:pt>
                <c:pt idx="5">
                  <c:v>-59.789895203939523</c:v>
                </c:pt>
                <c:pt idx="6">
                  <c:v>-46.447331396018853</c:v>
                </c:pt>
                <c:pt idx="7">
                  <c:v>-33.104767588098184</c:v>
                </c:pt>
                <c:pt idx="8">
                  <c:v>-19.762203780162963</c:v>
                </c:pt>
                <c:pt idx="9">
                  <c:v>-6.4196399722422939</c:v>
                </c:pt>
                <c:pt idx="10">
                  <c:v>6.9229238356783753</c:v>
                </c:pt>
                <c:pt idx="11">
                  <c:v>20.265487643613596</c:v>
                </c:pt>
                <c:pt idx="12">
                  <c:v>33.608051451534266</c:v>
                </c:pt>
                <c:pt idx="13">
                  <c:v>46.950615259454935</c:v>
                </c:pt>
                <c:pt idx="14">
                  <c:v>60.293179067390156</c:v>
                </c:pt>
                <c:pt idx="15">
                  <c:v>73.635742875310825</c:v>
                </c:pt>
                <c:pt idx="16">
                  <c:v>86.978306683246046</c:v>
                </c:pt>
                <c:pt idx="17">
                  <c:v>100.32087049116672</c:v>
                </c:pt>
                <c:pt idx="18">
                  <c:v>167.03368953079917</c:v>
                </c:pt>
                <c:pt idx="19">
                  <c:v>253.76035428231989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xVal>
          <c:yVal>
            <c:numRef>
              <c:f>Ejemplo!$J$2:$J$301</c:f>
              <c:numCache>
                <c:formatCode>0.0000</c:formatCode>
                <c:ptCount val="300"/>
                <c:pt idx="0">
                  <c:v>-1.8067891910643688E-4</c:v>
                </c:pt>
                <c:pt idx="1">
                  <c:v>6.5767126554741909E-4</c:v>
                </c:pt>
                <c:pt idx="2">
                  <c:v>3.9250688386681797E-2</c:v>
                </c:pt>
                <c:pt idx="3">
                  <c:v>7.7699162372531008E-2</c:v>
                </c:pt>
                <c:pt idx="4">
                  <c:v>0.14442027362015508</c:v>
                </c:pt>
                <c:pt idx="5">
                  <c:v>0.26063295438941358</c:v>
                </c:pt>
                <c:pt idx="6">
                  <c:v>0.43775611236783329</c:v>
                </c:pt>
                <c:pt idx="7">
                  <c:v>0.63719673043427982</c:v>
                </c:pt>
                <c:pt idx="8">
                  <c:v>0.84689991110597163</c:v>
                </c:pt>
                <c:pt idx="9">
                  <c:v>1</c:v>
                </c:pt>
                <c:pt idx="10">
                  <c:v>0.99797639610600797</c:v>
                </c:pt>
                <c:pt idx="11">
                  <c:v>0.85643975803479144</c:v>
                </c:pt>
                <c:pt idx="12">
                  <c:v>0.63283152774866835</c:v>
                </c:pt>
                <c:pt idx="13">
                  <c:v>0.42853426033664088</c:v>
                </c:pt>
                <c:pt idx="14">
                  <c:v>0.26332145670571733</c:v>
                </c:pt>
                <c:pt idx="15">
                  <c:v>0.14355301480844418</c:v>
                </c:pt>
                <c:pt idx="16">
                  <c:v>7.7699162372531008E-2</c:v>
                </c:pt>
                <c:pt idx="17">
                  <c:v>3.832561232085685E-2</c:v>
                </c:pt>
                <c:pt idx="18">
                  <c:v>3.3967636792009442E-4</c:v>
                </c:pt>
                <c:pt idx="19">
                  <c:v>-8.1666871436108298E-4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9D-4268-976E-E07F6B138BE8}"/>
            </c:ext>
          </c:extLst>
        </c:ser>
        <c:ser>
          <c:idx val="1"/>
          <c:order val="1"/>
          <c:tx>
            <c:v>Ancho a media altura</c:v>
          </c:tx>
          <c:spPr>
            <a:ln w="25400">
              <a:solidFill>
                <a:srgbClr val="C00000"/>
              </a:solidFill>
            </a:ln>
          </c:spPr>
          <c:marker>
            <c:symbol val="diamond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Ejemplo!$L$23:$L$24</c:f>
              <c:numCache>
                <c:formatCode>0.00</c:formatCode>
                <c:ptCount val="2"/>
                <c:pt idx="0">
                  <c:v>-42.283219539385755</c:v>
                </c:pt>
                <c:pt idx="1">
                  <c:v>42.283219539400307</c:v>
                </c:pt>
              </c:numCache>
            </c:numRef>
          </c:xVal>
          <c:yVal>
            <c:numRef>
              <c:f>Ejemplo!$M$23:$M$24</c:f>
              <c:numCache>
                <c:formatCode>0.00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9D-4268-976E-E07F6B138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40001"/>
        <c:axId val="50340002"/>
      </c:scatterChart>
      <c:valAx>
        <c:axId val="503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Retardo respecto al centro (fs)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340002"/>
        <c:crosses val="autoZero"/>
        <c:crossBetween val="midCat"/>
      </c:valAx>
      <c:valAx>
        <c:axId val="50340002"/>
        <c:scaling>
          <c:orientation val="minMax"/>
          <c:max val="1.1000000000000001"/>
          <c:min val="-0.1"/>
        </c:scaling>
        <c:delete val="0"/>
        <c:axPos val="l"/>
        <c:majorGridlines>
          <c:spPr>
            <a:ln>
              <a:solidFill>
                <a:srgbClr val="EEEEEE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Señal normalizada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340001"/>
        <c:crosses val="autoZero"/>
        <c:crossBetween val="midCat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7</xdr:col>
      <xdr:colOff>285750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13</xdr:col>
      <xdr:colOff>266700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16</xdr:col>
      <xdr:colOff>381000</xdr:colOff>
      <xdr:row>43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381000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opLeftCell="A25" workbookViewId="0"/>
  </sheetViews>
  <sheetFormatPr baseColWidth="10" defaultColWidth="8.88671875" defaultRowHeight="14.4" x14ac:dyDescent="0.3"/>
  <cols>
    <col min="1" max="1" width="4.6640625" customWidth="1"/>
    <col min="2" max="2" width="110.6640625" customWidth="1"/>
  </cols>
  <sheetData>
    <row r="1" spans="1:2" ht="17.399999999999999" x14ac:dyDescent="0.3">
      <c r="B1" s="1" t="s">
        <v>263</v>
      </c>
    </row>
    <row r="2" spans="1:2" x14ac:dyDescent="0.3">
      <c r="B2" s="2" t="s">
        <v>264</v>
      </c>
    </row>
    <row r="4" spans="1:2" x14ac:dyDescent="0.3">
      <c r="B4" s="3" t="s">
        <v>265</v>
      </c>
    </row>
    <row r="5" spans="1:2" ht="39.6" x14ac:dyDescent="0.3">
      <c r="A5" s="4" t="s">
        <v>266</v>
      </c>
      <c r="B5" s="5" t="s">
        <v>267</v>
      </c>
    </row>
    <row r="6" spans="1:2" x14ac:dyDescent="0.3">
      <c r="A6" s="4" t="s">
        <v>268</v>
      </c>
      <c r="B6" s="5" t="s">
        <v>269</v>
      </c>
    </row>
    <row r="7" spans="1:2" x14ac:dyDescent="0.3">
      <c r="B7" s="3" t="s">
        <v>270</v>
      </c>
    </row>
    <row r="8" spans="1:2" ht="52.8" x14ac:dyDescent="0.3">
      <c r="A8" s="4" t="s">
        <v>271</v>
      </c>
      <c r="B8" s="5" t="s">
        <v>272</v>
      </c>
    </row>
    <row r="9" spans="1:2" ht="26.4" x14ac:dyDescent="0.3">
      <c r="A9" s="4" t="s">
        <v>273</v>
      </c>
      <c r="B9" s="5" t="s">
        <v>274</v>
      </c>
    </row>
    <row r="10" spans="1:2" ht="26.4" x14ac:dyDescent="0.3">
      <c r="A10" s="4" t="s">
        <v>275</v>
      </c>
      <c r="B10" s="5" t="s">
        <v>276</v>
      </c>
    </row>
    <row r="11" spans="1:2" x14ac:dyDescent="0.3">
      <c r="B11" s="3" t="s">
        <v>277</v>
      </c>
    </row>
    <row r="12" spans="1:2" x14ac:dyDescent="0.3">
      <c r="A12" s="4" t="s">
        <v>278</v>
      </c>
      <c r="B12" s="5" t="s">
        <v>279</v>
      </c>
    </row>
    <row r="13" spans="1:2" ht="26.4" x14ac:dyDescent="0.3">
      <c r="A13" s="4" t="s">
        <v>280</v>
      </c>
      <c r="B13" s="5" t="s">
        <v>281</v>
      </c>
    </row>
    <row r="14" spans="1:2" ht="26.4" x14ac:dyDescent="0.3">
      <c r="A14" s="4" t="s">
        <v>282</v>
      </c>
      <c r="B14" s="5" t="s">
        <v>283</v>
      </c>
    </row>
    <row r="15" spans="1:2" x14ac:dyDescent="0.3">
      <c r="A15" s="4" t="s">
        <v>284</v>
      </c>
      <c r="B15" s="5" t="s">
        <v>285</v>
      </c>
    </row>
    <row r="16" spans="1:2" x14ac:dyDescent="0.3">
      <c r="B16" s="3" t="s">
        <v>286</v>
      </c>
    </row>
    <row r="17" spans="1:2" x14ac:dyDescent="0.3">
      <c r="A17" s="4" t="s">
        <v>287</v>
      </c>
      <c r="B17" s="5" t="s">
        <v>288</v>
      </c>
    </row>
    <row r="18" spans="1:2" ht="26.4" x14ac:dyDescent="0.3">
      <c r="A18" s="4" t="s">
        <v>287</v>
      </c>
      <c r="B18" s="5" t="s">
        <v>289</v>
      </c>
    </row>
    <row r="19" spans="1:2" ht="39.6" x14ac:dyDescent="0.3">
      <c r="A19" s="4" t="s">
        <v>287</v>
      </c>
      <c r="B19" s="5" t="s">
        <v>290</v>
      </c>
    </row>
    <row r="20" spans="1:2" ht="26.4" x14ac:dyDescent="0.3">
      <c r="A20" s="4" t="s">
        <v>287</v>
      </c>
      <c r="B20" s="5" t="s">
        <v>291</v>
      </c>
    </row>
    <row r="21" spans="1:2" x14ac:dyDescent="0.3">
      <c r="B21" s="3" t="s">
        <v>292</v>
      </c>
    </row>
    <row r="22" spans="1:2" ht="26.4" x14ac:dyDescent="0.3">
      <c r="A22" s="4" t="s">
        <v>287</v>
      </c>
      <c r="B22" s="5" t="s"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topLeftCell="A7" workbookViewId="0"/>
  </sheetViews>
  <sheetFormatPr baseColWidth="10" defaultColWidth="8.88671875" defaultRowHeight="14.4" x14ac:dyDescent="0.3"/>
  <cols>
    <col min="1" max="1" width="46.6640625" customWidth="1"/>
    <col min="2" max="2" width="16.6640625" customWidth="1"/>
    <col min="3" max="3" width="70.6640625" customWidth="1"/>
    <col min="4" max="5" width="12.6640625" customWidth="1"/>
  </cols>
  <sheetData>
    <row r="1" spans="1:3" ht="17.399999999999999" x14ac:dyDescent="0.3">
      <c r="A1" s="1" t="s">
        <v>0</v>
      </c>
    </row>
    <row r="2" spans="1:3" x14ac:dyDescent="0.3">
      <c r="A2" s="2" t="s">
        <v>1</v>
      </c>
    </row>
    <row r="4" spans="1:3" x14ac:dyDescent="0.3">
      <c r="A4" s="6" t="s">
        <v>2</v>
      </c>
      <c r="B4" s="6" t="s">
        <v>3</v>
      </c>
      <c r="C4" s="6" t="s">
        <v>4</v>
      </c>
    </row>
    <row r="5" spans="1:3" x14ac:dyDescent="0.3">
      <c r="A5" s="7" t="s">
        <v>5</v>
      </c>
    </row>
    <row r="6" spans="1:3" ht="26.4" x14ac:dyDescent="0.3">
      <c r="A6" s="8" t="s">
        <v>6</v>
      </c>
      <c r="B6" s="9" t="s">
        <v>7</v>
      </c>
      <c r="C6" s="10" t="s">
        <v>8</v>
      </c>
    </row>
    <row r="7" spans="1:3" ht="26.4" x14ac:dyDescent="0.3">
      <c r="A7" s="8" t="s">
        <v>9</v>
      </c>
      <c r="B7" s="11">
        <v>2</v>
      </c>
      <c r="C7" s="10" t="s">
        <v>10</v>
      </c>
    </row>
    <row r="8" spans="1:3" x14ac:dyDescent="0.3">
      <c r="A8" s="8" t="s">
        <v>11</v>
      </c>
      <c r="B8" s="12">
        <v>299792458</v>
      </c>
      <c r="C8" s="10" t="s">
        <v>12</v>
      </c>
    </row>
    <row r="9" spans="1:3" x14ac:dyDescent="0.3">
      <c r="A9" s="8" t="s">
        <v>13</v>
      </c>
      <c r="B9" s="13">
        <f>IF(unidad="nm",10^-9,IF(unidad="mm",10^-3,10^-6))</f>
        <v>9.9999999999999995E-7</v>
      </c>
      <c r="C9" s="10" t="s">
        <v>14</v>
      </c>
    </row>
    <row r="10" spans="1:3" x14ac:dyDescent="0.3">
      <c r="A10" s="8" t="s">
        <v>15</v>
      </c>
      <c r="B10" s="14">
        <f>pasos*a_metros/c_luz*10^15</f>
        <v>6.6712819039630409</v>
      </c>
      <c r="C10" s="10" t="s">
        <v>16</v>
      </c>
    </row>
    <row r="12" spans="1:3" x14ac:dyDescent="0.3">
      <c r="A12" s="7" t="s">
        <v>17</v>
      </c>
    </row>
    <row r="13" spans="1:3" x14ac:dyDescent="0.3">
      <c r="A13" s="8" t="s">
        <v>18</v>
      </c>
      <c r="B13" s="11">
        <v>0.65</v>
      </c>
      <c r="C13" s="10" t="s">
        <v>19</v>
      </c>
    </row>
    <row r="14" spans="1:3" ht="26.4" x14ac:dyDescent="0.3">
      <c r="A14" s="8" t="s">
        <v>20</v>
      </c>
      <c r="B14" s="15">
        <v>2</v>
      </c>
      <c r="C14" s="10" t="s">
        <v>21</v>
      </c>
    </row>
    <row r="15" spans="1:3" ht="39.6" x14ac:dyDescent="0.3">
      <c r="A15" s="8" t="s">
        <v>22</v>
      </c>
      <c r="B15" s="15">
        <v>1</v>
      </c>
      <c r="C15" s="10" t="s">
        <v>23</v>
      </c>
    </row>
    <row r="16" spans="1:3" x14ac:dyDescent="0.3">
      <c r="A16" s="8" t="s">
        <v>24</v>
      </c>
      <c r="B16" s="12">
        <f>INT((MAX(1,ventana)-1)/2)</f>
        <v>0</v>
      </c>
      <c r="C16" s="10" t="s">
        <v>25</v>
      </c>
    </row>
    <row r="17" spans="1:3" ht="26.4" x14ac:dyDescent="0.3">
      <c r="A17" s="8" t="s">
        <v>26</v>
      </c>
      <c r="B17" s="15">
        <v>5</v>
      </c>
      <c r="C17" s="10" t="s">
        <v>27</v>
      </c>
    </row>
    <row r="18" spans="1:3" ht="39.6" x14ac:dyDescent="0.3">
      <c r="A18" s="8" t="s">
        <v>28</v>
      </c>
      <c r="B18" s="11">
        <v>2</v>
      </c>
      <c r="C18" s="10" t="s">
        <v>29</v>
      </c>
    </row>
    <row r="19" spans="1:3" ht="26.4" x14ac:dyDescent="0.3">
      <c r="A19" s="8" t="s">
        <v>30</v>
      </c>
      <c r="B19" s="15">
        <v>16</v>
      </c>
      <c r="C19" s="10" t="s">
        <v>31</v>
      </c>
    </row>
    <row r="20" spans="1:3" ht="26.4" x14ac:dyDescent="0.3">
      <c r="A20" s="8" t="s">
        <v>32</v>
      </c>
      <c r="B20" s="11">
        <v>1.5</v>
      </c>
      <c r="C20" s="10" t="s">
        <v>33</v>
      </c>
    </row>
    <row r="21" spans="1:3" ht="26.4" x14ac:dyDescent="0.3">
      <c r="A21" s="8" t="s">
        <v>34</v>
      </c>
      <c r="B21" s="11">
        <v>1</v>
      </c>
      <c r="C21" s="10" t="s">
        <v>35</v>
      </c>
    </row>
    <row r="23" spans="1:3" x14ac:dyDescent="0.3">
      <c r="A23" s="7" t="s">
        <v>36</v>
      </c>
    </row>
    <row r="24" spans="1:3" ht="39.6" x14ac:dyDescent="0.3">
      <c r="A24" s="8" t="s">
        <v>37</v>
      </c>
      <c r="B24" s="11">
        <v>5</v>
      </c>
      <c r="C24" s="10" t="s">
        <v>38</v>
      </c>
    </row>
    <row r="25" spans="1:3" ht="39.6" x14ac:dyDescent="0.3">
      <c r="A25" s="8" t="s">
        <v>39</v>
      </c>
      <c r="B25" s="11">
        <v>6</v>
      </c>
      <c r="C25" s="10" t="s">
        <v>38</v>
      </c>
    </row>
    <row r="26" spans="1:3" ht="39.6" x14ac:dyDescent="0.3">
      <c r="A26" s="8" t="s">
        <v>40</v>
      </c>
      <c r="B26" s="11">
        <v>7</v>
      </c>
      <c r="C26" s="10" t="s">
        <v>38</v>
      </c>
    </row>
    <row r="28" spans="1:3" x14ac:dyDescent="0.3">
      <c r="A28" s="7" t="s">
        <v>41</v>
      </c>
    </row>
    <row r="29" spans="1:3" x14ac:dyDescent="0.3">
      <c r="A29" s="8" t="s">
        <v>42</v>
      </c>
      <c r="B29" s="11">
        <v>0.05</v>
      </c>
      <c r="C29" s="10" t="s">
        <v>43</v>
      </c>
    </row>
    <row r="30" spans="1:3" x14ac:dyDescent="0.3">
      <c r="A30" s="8" t="s">
        <v>44</v>
      </c>
      <c r="B30" s="11">
        <v>0.9</v>
      </c>
      <c r="C30" s="10" t="s">
        <v>45</v>
      </c>
    </row>
    <row r="31" spans="1:3" ht="39.6" x14ac:dyDescent="0.3">
      <c r="A31" s="8" t="s">
        <v>46</v>
      </c>
      <c r="B31" s="15">
        <v>2</v>
      </c>
      <c r="C31" s="10" t="s">
        <v>47</v>
      </c>
    </row>
    <row r="32" spans="1:3" x14ac:dyDescent="0.3">
      <c r="A32" s="8" t="s">
        <v>48</v>
      </c>
      <c r="B32" s="11">
        <v>0.8</v>
      </c>
      <c r="C32" s="10" t="s">
        <v>49</v>
      </c>
    </row>
    <row r="33" spans="1:4" x14ac:dyDescent="0.3">
      <c r="A33" s="8" t="s">
        <v>50</v>
      </c>
      <c r="B33" s="11">
        <v>10</v>
      </c>
      <c r="C33" s="10" t="s">
        <v>51</v>
      </c>
    </row>
    <row r="35" spans="1:4" ht="26.4" x14ac:dyDescent="0.3">
      <c r="A35" s="7" t="s">
        <v>52</v>
      </c>
    </row>
    <row r="36" spans="1:4" x14ac:dyDescent="0.3">
      <c r="A36" s="6" t="s">
        <v>53</v>
      </c>
      <c r="B36" s="6" t="s">
        <v>54</v>
      </c>
      <c r="C36" s="6" t="s">
        <v>55</v>
      </c>
      <c r="D36" s="6" t="s">
        <v>56</v>
      </c>
    </row>
    <row r="37" spans="1:4" x14ac:dyDescent="0.3">
      <c r="A37" s="8" t="s">
        <v>57</v>
      </c>
      <c r="B37" s="11">
        <v>107</v>
      </c>
      <c r="C37" s="11">
        <v>76</v>
      </c>
      <c r="D37" s="11">
        <v>54</v>
      </c>
    </row>
    <row r="38" spans="1:4" x14ac:dyDescent="0.3">
      <c r="A38" s="8" t="s">
        <v>58</v>
      </c>
      <c r="B38" s="11"/>
      <c r="C38" s="11"/>
      <c r="D38" s="11"/>
    </row>
    <row r="39" spans="1:4" x14ac:dyDescent="0.3">
      <c r="A39" s="8" t="s">
        <v>59</v>
      </c>
      <c r="B39" s="11"/>
      <c r="C39" s="11"/>
      <c r="D39" s="11">
        <v>80</v>
      </c>
    </row>
    <row r="40" spans="1:4" x14ac:dyDescent="0.3">
      <c r="A40" s="8" t="s">
        <v>60</v>
      </c>
      <c r="B40" s="11"/>
      <c r="C40" s="11"/>
      <c r="D40" s="11"/>
    </row>
    <row r="41" spans="1:4" ht="26.4" x14ac:dyDescent="0.3">
      <c r="A41" s="8" t="s">
        <v>61</v>
      </c>
      <c r="B41" s="11"/>
      <c r="C41" s="11"/>
      <c r="D41" s="11"/>
    </row>
    <row r="42" spans="1:4" x14ac:dyDescent="0.3">
      <c r="A42" s="8" t="s">
        <v>62</v>
      </c>
      <c r="B42" s="11"/>
      <c r="C42" s="11"/>
      <c r="D42" s="11"/>
    </row>
    <row r="43" spans="1:4" x14ac:dyDescent="0.3">
      <c r="A43" s="8" t="s">
        <v>63</v>
      </c>
      <c r="B43" s="11">
        <v>218</v>
      </c>
      <c r="C43" s="11">
        <v>378</v>
      </c>
      <c r="D43" s="11">
        <v>579</v>
      </c>
    </row>
    <row r="44" spans="1:4" ht="55.95" customHeight="1" x14ac:dyDescent="0.3">
      <c r="A44" s="30" t="s">
        <v>64</v>
      </c>
      <c r="B44" s="30"/>
      <c r="C44" s="30"/>
    </row>
    <row r="46" spans="1:4" x14ac:dyDescent="0.3">
      <c r="A46" s="7" t="s">
        <v>65</v>
      </c>
    </row>
    <row r="47" spans="1:4" x14ac:dyDescent="0.3">
      <c r="A47" s="8" t="s">
        <v>66</v>
      </c>
      <c r="B47" s="11">
        <v>5</v>
      </c>
      <c r="C47" s="10" t="s">
        <v>67</v>
      </c>
    </row>
    <row r="48" spans="1:4" ht="26.4" x14ac:dyDescent="0.3">
      <c r="A48" s="8" t="s">
        <v>68</v>
      </c>
      <c r="B48" s="11"/>
      <c r="C48" s="10" t="s">
        <v>69</v>
      </c>
    </row>
    <row r="49" spans="1:4" ht="26.4" x14ac:dyDescent="0.3">
      <c r="A49" s="8" t="s">
        <v>70</v>
      </c>
      <c r="B49" s="15">
        <v>2610</v>
      </c>
      <c r="C49" s="10" t="s">
        <v>71</v>
      </c>
    </row>
    <row r="51" spans="1:4" ht="26.4" x14ac:dyDescent="0.3">
      <c r="A51" s="7" t="s">
        <v>72</v>
      </c>
    </row>
    <row r="52" spans="1:4" x14ac:dyDescent="0.3">
      <c r="A52" s="6" t="s">
        <v>73</v>
      </c>
      <c r="B52" s="6" t="s">
        <v>54</v>
      </c>
      <c r="C52" s="6" t="s">
        <v>55</v>
      </c>
      <c r="D52" s="6" t="s">
        <v>56</v>
      </c>
    </row>
    <row r="53" spans="1:4" x14ac:dyDescent="0.3">
      <c r="A53" s="8" t="s">
        <v>74</v>
      </c>
      <c r="B53" s="16">
        <f>tau0_1</f>
        <v>107</v>
      </c>
      <c r="C53" s="16">
        <f>tau0_2</f>
        <v>76</v>
      </c>
      <c r="D53" s="16">
        <f>tau0_3</f>
        <v>54</v>
      </c>
    </row>
    <row r="54" spans="1:4" ht="26.4" x14ac:dyDescent="0.3">
      <c r="A54" s="8" t="s">
        <v>75</v>
      </c>
      <c r="B54" s="17">
        <f>IF(ISNUMBER(B53),B53/factor_forma,"")</f>
        <v>164.61538461538461</v>
      </c>
      <c r="C54" s="17">
        <f>IF(ISNUMBER(C53),C53/factor_forma,"")</f>
        <v>116.92307692307692</v>
      </c>
      <c r="D54" s="17">
        <f>IF(ISNUMBER(D53),D53/factor_forma,"")</f>
        <v>83.07692307692308</v>
      </c>
    </row>
    <row r="55" spans="1:4" x14ac:dyDescent="0.3">
      <c r="A55" s="8" t="s">
        <v>76</v>
      </c>
      <c r="B55" s="17">
        <f>IF(ISNUMBER(B54),B54/(pasos*10^-6/c_luz*10^15),"")</f>
        <v>24.675225389230768</v>
      </c>
      <c r="C55" s="17">
        <f>IF(ISNUMBER(C54),C54/(pasos*10^-6/c_luz*10^15),"")</f>
        <v>17.526328313846154</v>
      </c>
      <c r="D55" s="17">
        <f>IF(ISNUMBER(D54),D54/(pasos*10^-6/c_luz*10^15),"")</f>
        <v>12.452917486153847</v>
      </c>
    </row>
    <row r="56" spans="1:4" x14ac:dyDescent="0.3">
      <c r="A56" s="8" t="s">
        <v>77</v>
      </c>
      <c r="B56" s="12">
        <f>IF(ISNUMBER(B55),ROUND(zona_ac*B55,0),"")</f>
        <v>37</v>
      </c>
      <c r="C56" s="12">
        <f>IF(ISNUMBER(C55),ROUND(zona_ac*C55,0),"")</f>
        <v>26</v>
      </c>
      <c r="D56" s="12">
        <f>IF(ISNUMBER(D55),ROUND(zona_ac*D55,0),"")</f>
        <v>19</v>
      </c>
    </row>
    <row r="57" spans="1:4" x14ac:dyDescent="0.3">
      <c r="A57" s="8" t="s">
        <v>78</v>
      </c>
      <c r="B57" s="17">
        <f>IF(ISNUMBER(B56),MAX(resol,INT(2*zona_ac*B55/(n_zona-1)/resol)*resol),"")</f>
        <v>4</v>
      </c>
      <c r="C57" s="17">
        <f>IF(ISNUMBER(C56),MAX(resol,INT(2*zona_ac*C55/(n_zona-1)/resol)*resol),"")</f>
        <v>3</v>
      </c>
      <c r="D57" s="17">
        <f>IF(ISNUMBER(D56),MAX(resol,INT(2*zona_ac*D55/(n_zona-1)/resol)*resol),"")</f>
        <v>2</v>
      </c>
    </row>
    <row r="58" spans="1:4" x14ac:dyDescent="0.3">
      <c r="A58" s="8" t="s">
        <v>79</v>
      </c>
      <c r="B58" s="12">
        <f>IF(ISNUMBER(B57),INT(B55/B57),"")</f>
        <v>6</v>
      </c>
      <c r="C58" s="12">
        <f>IF(ISNUMBER(C57),INT(C55/C57),"")</f>
        <v>5</v>
      </c>
      <c r="D58" s="12">
        <f>IF(ISNUMBER(D57),INT(D55/D57),"")</f>
        <v>6</v>
      </c>
    </row>
    <row r="59" spans="1:4" x14ac:dyDescent="0.3">
      <c r="A59" s="8" t="s">
        <v>80</v>
      </c>
      <c r="B59" s="12">
        <f>IF(ISNUMBER(B55),ROUND(2*B55,0),"")</f>
        <v>49</v>
      </c>
      <c r="C59" s="12">
        <f>IF(ISNUMBER(C55),ROUND(2*C55,0),"")</f>
        <v>35</v>
      </c>
      <c r="D59" s="12">
        <f>IF(ISNUMBER(D55),ROUND(2*D55,0),"")</f>
        <v>25</v>
      </c>
    </row>
    <row r="60" spans="1:4" x14ac:dyDescent="0.3">
      <c r="A60" s="8" t="s">
        <v>81</v>
      </c>
      <c r="B60" s="12">
        <f>IF(ISNUMBER(B55),ROUND(3*B55,0),"")</f>
        <v>74</v>
      </c>
      <c r="C60" s="12">
        <f>IF(ISNUMBER(C55),ROUND(3*C55,0),"")</f>
        <v>53</v>
      </c>
      <c r="D60" s="12">
        <f>IF(ISNUMBER(D55),ROUND(3*D55,0),"")</f>
        <v>37</v>
      </c>
    </row>
    <row r="61" spans="1:4" x14ac:dyDescent="0.3">
      <c r="A61" s="8" t="s">
        <v>82</v>
      </c>
      <c r="B61" s="12">
        <f>IF(ISNUMBER(B55),n_zona+2*n_fondo,"")</f>
        <v>20</v>
      </c>
      <c r="C61" s="12">
        <f>IF(ISNUMBER(C55),n_zona+2*n_fondo,"")</f>
        <v>20</v>
      </c>
      <c r="D61" s="12">
        <f>IF(ISNUMBER(D55),n_zona+2*n_fondo,"")</f>
        <v>20</v>
      </c>
    </row>
    <row r="62" spans="1:4" x14ac:dyDescent="0.3">
      <c r="A62" s="8" t="s">
        <v>83</v>
      </c>
      <c r="B62" s="18" t="str">
        <f>IF(ISNUMBER(B58),IF(B58&gt;=pts_min,"Sí","No: hace falta leer más fino"),"")</f>
        <v>Sí</v>
      </c>
      <c r="C62" s="18" t="str">
        <f>IF(ISNUMBER(C58),IF(C58&gt;=pts_min,"Sí","No: hace falta leer más fino"),"")</f>
        <v>Sí</v>
      </c>
      <c r="D62" s="18" t="str">
        <f>IF(ISNUMBER(D58),IF(D58&gt;=pts_min,"Sí","No: hace falta leer más fino"),"")</f>
        <v>Sí</v>
      </c>
    </row>
    <row r="63" spans="1:4" ht="30" customHeight="1" x14ac:dyDescent="0.3">
      <c r="A63" s="30" t="s">
        <v>84</v>
      </c>
      <c r="B63" s="30"/>
      <c r="C63" s="30"/>
    </row>
  </sheetData>
  <mergeCells count="2">
    <mergeCell ref="A44:C44"/>
    <mergeCell ref="A63:C63"/>
  </mergeCells>
  <dataValidations count="1">
    <dataValidation type="list" allowBlank="1" showInputMessage="1" showErrorMessage="1" sqref="B31" xr:uid="{00000000-0002-0000-0100-000000000000}">
      <formula1>"1,2"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tabSelected="1" workbookViewId="0">
      <pane ySplit="4" topLeftCell="A5" activePane="bottomLeft" state="frozen"/>
      <selection pane="bottomLeft" activeCell="B19" sqref="B19"/>
    </sheetView>
  </sheetViews>
  <sheetFormatPr baseColWidth="10" defaultColWidth="8.88671875" defaultRowHeight="14.4" x14ac:dyDescent="0.3"/>
  <cols>
    <col min="1" max="1" width="6.6640625" customWidth="1"/>
    <col min="2" max="3" width="9.6640625" customWidth="1"/>
    <col min="4" max="4" width="11.6640625" customWidth="1"/>
    <col min="5" max="6" width="10.6640625" customWidth="1"/>
    <col min="7" max="7" width="13.6640625" customWidth="1"/>
    <col min="8" max="8" width="9.6640625" customWidth="1"/>
    <col min="9" max="9" width="34.6640625" customWidth="1"/>
    <col min="10" max="11" width="12.6640625" customWidth="1"/>
    <col min="12" max="12" width="44.6640625" customWidth="1"/>
  </cols>
  <sheetData>
    <row r="1" spans="1:12" ht="17.399999999999999" x14ac:dyDescent="0.3">
      <c r="A1" s="1" t="s">
        <v>133</v>
      </c>
    </row>
    <row r="2" spans="1:12" x14ac:dyDescent="0.3">
      <c r="A2" s="2" t="s">
        <v>134</v>
      </c>
    </row>
    <row r="3" spans="1:12" x14ac:dyDescent="0.3">
      <c r="A3" s="2" t="s">
        <v>135</v>
      </c>
    </row>
    <row r="4" spans="1:12" ht="30" customHeight="1" x14ac:dyDescent="0.3">
      <c r="A4" s="6" t="s">
        <v>136</v>
      </c>
      <c r="B4" s="6" t="s">
        <v>137</v>
      </c>
      <c r="C4" s="6" t="s">
        <v>138</v>
      </c>
      <c r="D4" s="6" t="s">
        <v>139</v>
      </c>
      <c r="E4" s="6" t="s">
        <v>140</v>
      </c>
      <c r="F4" s="6" t="s">
        <v>141</v>
      </c>
      <c r="G4" s="6" t="s">
        <v>142</v>
      </c>
      <c r="H4" s="6" t="s">
        <v>143</v>
      </c>
      <c r="I4" s="6" t="s">
        <v>144</v>
      </c>
      <c r="J4" s="6" t="s">
        <v>145</v>
      </c>
      <c r="K4" s="6" t="s">
        <v>146</v>
      </c>
      <c r="L4" s="6" t="s">
        <v>113</v>
      </c>
    </row>
    <row r="5" spans="1:12" x14ac:dyDescent="0.3">
      <c r="A5" s="12">
        <v>1</v>
      </c>
      <c r="B5" s="18" t="s">
        <v>147</v>
      </c>
      <c r="C5" s="11" t="s">
        <v>55</v>
      </c>
      <c r="D5" s="19">
        <f>IF(C5="","",IF(INDEX(corrientes,MATCH(C5,{"I1","I2","I3"},0))="","(falta)",INDEX(corrientes,MATCH(C5,{"I1","I2","I3"},0))))</f>
        <v>6</v>
      </c>
      <c r="E5" s="20">
        <v>0.25624999999999998</v>
      </c>
      <c r="F5" s="20">
        <v>0.26527777777777778</v>
      </c>
      <c r="G5" s="11"/>
      <c r="H5" s="11" t="s">
        <v>148</v>
      </c>
      <c r="I5" s="21"/>
      <c r="J5" s="16">
        <f>IFERROR('R01'!$M$12+0,"")</f>
        <v>102.19708266073451</v>
      </c>
      <c r="K5" s="16">
        <f>IFERROR('R01'!$M$13+0,"")</f>
        <v>66.428103729477428</v>
      </c>
      <c r="L5" s="18" t="str">
        <f>'R01'!$M$20</f>
        <v>OK</v>
      </c>
    </row>
    <row r="6" spans="1:12" x14ac:dyDescent="0.3">
      <c r="A6" s="12">
        <v>2</v>
      </c>
      <c r="B6" s="18" t="s">
        <v>149</v>
      </c>
      <c r="C6" s="11" t="s">
        <v>56</v>
      </c>
      <c r="D6" s="19">
        <f>IF(C6="","",IF(INDEX(corrientes,MATCH(C6,{"I1","I2","I3"},0))="","(falta)",INDEX(corrientes,MATCH(C6,{"I1","I2","I3"},0))))</f>
        <v>7</v>
      </c>
      <c r="E6" s="20">
        <v>0.27013888888888887</v>
      </c>
      <c r="F6" s="20">
        <v>0.27777777777777779</v>
      </c>
      <c r="G6" s="11"/>
      <c r="H6" s="11" t="s">
        <v>148</v>
      </c>
      <c r="I6" s="21"/>
      <c r="J6" s="16">
        <f>IFERROR('R02'!$M$12+0,"")</f>
        <v>198.20487568290031</v>
      </c>
      <c r="K6" s="16">
        <f>IFERROR('R02'!$M$13+0,"")</f>
        <v>128.8331691938852</v>
      </c>
      <c r="L6" s="18" t="str">
        <f>'R02'!$M$20</f>
        <v>Aviso: pocas lecturas dentro del ancho; afinar el paso cerca del pico</v>
      </c>
    </row>
    <row r="7" spans="1:12" x14ac:dyDescent="0.3">
      <c r="A7" s="12">
        <v>3</v>
      </c>
      <c r="B7" s="18" t="s">
        <v>150</v>
      </c>
      <c r="C7" s="11" t="s">
        <v>56</v>
      </c>
      <c r="D7" s="19">
        <f>IF(C7="","",IF(INDEX(corrientes,MATCH(C7,{"I1","I2","I3"},0))="","(falta)",INDEX(corrientes,MATCH(C7,{"I1","I2","I3"},0))))</f>
        <v>7</v>
      </c>
      <c r="E7" s="20">
        <v>0.27916666666666667</v>
      </c>
      <c r="F7" s="20">
        <v>0.28333333333333333</v>
      </c>
      <c r="G7" s="11"/>
      <c r="H7" s="11" t="s">
        <v>148</v>
      </c>
      <c r="I7" s="21"/>
      <c r="J7" s="16">
        <f>IFERROR('R03'!$M$12+0,"")</f>
        <v>253.7272119228229</v>
      </c>
      <c r="K7" s="16">
        <f>IFERROR('R03'!$M$13+0,"")</f>
        <v>164.92268774983489</v>
      </c>
      <c r="L7" s="18" t="str">
        <f>'R03'!$M$20</f>
        <v>Aviso: pocas lecturas dentro del ancho; afinar el paso cerca del pico</v>
      </c>
    </row>
    <row r="8" spans="1:12" x14ac:dyDescent="0.3">
      <c r="A8" s="12">
        <v>4</v>
      </c>
      <c r="B8" s="18" t="s">
        <v>151</v>
      </c>
      <c r="C8" s="11" t="s">
        <v>55</v>
      </c>
      <c r="D8" s="19">
        <f>IF(C8="","",IF(INDEX(corrientes,MATCH(C8,{"I1","I2","I3"},0))="","(falta)",INDEX(corrientes,MATCH(C8,{"I1","I2","I3"},0))))</f>
        <v>6</v>
      </c>
      <c r="E8" s="20">
        <v>0.28402777777777777</v>
      </c>
      <c r="F8" s="20">
        <v>0.28749999999999998</v>
      </c>
      <c r="G8" s="11"/>
      <c r="H8" s="11" t="s">
        <v>148</v>
      </c>
      <c r="I8" s="21"/>
      <c r="J8" s="16">
        <f>IFERROR('R04'!$M$12+0,"")</f>
        <v>249.69100426419772</v>
      </c>
      <c r="K8" s="16">
        <f>IFERROR('R04'!$M$13+0,"")</f>
        <v>162.29915277172853</v>
      </c>
      <c r="L8" s="18" t="str">
        <f>'R04'!$M$20</f>
        <v>Aviso: pocas lecturas dentro del ancho; afinar el paso cerca del pico</v>
      </c>
    </row>
    <row r="9" spans="1:12" x14ac:dyDescent="0.3">
      <c r="A9" s="12">
        <v>5</v>
      </c>
      <c r="B9" s="18" t="s">
        <v>152</v>
      </c>
      <c r="C9" s="11" t="s">
        <v>56</v>
      </c>
      <c r="D9" s="19">
        <f>IF(C9="","",IF(INDEX(corrientes,MATCH(C9,{"I1","I2","I3"},0))="","(falta)",INDEX(corrientes,MATCH(C9,{"I1","I2","I3"},0))))</f>
        <v>7</v>
      </c>
      <c r="E9" s="20">
        <v>0.28749999999999998</v>
      </c>
      <c r="F9" s="20">
        <v>0.29236111111111113</v>
      </c>
      <c r="G9" s="11"/>
      <c r="H9" s="11" t="s">
        <v>148</v>
      </c>
      <c r="I9" s="21"/>
      <c r="J9" s="16">
        <f>IFERROR('R05'!$M$12+0,"")</f>
        <v>249.30126852161362</v>
      </c>
      <c r="K9" s="16">
        <f>IFERROR('R05'!$M$13+0,"")</f>
        <v>162.04582453904885</v>
      </c>
      <c r="L9" s="18" t="str">
        <f>'R05'!$M$20</f>
        <v>Aviso: pocas lecturas dentro del ancho; afinar el paso cerca del pico</v>
      </c>
    </row>
    <row r="10" spans="1:12" x14ac:dyDescent="0.3">
      <c r="A10" s="12">
        <v>6</v>
      </c>
      <c r="B10" s="18" t="s">
        <v>153</v>
      </c>
      <c r="C10" s="11" t="s">
        <v>55</v>
      </c>
      <c r="D10" s="19">
        <f>IF(C10="","",IF(INDEX(corrientes,MATCH(C10,{"I1","I2","I3"},0))="","(falta)",INDEX(corrientes,MATCH(C10,{"I1","I2","I3"},0))))</f>
        <v>6</v>
      </c>
      <c r="E10" s="20">
        <v>0.29305555555555557</v>
      </c>
      <c r="F10" s="20">
        <v>0.29583333333333334</v>
      </c>
      <c r="G10" s="11"/>
      <c r="H10" s="11" t="s">
        <v>148</v>
      </c>
      <c r="I10" s="21"/>
      <c r="J10" s="16">
        <f>IFERROR('R06'!$M$12+0,"")</f>
        <v>238.59705264390709</v>
      </c>
      <c r="K10" s="16">
        <f>IFERROR('R06'!$M$13+0,"")</f>
        <v>155.08808421853962</v>
      </c>
      <c r="L10" s="18" t="str">
        <f>'R06'!$M$20</f>
        <v>Aviso: pocas lecturas dentro del ancho; afinar el paso cerca del pico</v>
      </c>
    </row>
    <row r="11" spans="1:12" x14ac:dyDescent="0.3">
      <c r="A11" s="12">
        <v>7</v>
      </c>
      <c r="B11" s="18" t="s">
        <v>154</v>
      </c>
      <c r="C11" s="11" t="s">
        <v>55</v>
      </c>
      <c r="D11" s="19">
        <f>IF(C11="","",IF(INDEX(corrientes,MATCH(C11,{"I1","I2","I3"},0))="","(falta)",INDEX(corrientes,MATCH(C11,{"I1","I2","I3"},0))))</f>
        <v>6</v>
      </c>
      <c r="E11" s="20">
        <v>0.29652777777777778</v>
      </c>
      <c r="F11" s="20"/>
      <c r="G11" s="11"/>
      <c r="H11" s="11" t="s">
        <v>148</v>
      </c>
      <c r="I11" s="21"/>
      <c r="J11" s="16" t="str">
        <f>IFERROR('R07'!$M$12+0,"")</f>
        <v/>
      </c>
      <c r="K11" s="16" t="str">
        <f>IFERROR('R07'!$M$13+0,"")</f>
        <v/>
      </c>
      <c r="L11" s="18" t="str">
        <f>'R07'!$M$20</f>
        <v>Revisar: columnas A y B con distinto número de datos</v>
      </c>
    </row>
    <row r="12" spans="1:12" x14ac:dyDescent="0.3">
      <c r="A12" s="12">
        <v>8</v>
      </c>
      <c r="B12" s="18" t="s">
        <v>155</v>
      </c>
      <c r="C12" s="11" t="s">
        <v>56</v>
      </c>
      <c r="D12" s="19">
        <f>IF(C12="","",IF(INDEX(corrientes,MATCH(C12,{"I1","I2","I3"},0))="","(falta)",INDEX(corrientes,MATCH(C12,{"I1","I2","I3"},0))))</f>
        <v>7</v>
      </c>
      <c r="E12" s="20">
        <v>0.29930555555555555</v>
      </c>
      <c r="F12" s="20">
        <v>0.30277777777777776</v>
      </c>
      <c r="G12" s="11"/>
      <c r="H12" s="11" t="s">
        <v>148</v>
      </c>
      <c r="I12" s="21"/>
      <c r="J12" s="16">
        <f>IFERROR('R08'!$M$12+0,"")</f>
        <v>243.95337341520832</v>
      </c>
      <c r="K12" s="16">
        <f>IFERROR('R08'!$M$13+0,"")</f>
        <v>158.56969271988541</v>
      </c>
      <c r="L12" s="18" t="str">
        <f>'R08'!$M$20</f>
        <v>Aviso: pocas lecturas dentro del ancho; afinar el paso cerca del pico</v>
      </c>
    </row>
    <row r="13" spans="1:12" x14ac:dyDescent="0.3">
      <c r="A13" s="12">
        <v>9</v>
      </c>
      <c r="B13" s="18" t="s">
        <v>156</v>
      </c>
      <c r="C13" s="11" t="s">
        <v>54</v>
      </c>
      <c r="D13" s="19">
        <f>IF(C13="","",IF(INDEX(corrientes,MATCH(C13,{"I1","I2","I3"},0))="","(falta)",INDEX(corrientes,MATCH(C13,{"I1","I2","I3"},0))))</f>
        <v>5</v>
      </c>
      <c r="E13" s="20">
        <v>0.3034722222222222</v>
      </c>
      <c r="F13" s="20">
        <v>0.30555555555555558</v>
      </c>
      <c r="G13" s="11"/>
      <c r="H13" s="11" t="s">
        <v>148</v>
      </c>
      <c r="I13" s="21"/>
      <c r="J13" s="16">
        <f>IFERROR('R09'!$M$12+0,"")</f>
        <v>314.3386855909277</v>
      </c>
      <c r="K13" s="16">
        <f>IFERROR('R09'!$M$13+0,"")</f>
        <v>204.320145634103</v>
      </c>
      <c r="L13" s="18" t="str">
        <f>'R09'!$M$20</f>
        <v>Aviso: el barrido no llega a las alas</v>
      </c>
    </row>
    <row r="14" spans="1:12" x14ac:dyDescent="0.3">
      <c r="A14" s="12">
        <v>10</v>
      </c>
      <c r="B14" s="18" t="s">
        <v>157</v>
      </c>
      <c r="C14" s="11" t="s">
        <v>54</v>
      </c>
      <c r="D14" s="19">
        <f>IF(C14="","",IF(INDEX(corrientes,MATCH(C14,{"I1","I2","I3"},0))="","(falta)",INDEX(corrientes,MATCH(C14,{"I1","I2","I3"},0))))</f>
        <v>5</v>
      </c>
      <c r="E14" s="20">
        <v>0.30625000000000002</v>
      </c>
      <c r="F14" s="20">
        <v>0.30972222222222223</v>
      </c>
      <c r="G14" s="11"/>
      <c r="H14" s="11" t="s">
        <v>148</v>
      </c>
      <c r="I14" s="21"/>
      <c r="J14" s="16">
        <f>IFERROR('R10'!$M$12+0,"")</f>
        <v>303.93009100921415</v>
      </c>
      <c r="K14" s="16">
        <f>IFERROR('R10'!$M$13+0,"")</f>
        <v>197.55455915598921</v>
      </c>
      <c r="L14" s="18" t="str">
        <f>'R10'!$M$20</f>
        <v>Aviso: pocas lecturas dentro del ancho; afinar el paso cerca del pico</v>
      </c>
    </row>
    <row r="15" spans="1:12" x14ac:dyDescent="0.3">
      <c r="A15" s="12">
        <v>11</v>
      </c>
      <c r="B15" s="18" t="s">
        <v>158</v>
      </c>
      <c r="C15" s="11" t="s">
        <v>54</v>
      </c>
      <c r="D15" s="19">
        <f>IF(C15="","",IF(INDEX(corrientes,MATCH(C15,{"I1","I2","I3"},0))="","(falta)",INDEX(corrientes,MATCH(C15,{"I1","I2","I3"},0))))</f>
        <v>5</v>
      </c>
      <c r="E15" s="20">
        <v>0.31041666666666667</v>
      </c>
      <c r="F15" s="20">
        <v>0.3125</v>
      </c>
      <c r="G15" s="11"/>
      <c r="H15" s="11" t="s">
        <v>148</v>
      </c>
      <c r="I15" s="21"/>
      <c r="J15" s="16">
        <f>IFERROR('R11'!$M$12+0,"")</f>
        <v>306.56248261671539</v>
      </c>
      <c r="K15" s="16">
        <f>IFERROR('R11'!$M$13+0,"")</f>
        <v>199.265613700865</v>
      </c>
      <c r="L15" s="18" t="str">
        <f>'R11'!$M$20</f>
        <v>Aviso: el barrido no llega a las alas</v>
      </c>
    </row>
    <row r="16" spans="1:12" x14ac:dyDescent="0.3">
      <c r="A16" s="12">
        <v>12</v>
      </c>
      <c r="B16" s="18" t="s">
        <v>159</v>
      </c>
      <c r="C16" s="11" t="s">
        <v>54</v>
      </c>
      <c r="D16" s="19">
        <f>IF(C16="","",IF(INDEX(corrientes,MATCH(C16,{"I1","I2","I3"},0))="","(falta)",INDEX(corrientes,MATCH(C16,{"I1","I2","I3"},0))))</f>
        <v>5</v>
      </c>
      <c r="E16" s="20">
        <v>0.31319444444444444</v>
      </c>
      <c r="F16" s="20">
        <v>0.31736111111111109</v>
      </c>
      <c r="G16" s="11"/>
      <c r="H16" s="11" t="s">
        <v>148</v>
      </c>
      <c r="I16" s="21"/>
      <c r="J16" s="16">
        <f>IFERROR('R12'!$M$12+0,"")</f>
        <v>314.88611386116395</v>
      </c>
      <c r="K16" s="16">
        <f>IFERROR('R12'!$M$13+0,"")</f>
        <v>204.67597400975657</v>
      </c>
      <c r="L16" s="18" t="str">
        <f>'R12'!$M$20</f>
        <v>Aviso: el barrido no llega a las alas</v>
      </c>
    </row>
    <row r="17" spans="1:12" x14ac:dyDescent="0.3">
      <c r="A17" s="12">
        <v>13</v>
      </c>
      <c r="B17" s="18" t="s">
        <v>160</v>
      </c>
      <c r="C17" s="11" t="s">
        <v>56</v>
      </c>
      <c r="D17" s="19">
        <f>IF(C17="","",IF(INDEX(corrientes,MATCH(C17,{"I1","I2","I3"},0))="","(falta)",INDEX(corrientes,MATCH(C17,{"I1","I2","I3"},0))))</f>
        <v>7</v>
      </c>
      <c r="E17" s="20">
        <v>0.31805555555555554</v>
      </c>
      <c r="F17" s="20">
        <v>0.32291666666666669</v>
      </c>
      <c r="G17" s="11"/>
      <c r="H17" s="11" t="s">
        <v>148</v>
      </c>
      <c r="I17" s="21"/>
      <c r="J17" s="16">
        <f>IFERROR('R13'!$M$12+0,"")</f>
        <v>237.27130930124099</v>
      </c>
      <c r="K17" s="16">
        <f>IFERROR('R13'!$M$13+0,"")</f>
        <v>154.22635104580664</v>
      </c>
      <c r="L17" s="18" t="str">
        <f>'R13'!$M$20</f>
        <v>Aviso: pocas lecturas dentro del ancho; afinar el paso cerca del pico</v>
      </c>
    </row>
    <row r="18" spans="1:12" x14ac:dyDescent="0.3">
      <c r="A18" s="12">
        <v>14</v>
      </c>
      <c r="B18" s="18" t="s">
        <v>161</v>
      </c>
      <c r="C18" s="11" t="s">
        <v>54</v>
      </c>
      <c r="D18" s="19">
        <f>IF(C18="","",IF(INDEX(corrientes,MATCH(C18,{"I1","I2","I3"},0))="","(falta)",INDEX(corrientes,MATCH(C18,{"I1","I2","I3"},0))))</f>
        <v>5</v>
      </c>
      <c r="E18" s="20">
        <v>0.32361111111111113</v>
      </c>
      <c r="F18" s="20">
        <v>0.32847222222222222</v>
      </c>
      <c r="G18" s="11"/>
      <c r="H18" s="11" t="s">
        <v>148</v>
      </c>
      <c r="I18" s="21"/>
      <c r="J18" s="16">
        <f>IFERROR('R14'!$M$12+0,"")</f>
        <v>307.04889777028984</v>
      </c>
      <c r="K18" s="16">
        <f>IFERROR('R14'!$M$13+0,"")</f>
        <v>199.58178355068841</v>
      </c>
      <c r="L18" s="18" t="str">
        <f>'R14'!$M$20</f>
        <v>Aviso: el barrido no llega a las alas</v>
      </c>
    </row>
    <row r="19" spans="1:12" x14ac:dyDescent="0.3">
      <c r="A19" s="12">
        <v>15</v>
      </c>
      <c r="B19" s="18" t="s">
        <v>162</v>
      </c>
      <c r="C19" s="11" t="s">
        <v>55</v>
      </c>
      <c r="D19" s="19">
        <f>IF(C19="","",IF(INDEX(corrientes,MATCH(C19,{"I1","I2","I3"},0))="","(falta)",INDEX(corrientes,MATCH(C19,{"I1","I2","I3"},0))))</f>
        <v>6</v>
      </c>
      <c r="E19" s="20">
        <v>0.32916666666666666</v>
      </c>
      <c r="F19" s="20"/>
      <c r="G19" s="11"/>
      <c r="H19" s="11" t="s">
        <v>148</v>
      </c>
      <c r="I19" s="21"/>
      <c r="J19" s="16">
        <f>IFERROR('R15'!$M$12+0,"")</f>
        <v>238.09425842120891</v>
      </c>
      <c r="K19" s="16">
        <f>IFERROR('R15'!$M$13+0,"")</f>
        <v>154.76126797378581</v>
      </c>
      <c r="L19" s="18" t="str">
        <f>'R15'!$M$20</f>
        <v>Aviso: pocas lecturas dentro del ancho; afinar el paso cerca del pico</v>
      </c>
    </row>
    <row r="21" spans="1:12" ht="26.4" x14ac:dyDescent="0.3">
      <c r="A21" s="33" t="s">
        <v>294</v>
      </c>
      <c r="B21" s="33"/>
      <c r="C21" s="33"/>
      <c r="D21" s="33"/>
      <c r="I21" s="7" t="s">
        <v>163</v>
      </c>
      <c r="J21" s="17">
        <f>IF(COUNT(E5:E19)&lt;2,"",(MAX(E5:E19)-MIN(E5:E19))*1440/(COUNT(E5:E19)-1))</f>
        <v>7.5000000000000018</v>
      </c>
      <c r="K21" s="10" t="s">
        <v>164</v>
      </c>
    </row>
    <row r="22" spans="1:12" ht="26.4" x14ac:dyDescent="0.3">
      <c r="I22" s="8" t="s">
        <v>165</v>
      </c>
      <c r="J22" s="17">
        <f>IF(COUNT(F5:F19)=0,"",SUMPRODUCT((F5:F19&gt;0)*(E5:E19&gt;0)*(F5:F19-E5:E19))*1440/SUMPRODUCT((F5:F19&gt;0)*(E5:E19&gt;0)))</f>
        <v>6.3076923076923164</v>
      </c>
      <c r="K22" s="10" t="s">
        <v>166</v>
      </c>
    </row>
    <row r="24" spans="1:12" ht="40.049999999999997" customHeight="1" x14ac:dyDescent="0.3">
      <c r="A24" s="30" t="s">
        <v>167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</sheetData>
  <mergeCells count="2">
    <mergeCell ref="A24:L24"/>
    <mergeCell ref="A21:D21"/>
  </mergeCells>
  <conditionalFormatting sqref="L5:L19">
    <cfRule type="cellIs" dxfId="95" priority="1" operator="equal">
      <formula>"OK"</formula>
    </cfRule>
    <cfRule type="beginsWith" dxfId="94" priority="2" operator="beginsWith" text="Aviso">
      <formula>LEFT(L5,5)="Aviso"</formula>
    </cfRule>
    <cfRule type="beginsWith" dxfId="93" priority="3" operator="beginsWith" text="Revisar">
      <formula>LEFT(L5,7)="Revisar"</formula>
    </cfRule>
  </conditionalFormatting>
  <dataValidations count="3">
    <dataValidation type="list" allowBlank="1" showInputMessage="1" showErrorMessage="1" sqref="C5:C19" xr:uid="{00000000-0002-0000-0200-000000000000}">
      <formula1>"I1,I2,I3"</formula1>
    </dataValidation>
    <dataValidation type="list" allowBlank="1" showInputMessage="1" showErrorMessage="1" sqref="H5:H19" xr:uid="{00000000-0002-0000-0200-000001000000}">
      <formula1>"Sí,No"</formula1>
    </dataValidation>
    <dataValidation type="time" allowBlank="1" showInputMessage="1" showErrorMessage="1" error="Escribir la hora como hh:mm, p. ej. 14:35" sqref="E5:F19" xr:uid="{00000000-0002-0000-0200-000002000000}">
      <formula1>0</formula1>
      <formula2>0.99999</formula2>
    </dataValidation>
  </dataValidations>
  <hyperlinks>
    <hyperlink ref="B5" location="'R01'!A1" display="R01" xr:uid="{00000000-0004-0000-0200-000000000000}"/>
    <hyperlink ref="B6" location="'R02'!A1" display="R02" xr:uid="{00000000-0004-0000-0200-000001000000}"/>
    <hyperlink ref="B7" location="'R03'!A1" display="R03" xr:uid="{00000000-0004-0000-0200-000002000000}"/>
    <hyperlink ref="B8" location="'R04'!A1" display="R04" xr:uid="{00000000-0004-0000-0200-000003000000}"/>
    <hyperlink ref="B9" location="'R05'!A1" display="R05" xr:uid="{00000000-0004-0000-0200-000004000000}"/>
    <hyperlink ref="B10" location="'R06'!A1" display="R06" xr:uid="{00000000-0004-0000-0200-000005000000}"/>
    <hyperlink ref="B11" location="'R07'!A1" display="R07" xr:uid="{00000000-0004-0000-0200-000006000000}"/>
    <hyperlink ref="B12" location="'R08'!A1" display="R08" xr:uid="{00000000-0004-0000-0200-000007000000}"/>
    <hyperlink ref="B13" location="'R09'!A1" display="R09" xr:uid="{00000000-0004-0000-0200-000008000000}"/>
    <hyperlink ref="B14" location="'R10'!A1" display="R10" xr:uid="{00000000-0004-0000-0200-000009000000}"/>
    <hyperlink ref="B15" location="'R11'!A1" display="R11" xr:uid="{00000000-0004-0000-0200-00000A000000}"/>
    <hyperlink ref="B16" location="'R12'!A1" display="R12" xr:uid="{00000000-0004-0000-0200-00000B000000}"/>
    <hyperlink ref="B17" location="'R13'!A1" display="R13" xr:uid="{00000000-0004-0000-0200-00000C000000}"/>
    <hyperlink ref="B18" location="'R14'!A1" display="R14" xr:uid="{00000000-0004-0000-0200-00000D000000}"/>
    <hyperlink ref="B19" location="'R15'!A1" display="R15" xr:uid="{00000000-0004-0000-0200-00000E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6"/>
  <sheetViews>
    <sheetView workbookViewId="0"/>
  </sheetViews>
  <sheetFormatPr baseColWidth="10" defaultColWidth="8.88671875" defaultRowHeight="14.4" x14ac:dyDescent="0.3"/>
  <cols>
    <col min="1" max="1" width="6.6640625" customWidth="1"/>
    <col min="2" max="2" width="10.6640625" customWidth="1"/>
    <col min="3" max="5" width="12.6640625" customWidth="1"/>
    <col min="6" max="6" width="2.6640625" customWidth="1"/>
    <col min="7" max="14" width="11.6640625" customWidth="1"/>
  </cols>
  <sheetData>
    <row r="1" spans="1:12" ht="17.399999999999999" x14ac:dyDescent="0.3">
      <c r="A1" s="1" t="s">
        <v>168</v>
      </c>
    </row>
    <row r="2" spans="1:12" x14ac:dyDescent="0.3">
      <c r="A2" s="2" t="s">
        <v>169</v>
      </c>
    </row>
    <row r="4" spans="1:12" x14ac:dyDescent="0.3">
      <c r="A4" s="6" t="s">
        <v>136</v>
      </c>
      <c r="B4" s="6" t="s">
        <v>138</v>
      </c>
      <c r="C4" s="6" t="s">
        <v>170</v>
      </c>
      <c r="D4" s="6" t="s">
        <v>171</v>
      </c>
      <c r="E4" s="6" t="s">
        <v>172</v>
      </c>
      <c r="G4" s="6" t="s">
        <v>173</v>
      </c>
      <c r="H4" s="6" t="s">
        <v>174</v>
      </c>
      <c r="I4" s="6" t="s">
        <v>175</v>
      </c>
      <c r="J4" s="6" t="s">
        <v>176</v>
      </c>
      <c r="K4" s="6" t="s">
        <v>177</v>
      </c>
      <c r="L4" s="6" t="s">
        <v>178</v>
      </c>
    </row>
    <row r="5" spans="1:12" x14ac:dyDescent="0.3">
      <c r="A5" s="12">
        <f>'Registro piloto'!A5</f>
        <v>1</v>
      </c>
      <c r="B5" s="18" t="str">
        <f>'Registro piloto'!C5</f>
        <v>I2</v>
      </c>
      <c r="C5" s="17">
        <f>IF(AND(ISNUMBER('Registro piloto'!K5),'Registro piloto'!H5&lt;&gt;"No"),'Registro piloto'!K5,"")</f>
        <v>66.428103729477428</v>
      </c>
      <c r="D5" s="17">
        <f t="shared" ref="D5:D19" si="0">IF(ISNUMBER(C5),(C5-INDEX($C$22:$C$24,MATCH(B5,$A$22:$A$24,0)))^2,0)</f>
        <v>4653.4292653012517</v>
      </c>
      <c r="E5" s="12">
        <f t="shared" ref="E5:E19" si="1">A5</f>
        <v>1</v>
      </c>
      <c r="G5" s="22" t="e">
        <f t="shared" ref="G5:G19" si="2">IF(AND(B5="I1",ISNUMBER(C5)),1,NA())</f>
        <v>#N/A</v>
      </c>
      <c r="H5" s="22" t="e">
        <f t="shared" ref="H5:H19" si="3">IF(AND(B5="I1",ISNUMBER(C5)),C5,NA())</f>
        <v>#N/A</v>
      </c>
      <c r="I5" s="22">
        <f t="shared" ref="I5:I19" si="4">IF(AND(B5="I2",ISNUMBER(C5)),2,NA())</f>
        <v>2</v>
      </c>
      <c r="J5" s="22">
        <f t="shared" ref="J5:J19" si="5">IF(AND(B5="I2",ISNUMBER(C5)),C5,NA())</f>
        <v>66.428103729477428</v>
      </c>
      <c r="K5" s="22" t="e">
        <f t="shared" ref="K5:K19" si="6">IF(AND(B5="I3",ISNUMBER(C5)),3,NA())</f>
        <v>#N/A</v>
      </c>
      <c r="L5" s="22" t="e">
        <f t="shared" ref="L5:L19" si="7">IF(AND(B5="I3",ISNUMBER(C5)),C5,NA())</f>
        <v>#N/A</v>
      </c>
    </row>
    <row r="6" spans="1:12" x14ac:dyDescent="0.3">
      <c r="A6" s="12">
        <f>'Registro piloto'!A6</f>
        <v>2</v>
      </c>
      <c r="B6" s="18" t="str">
        <f>'Registro piloto'!C6</f>
        <v>I3</v>
      </c>
      <c r="C6" s="17">
        <f>IF(AND(ISNUMBER('Registro piloto'!K6),'Registro piloto'!H6&lt;&gt;"No"),'Registro piloto'!K6,"")</f>
        <v>128.8331691938852</v>
      </c>
      <c r="D6" s="17">
        <f t="shared" si="0"/>
        <v>619.33170323649301</v>
      </c>
      <c r="E6" s="12">
        <f t="shared" si="1"/>
        <v>2</v>
      </c>
      <c r="G6" s="22" t="e">
        <f t="shared" si="2"/>
        <v>#N/A</v>
      </c>
      <c r="H6" s="22" t="e">
        <f t="shared" si="3"/>
        <v>#N/A</v>
      </c>
      <c r="I6" s="22" t="e">
        <f t="shared" si="4"/>
        <v>#N/A</v>
      </c>
      <c r="J6" s="22" t="e">
        <f t="shared" si="5"/>
        <v>#N/A</v>
      </c>
      <c r="K6" s="22">
        <f t="shared" si="6"/>
        <v>3</v>
      </c>
      <c r="L6" s="22">
        <f t="shared" si="7"/>
        <v>128.8331691938852</v>
      </c>
    </row>
    <row r="7" spans="1:12" x14ac:dyDescent="0.3">
      <c r="A7" s="12">
        <f>'Registro piloto'!A7</f>
        <v>3</v>
      </c>
      <c r="B7" s="18" t="str">
        <f>'Registro piloto'!C7</f>
        <v>I3</v>
      </c>
      <c r="C7" s="17">
        <f>IF(AND(ISNUMBER('Registro piloto'!K7),'Registro piloto'!H7&lt;&gt;"No"),'Registro piloto'!K7,"")</f>
        <v>164.92268774983489</v>
      </c>
      <c r="D7" s="17">
        <f t="shared" si="0"/>
        <v>125.51040635976081</v>
      </c>
      <c r="E7" s="12">
        <f t="shared" si="1"/>
        <v>3</v>
      </c>
      <c r="G7" s="22" t="e">
        <f t="shared" si="2"/>
        <v>#N/A</v>
      </c>
      <c r="H7" s="22" t="e">
        <f t="shared" si="3"/>
        <v>#N/A</v>
      </c>
      <c r="I7" s="22" t="e">
        <f t="shared" si="4"/>
        <v>#N/A</v>
      </c>
      <c r="J7" s="22" t="e">
        <f t="shared" si="5"/>
        <v>#N/A</v>
      </c>
      <c r="K7" s="22">
        <f t="shared" si="6"/>
        <v>3</v>
      </c>
      <c r="L7" s="22">
        <f t="shared" si="7"/>
        <v>164.92268774983489</v>
      </c>
    </row>
    <row r="8" spans="1:12" x14ac:dyDescent="0.3">
      <c r="A8" s="12">
        <f>'Registro piloto'!A8</f>
        <v>4</v>
      </c>
      <c r="B8" s="18" t="str">
        <f>'Registro piloto'!C8</f>
        <v>I2</v>
      </c>
      <c r="C8" s="17">
        <f>IF(AND(ISNUMBER('Registro piloto'!K8),'Registro piloto'!H8&lt;&gt;"No"),'Registro piloto'!K8,"")</f>
        <v>162.29915277172853</v>
      </c>
      <c r="D8" s="17">
        <f t="shared" si="0"/>
        <v>764.79905809449997</v>
      </c>
      <c r="E8" s="12">
        <f t="shared" si="1"/>
        <v>4</v>
      </c>
      <c r="G8" s="22" t="e">
        <f t="shared" si="2"/>
        <v>#N/A</v>
      </c>
      <c r="H8" s="22" t="e">
        <f t="shared" si="3"/>
        <v>#N/A</v>
      </c>
      <c r="I8" s="22">
        <f t="shared" si="4"/>
        <v>2</v>
      </c>
      <c r="J8" s="22">
        <f t="shared" si="5"/>
        <v>162.29915277172853</v>
      </c>
      <c r="K8" s="22" t="e">
        <f t="shared" si="6"/>
        <v>#N/A</v>
      </c>
      <c r="L8" s="22" t="e">
        <f t="shared" si="7"/>
        <v>#N/A</v>
      </c>
    </row>
    <row r="9" spans="1:12" x14ac:dyDescent="0.3">
      <c r="A9" s="12">
        <f>'Registro piloto'!A9</f>
        <v>5</v>
      </c>
      <c r="B9" s="18" t="str">
        <f>'Registro piloto'!C9</f>
        <v>I3</v>
      </c>
      <c r="C9" s="17">
        <f>IF(AND(ISNUMBER('Registro piloto'!K9),'Registro piloto'!H9&lt;&gt;"No"),'Registro piloto'!K9,"")</f>
        <v>162.04582453904885</v>
      </c>
      <c r="D9" s="17">
        <f t="shared" si="0"/>
        <v>69.326930134881479</v>
      </c>
      <c r="E9" s="12">
        <f t="shared" si="1"/>
        <v>5</v>
      </c>
      <c r="G9" s="22" t="e">
        <f t="shared" si="2"/>
        <v>#N/A</v>
      </c>
      <c r="H9" s="22" t="e">
        <f t="shared" si="3"/>
        <v>#N/A</v>
      </c>
      <c r="I9" s="22" t="e">
        <f t="shared" si="4"/>
        <v>#N/A</v>
      </c>
      <c r="J9" s="22" t="e">
        <f t="shared" si="5"/>
        <v>#N/A</v>
      </c>
      <c r="K9" s="22">
        <f t="shared" si="6"/>
        <v>3</v>
      </c>
      <c r="L9" s="22">
        <f t="shared" si="7"/>
        <v>162.04582453904885</v>
      </c>
    </row>
    <row r="10" spans="1:12" x14ac:dyDescent="0.3">
      <c r="A10" s="12">
        <f>'Registro piloto'!A10</f>
        <v>6</v>
      </c>
      <c r="B10" s="18" t="str">
        <f>'Registro piloto'!C10</f>
        <v>I2</v>
      </c>
      <c r="C10" s="17">
        <f>IF(AND(ISNUMBER('Registro piloto'!K10),'Registro piloto'!H10&lt;&gt;"No"),'Registro piloto'!K10,"")</f>
        <v>155.08808421853962</v>
      </c>
      <c r="D10" s="17">
        <f t="shared" si="0"/>
        <v>417.95435746698791</v>
      </c>
      <c r="E10" s="12">
        <f t="shared" si="1"/>
        <v>6</v>
      </c>
      <c r="G10" s="22" t="e">
        <f t="shared" si="2"/>
        <v>#N/A</v>
      </c>
      <c r="H10" s="22" t="e">
        <f t="shared" si="3"/>
        <v>#N/A</v>
      </c>
      <c r="I10" s="22">
        <f t="shared" si="4"/>
        <v>2</v>
      </c>
      <c r="J10" s="22">
        <f t="shared" si="5"/>
        <v>155.08808421853962</v>
      </c>
      <c r="K10" s="22" t="e">
        <f t="shared" si="6"/>
        <v>#N/A</v>
      </c>
      <c r="L10" s="22" t="e">
        <f t="shared" si="7"/>
        <v>#N/A</v>
      </c>
    </row>
    <row r="11" spans="1:12" x14ac:dyDescent="0.3">
      <c r="A11" s="12">
        <f>'Registro piloto'!A11</f>
        <v>7</v>
      </c>
      <c r="B11" s="18" t="str">
        <f>'Registro piloto'!C11</f>
        <v>I2</v>
      </c>
      <c r="C11" s="17" t="str">
        <f>IF(AND(ISNUMBER('Registro piloto'!K11),'Registro piloto'!H11&lt;&gt;"No"),'Registro piloto'!K11,"")</f>
        <v/>
      </c>
      <c r="D11" s="17">
        <f t="shared" si="0"/>
        <v>0</v>
      </c>
      <c r="E11" s="12">
        <f t="shared" si="1"/>
        <v>7</v>
      </c>
      <c r="G11" s="22" t="e">
        <f t="shared" si="2"/>
        <v>#N/A</v>
      </c>
      <c r="H11" s="22" t="e">
        <f t="shared" si="3"/>
        <v>#N/A</v>
      </c>
      <c r="I11" s="22" t="e">
        <f t="shared" si="4"/>
        <v>#N/A</v>
      </c>
      <c r="J11" s="22" t="e">
        <f t="shared" si="5"/>
        <v>#N/A</v>
      </c>
      <c r="K11" s="22" t="e">
        <f t="shared" si="6"/>
        <v>#N/A</v>
      </c>
      <c r="L11" s="22" t="e">
        <f t="shared" si="7"/>
        <v>#N/A</v>
      </c>
    </row>
    <row r="12" spans="1:12" x14ac:dyDescent="0.3">
      <c r="A12" s="12">
        <f>'Registro piloto'!A12</f>
        <v>8</v>
      </c>
      <c r="B12" s="18" t="str">
        <f>'Registro piloto'!C12</f>
        <v>I3</v>
      </c>
      <c r="C12" s="17">
        <f>IF(AND(ISNUMBER('Registro piloto'!K12),'Registro piloto'!H12&lt;&gt;"No"),'Registro piloto'!K12,"")</f>
        <v>158.56969271988541</v>
      </c>
      <c r="D12" s="17">
        <f t="shared" si="0"/>
        <v>23.523932422680751</v>
      </c>
      <c r="E12" s="12">
        <f t="shared" si="1"/>
        <v>8</v>
      </c>
      <c r="G12" s="22" t="e">
        <f t="shared" si="2"/>
        <v>#N/A</v>
      </c>
      <c r="H12" s="22" t="e">
        <f t="shared" si="3"/>
        <v>#N/A</v>
      </c>
      <c r="I12" s="22" t="e">
        <f t="shared" si="4"/>
        <v>#N/A</v>
      </c>
      <c r="J12" s="22" t="e">
        <f t="shared" si="5"/>
        <v>#N/A</v>
      </c>
      <c r="K12" s="22">
        <f t="shared" si="6"/>
        <v>3</v>
      </c>
      <c r="L12" s="22">
        <f t="shared" si="7"/>
        <v>158.56969271988541</v>
      </c>
    </row>
    <row r="13" spans="1:12" x14ac:dyDescent="0.3">
      <c r="A13" s="12">
        <f>'Registro piloto'!A13</f>
        <v>9</v>
      </c>
      <c r="B13" s="18" t="str">
        <f>'Registro piloto'!C13</f>
        <v>I1</v>
      </c>
      <c r="C13" s="17">
        <f>IF(AND(ISNUMBER('Registro piloto'!K13),'Registro piloto'!H13&lt;&gt;"No"),'Registro piloto'!K13,"")</f>
        <v>204.320145634103</v>
      </c>
      <c r="D13" s="17">
        <f t="shared" si="0"/>
        <v>10.501037427719545</v>
      </c>
      <c r="E13" s="12">
        <f t="shared" si="1"/>
        <v>9</v>
      </c>
      <c r="G13" s="22">
        <f t="shared" si="2"/>
        <v>1</v>
      </c>
      <c r="H13" s="22">
        <f t="shared" si="3"/>
        <v>204.320145634103</v>
      </c>
      <c r="I13" s="22" t="e">
        <f t="shared" si="4"/>
        <v>#N/A</v>
      </c>
      <c r="J13" s="22" t="e">
        <f t="shared" si="5"/>
        <v>#N/A</v>
      </c>
      <c r="K13" s="22" t="e">
        <f t="shared" si="6"/>
        <v>#N/A</v>
      </c>
      <c r="L13" s="22" t="e">
        <f t="shared" si="7"/>
        <v>#N/A</v>
      </c>
    </row>
    <row r="14" spans="1:12" x14ac:dyDescent="0.3">
      <c r="A14" s="12">
        <f>'Registro piloto'!A14</f>
        <v>10</v>
      </c>
      <c r="B14" s="18" t="str">
        <f>'Registro piloto'!C14</f>
        <v>I1</v>
      </c>
      <c r="C14" s="17">
        <f>IF(AND(ISNUMBER('Registro piloto'!K14),'Registro piloto'!H14&lt;&gt;"No"),'Registro piloto'!K14,"")</f>
        <v>197.55455915598921</v>
      </c>
      <c r="D14" s="17">
        <f t="shared" si="0"/>
        <v>12.426020185895332</v>
      </c>
      <c r="E14" s="12">
        <f t="shared" si="1"/>
        <v>10</v>
      </c>
      <c r="G14" s="22">
        <f t="shared" si="2"/>
        <v>1</v>
      </c>
      <c r="H14" s="22">
        <f t="shared" si="3"/>
        <v>197.55455915598921</v>
      </c>
      <c r="I14" s="22" t="e">
        <f t="shared" si="4"/>
        <v>#N/A</v>
      </c>
      <c r="J14" s="22" t="e">
        <f t="shared" si="5"/>
        <v>#N/A</v>
      </c>
      <c r="K14" s="22" t="e">
        <f t="shared" si="6"/>
        <v>#N/A</v>
      </c>
      <c r="L14" s="22" t="e">
        <f t="shared" si="7"/>
        <v>#N/A</v>
      </c>
    </row>
    <row r="15" spans="1:12" x14ac:dyDescent="0.3">
      <c r="A15" s="12">
        <f>'Registro piloto'!A15</f>
        <v>11</v>
      </c>
      <c r="B15" s="18" t="str">
        <f>'Registro piloto'!C15</f>
        <v>I1</v>
      </c>
      <c r="C15" s="17">
        <f>IF(AND(ISNUMBER('Registro piloto'!K15),'Registro piloto'!H15&lt;&gt;"No"),'Registro piloto'!K15,"")</f>
        <v>199.265613700865</v>
      </c>
      <c r="D15" s="17">
        <f t="shared" si="0"/>
        <v>3.2906014761615228</v>
      </c>
      <c r="E15" s="12">
        <f t="shared" si="1"/>
        <v>11</v>
      </c>
      <c r="G15" s="22">
        <f t="shared" si="2"/>
        <v>1</v>
      </c>
      <c r="H15" s="22">
        <f t="shared" si="3"/>
        <v>199.265613700865</v>
      </c>
      <c r="I15" s="22" t="e">
        <f t="shared" si="4"/>
        <v>#N/A</v>
      </c>
      <c r="J15" s="22" t="e">
        <f t="shared" si="5"/>
        <v>#N/A</v>
      </c>
      <c r="K15" s="22" t="e">
        <f t="shared" si="6"/>
        <v>#N/A</v>
      </c>
      <c r="L15" s="22" t="e">
        <f t="shared" si="7"/>
        <v>#N/A</v>
      </c>
    </row>
    <row r="16" spans="1:12" x14ac:dyDescent="0.3">
      <c r="A16" s="12">
        <f>'Registro piloto'!A16</f>
        <v>12</v>
      </c>
      <c r="B16" s="18" t="str">
        <f>'Registro piloto'!C16</f>
        <v>I1</v>
      </c>
      <c r="C16" s="17">
        <f>IF(AND(ISNUMBER('Registro piloto'!K16),'Registro piloto'!H16&lt;&gt;"No"),'Registro piloto'!K16,"")</f>
        <v>204.67597400975657</v>
      </c>
      <c r="D16" s="17">
        <f t="shared" si="0"/>
        <v>12.933796614569328</v>
      </c>
      <c r="E16" s="12">
        <f t="shared" si="1"/>
        <v>12</v>
      </c>
      <c r="G16" s="22">
        <f t="shared" si="2"/>
        <v>1</v>
      </c>
      <c r="H16" s="22">
        <f t="shared" si="3"/>
        <v>204.67597400975657</v>
      </c>
      <c r="I16" s="22" t="e">
        <f t="shared" si="4"/>
        <v>#N/A</v>
      </c>
      <c r="J16" s="22" t="e">
        <f t="shared" si="5"/>
        <v>#N/A</v>
      </c>
      <c r="K16" s="22" t="e">
        <f t="shared" si="6"/>
        <v>#N/A</v>
      </c>
      <c r="L16" s="22" t="e">
        <f t="shared" si="7"/>
        <v>#N/A</v>
      </c>
    </row>
    <row r="17" spans="1:14" x14ac:dyDescent="0.3">
      <c r="A17" s="12">
        <f>'Registro piloto'!A17</f>
        <v>13</v>
      </c>
      <c r="B17" s="18" t="str">
        <f>'Registro piloto'!C17</f>
        <v>I3</v>
      </c>
      <c r="C17" s="17">
        <f>IF(AND(ISNUMBER('Registro piloto'!K17),'Registro piloto'!H17&lt;&gt;"No"),'Registro piloto'!K17,"")</f>
        <v>154.22635104580664</v>
      </c>
      <c r="D17" s="17">
        <f t="shared" si="0"/>
        <v>0.25685231769756123</v>
      </c>
      <c r="E17" s="12">
        <f t="shared" si="1"/>
        <v>13</v>
      </c>
      <c r="G17" s="22" t="e">
        <f t="shared" si="2"/>
        <v>#N/A</v>
      </c>
      <c r="H17" s="22" t="e">
        <f t="shared" si="3"/>
        <v>#N/A</v>
      </c>
      <c r="I17" s="22" t="e">
        <f t="shared" si="4"/>
        <v>#N/A</v>
      </c>
      <c r="J17" s="22" t="e">
        <f t="shared" si="5"/>
        <v>#N/A</v>
      </c>
      <c r="K17" s="22">
        <f t="shared" si="6"/>
        <v>3</v>
      </c>
      <c r="L17" s="22">
        <f t="shared" si="7"/>
        <v>154.22635104580664</v>
      </c>
    </row>
    <row r="18" spans="1:14" x14ac:dyDescent="0.3">
      <c r="A18" s="12">
        <f>'Registro piloto'!A18</f>
        <v>14</v>
      </c>
      <c r="B18" s="18" t="str">
        <f>'Registro piloto'!C18</f>
        <v>I1</v>
      </c>
      <c r="C18" s="17">
        <f>IF(AND(ISNUMBER('Registro piloto'!K18),'Registro piloto'!H18&lt;&gt;"No"),'Registro piloto'!K18,"")</f>
        <v>199.58178355068841</v>
      </c>
      <c r="D18" s="17">
        <f t="shared" si="0"/>
        <v>2.2434996804762375</v>
      </c>
      <c r="E18" s="12">
        <f t="shared" si="1"/>
        <v>14</v>
      </c>
      <c r="G18" s="22">
        <f t="shared" si="2"/>
        <v>1</v>
      </c>
      <c r="H18" s="22">
        <f t="shared" si="3"/>
        <v>199.58178355068841</v>
      </c>
      <c r="I18" s="22" t="e">
        <f t="shared" si="4"/>
        <v>#N/A</v>
      </c>
      <c r="J18" s="22" t="e">
        <f t="shared" si="5"/>
        <v>#N/A</v>
      </c>
      <c r="K18" s="22" t="e">
        <f t="shared" si="6"/>
        <v>#N/A</v>
      </c>
      <c r="L18" s="22" t="e">
        <f t="shared" si="7"/>
        <v>#N/A</v>
      </c>
    </row>
    <row r="19" spans="1:14" x14ac:dyDescent="0.3">
      <c r="A19" s="12">
        <f>'Registro piloto'!A19</f>
        <v>15</v>
      </c>
      <c r="B19" s="18" t="str">
        <f>'Registro piloto'!C19</f>
        <v>I2</v>
      </c>
      <c r="C19" s="17">
        <f>IF(AND(ISNUMBER('Registro piloto'!K19),'Registro piloto'!H19&lt;&gt;"No"),'Registro piloto'!K19,"")</f>
        <v>154.76126797378581</v>
      </c>
      <c r="D19" s="17">
        <f t="shared" si="0"/>
        <v>404.69834812682228</v>
      </c>
      <c r="E19" s="12">
        <f t="shared" si="1"/>
        <v>15</v>
      </c>
      <c r="G19" s="22" t="e">
        <f t="shared" si="2"/>
        <v>#N/A</v>
      </c>
      <c r="H19" s="22" t="e">
        <f t="shared" si="3"/>
        <v>#N/A</v>
      </c>
      <c r="I19" s="22">
        <f t="shared" si="4"/>
        <v>2</v>
      </c>
      <c r="J19" s="22">
        <f t="shared" si="5"/>
        <v>154.76126797378581</v>
      </c>
      <c r="K19" s="22" t="e">
        <f t="shared" si="6"/>
        <v>#N/A</v>
      </c>
      <c r="L19" s="22" t="e">
        <f t="shared" si="7"/>
        <v>#N/A</v>
      </c>
    </row>
    <row r="20" spans="1:14" x14ac:dyDescent="0.3">
      <c r="G20" s="30" t="s">
        <v>179</v>
      </c>
      <c r="H20" s="30"/>
      <c r="I20" s="30"/>
      <c r="J20" s="30"/>
      <c r="K20" s="30"/>
      <c r="L20" s="30"/>
    </row>
    <row r="21" spans="1:14" ht="26.4" x14ac:dyDescent="0.3">
      <c r="A21" s="6" t="s">
        <v>138</v>
      </c>
      <c r="B21" s="6" t="s">
        <v>180</v>
      </c>
      <c r="C21" s="6" t="s">
        <v>181</v>
      </c>
      <c r="D21" s="6" t="s">
        <v>182</v>
      </c>
      <c r="E21" s="6" t="s">
        <v>183</v>
      </c>
      <c r="G21" s="6" t="s">
        <v>139</v>
      </c>
      <c r="H21" s="6" t="s">
        <v>184</v>
      </c>
      <c r="I21" s="6" t="s">
        <v>185</v>
      </c>
      <c r="J21" s="6" t="s">
        <v>186</v>
      </c>
    </row>
    <row r="22" spans="1:14" ht="15.6" x14ac:dyDescent="0.3">
      <c r="A22" s="7" t="s">
        <v>54</v>
      </c>
      <c r="B22" s="12">
        <f>COUNTIFS($B$5:$B$19,A22,$C$5:$C$19,"&gt;0")</f>
        <v>5</v>
      </c>
      <c r="C22" s="23">
        <f>IF(B22=0,"",AVERAGEIFS($C$5:$C$19,$B$5:$B$19,A22))</f>
        <v>201.07961521028045</v>
      </c>
      <c r="D22" s="23">
        <f>IF(B22&lt;2,"",SQRT(SUMIFS($D$5:$D$19,$B$5:$B$19,A22)/(B22-1)))</f>
        <v>3.2169455771283251</v>
      </c>
      <c r="E22" s="17">
        <f>IF(ISNUMBER(D22),100*D22/C22,"")</f>
        <v>1.5998367481279401</v>
      </c>
      <c r="G22" s="16">
        <f>IF(I1_A="","",I1_A)</f>
        <v>5</v>
      </c>
      <c r="H22" s="16">
        <f>IF(ISNUMBER(tau0_1),tau0_1,NA())</f>
        <v>107</v>
      </c>
      <c r="I22" s="17">
        <f>IF(AND(ISNUMBER(C22),ISNUMBER(H22)),C22-H22,"")</f>
        <v>94.079615210280451</v>
      </c>
      <c r="J22" s="22">
        <v>1</v>
      </c>
    </row>
    <row r="23" spans="1:14" ht="15.6" x14ac:dyDescent="0.3">
      <c r="A23" s="7" t="s">
        <v>55</v>
      </c>
      <c r="B23" s="12">
        <f>COUNTIFS($B$5:$B$19,A23,$C$5:$C$19,"&gt;0")</f>
        <v>4</v>
      </c>
      <c r="C23" s="23">
        <f>IF(B23=0,"",AVERAGEIFS($C$5:$C$19,$B$5:$B$19,A23))</f>
        <v>134.64415217338285</v>
      </c>
      <c r="D23" s="23">
        <f>IF(B23&lt;2,"",SQRT(SUMIFS($D$5:$D$19,$B$5:$B$19,A23)/(B23-1)))</f>
        <v>45.610236530080108</v>
      </c>
      <c r="E23" s="17">
        <f>IF(ISNUMBER(D23),100*D23/C23,"")</f>
        <v>33.874650917885596</v>
      </c>
      <c r="G23" s="16">
        <f>IF(I2_A="","",I2_A)</f>
        <v>6</v>
      </c>
      <c r="H23" s="16">
        <f>IF(ISNUMBER(tau0_2),tau0_2,NA())</f>
        <v>76</v>
      </c>
      <c r="I23" s="17">
        <f>IF(AND(ISNUMBER(C23),ISNUMBER(H23)),C23-H23,"")</f>
        <v>58.644152173382849</v>
      </c>
      <c r="J23" s="22">
        <v>2</v>
      </c>
    </row>
    <row r="24" spans="1:14" ht="15.6" x14ac:dyDescent="0.3">
      <c r="A24" s="7" t="s">
        <v>56</v>
      </c>
      <c r="B24" s="12">
        <f>COUNTIFS($B$5:$B$19,A24,$C$5:$C$19,"&gt;0")</f>
        <v>5</v>
      </c>
      <c r="C24" s="23">
        <f>IF(B24=0,"",AVERAGEIFS($C$5:$C$19,$B$5:$B$19,A24))</f>
        <v>153.71954504969219</v>
      </c>
      <c r="D24" s="23">
        <f>IF(B24&lt;2,"",SQRT(SUMIFS($D$5:$D$19,$B$5:$B$19,A24)/(B24-1)))</f>
        <v>14.473681498425977</v>
      </c>
      <c r="E24" s="17">
        <f>IF(ISNUMBER(D24),100*D24/C24,"")</f>
        <v>9.4156416438437525</v>
      </c>
      <c r="G24" s="16">
        <f>IF(I3_A="","",I3_A)</f>
        <v>7</v>
      </c>
      <c r="H24" s="16">
        <f>IF(ISNUMBER(tau0_3),tau0_3,NA())</f>
        <v>54</v>
      </c>
      <c r="I24" s="17">
        <f>IF(AND(ISNUMBER(C24),ISNUMBER(H24)),C24-H24,"")</f>
        <v>99.719545049692186</v>
      </c>
      <c r="J24" s="22">
        <v>3</v>
      </c>
    </row>
    <row r="25" spans="1:14" x14ac:dyDescent="0.3">
      <c r="A25" s="30" t="s">
        <v>187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</row>
    <row r="26" spans="1:14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</row>
  </sheetData>
  <mergeCells count="2">
    <mergeCell ref="G20:L20"/>
    <mergeCell ref="A25:N26"/>
  </mergeCells>
  <conditionalFormatting sqref="G5:L19">
    <cfRule type="containsErrors" dxfId="92" priority="1">
      <formula>ISERROR(G5)</formula>
    </cfRule>
  </conditionalFormatting>
  <pageMargins left="0.7" right="0.7" top="0.75" bottom="0.75" header="0.3" footer="0.3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103"/>
  <sheetViews>
    <sheetView workbookViewId="0"/>
  </sheetViews>
  <sheetFormatPr baseColWidth="10" defaultColWidth="8.88671875" defaultRowHeight="14.4" outlineLevelCol="1" x14ac:dyDescent="0.3"/>
  <cols>
    <col min="1" max="1" width="52.6640625" customWidth="1"/>
    <col min="2" max="5" width="13.6640625" customWidth="1"/>
    <col min="6" max="6" width="2.6640625" customWidth="1"/>
    <col min="7" max="7" width="60.6640625" customWidth="1"/>
    <col min="8" max="8" width="2.6640625" customWidth="1"/>
    <col min="9" max="14" width="9.6640625" customWidth="1"/>
    <col min="15" max="18" width="9.6640625" hidden="1" customWidth="1" outlineLevel="1"/>
    <col min="19" max="19" width="9.6640625" customWidth="1"/>
  </cols>
  <sheetData>
    <row r="1" spans="1:19" ht="17.399999999999999" x14ac:dyDescent="0.3">
      <c r="A1" s="1" t="s">
        <v>188</v>
      </c>
    </row>
    <row r="2" spans="1:19" x14ac:dyDescent="0.3">
      <c r="A2" s="2" t="s">
        <v>189</v>
      </c>
    </row>
    <row r="3" spans="1:19" x14ac:dyDescent="0.3">
      <c r="I3" s="24" t="s">
        <v>231</v>
      </c>
    </row>
    <row r="4" spans="1:19" x14ac:dyDescent="0.3">
      <c r="A4" s="6" t="s">
        <v>190</v>
      </c>
      <c r="B4" s="6" t="s">
        <v>54</v>
      </c>
      <c r="C4" s="6" t="s">
        <v>55</v>
      </c>
      <c r="D4" s="6" t="s">
        <v>56</v>
      </c>
      <c r="E4" s="6" t="s">
        <v>191</v>
      </c>
      <c r="I4" s="6" t="s">
        <v>180</v>
      </c>
      <c r="J4" s="6" t="s">
        <v>232</v>
      </c>
      <c r="K4" s="6" t="s">
        <v>233</v>
      </c>
      <c r="L4" s="6" t="s">
        <v>234</v>
      </c>
      <c r="M4" s="6" t="s">
        <v>235</v>
      </c>
      <c r="N4" s="6" t="s">
        <v>236</v>
      </c>
      <c r="O4" s="6" t="s">
        <v>237</v>
      </c>
      <c r="P4" s="6" t="s">
        <v>238</v>
      </c>
      <c r="Q4" s="6" t="s">
        <v>239</v>
      </c>
      <c r="R4" s="6" t="s">
        <v>240</v>
      </c>
      <c r="S4" s="6" t="s">
        <v>241</v>
      </c>
    </row>
    <row r="5" spans="1:19" x14ac:dyDescent="0.3">
      <c r="A5" s="8" t="s">
        <v>192</v>
      </c>
      <c r="B5" s="16">
        <f>n_I1</f>
        <v>5</v>
      </c>
      <c r="C5" s="16">
        <f>n_I2</f>
        <v>4</v>
      </c>
      <c r="D5" s="16">
        <f>n_I3</f>
        <v>5</v>
      </c>
      <c r="I5" s="12">
        <v>2</v>
      </c>
      <c r="J5" s="12">
        <f t="shared" ref="J5:J36" si="0">I5-1</f>
        <v>1</v>
      </c>
      <c r="K5" s="19">
        <f t="shared" ref="K5:K36" si="1">IF(colas=2,TINV(alfa,J5),TINV(2*alfa,J5))</f>
        <v>12.706204736174707</v>
      </c>
      <c r="L5" s="19">
        <f t="shared" ref="L5:L36" si="2">IF(ISNUMBER($E$19),$E$19*SQRT(I5),"")</f>
        <v>0.1794785995405288</v>
      </c>
      <c r="M5" s="19">
        <f t="shared" ref="M5:M36" si="3">IF(ISNUMBER($E$19),((1-NORMSDIST((K5*(1-1/(4*J5))-($E$19)*SQRT(I5))/SQRT(1+K5^2/(2*J5))))+IF(colas=2,NORMSDIST((-K5*(1-1/(4*J5))-($E$19)*SQRT(I5))/SQRT(1+K5^2/(2*J5))),0)),"")</f>
        <v>0.2919089305134181</v>
      </c>
      <c r="N5" s="12" t="str">
        <f t="shared" ref="N5:N36" si="4">IF(ISNUMBER(M5),IF(M5&gt;=potencia,I5,""),"")</f>
        <v/>
      </c>
      <c r="O5" s="19">
        <f t="shared" ref="O5:O36" si="5">(K5+TINV(2*(1-potencia),J5))/SQRT(I5)</f>
        <v>11.160894431576583</v>
      </c>
      <c r="P5" s="19">
        <f t="shared" ref="P5:P36" si="6">IFERROR(O5-(((1-NORMSDIST((K5*(1-1/(4*J5))-(O5)*SQRT(I5))/SQRT(1+K5^2/(2*J5))))+IF(colas=2,NORMSDIST((-K5*(1-1/(4*J5))-(O5)*SQRT(I5))/SQRT(1+K5^2/(2*J5))),0))-potencia)/((((1-NORMSDIST((K5*(1-1/(4*J5))-(O5+(0.001*O5))*SQRT(I5))/SQRT(1+K5^2/(2*J5))))+IF(colas=2,NORMSDIST((-K5*(1-1/(4*J5))-(O5+(0.001*O5))*SQRT(I5))/SQRT(1+K5^2/(2*J5))),0))-((1-NORMSDIST((K5*(1-1/(4*J5))-(O5-(0.001*O5))*SQRT(I5))/SQRT(1+K5^2/(2*J5))))+IF(colas=2,NORMSDIST((-K5*(1-1/(4*J5))-(O5-(0.001*O5))*SQRT(I5))/SQRT(1+K5^2/(2*J5))),0)))/(2*(0.001*O5))),O5)</f>
        <v>14.125419064049995</v>
      </c>
      <c r="Q5" s="19">
        <f t="shared" ref="Q5:Q36" si="7">IFERROR(P5-(((1-NORMSDIST((K5*(1-1/(4*J5))-(P5)*SQRT(I5))/SQRT(1+K5^2/(2*J5))))+IF(colas=2,NORMSDIST((-K5*(1-1/(4*J5))-(P5)*SQRT(I5))/SQRT(1+K5^2/(2*J5))),0))-potencia)/((((1-NORMSDIST((K5*(1-1/(4*J5))-(P5+(0.001*P5))*SQRT(I5))/SQRT(1+K5^2/(2*J5))))+IF(colas=2,NORMSDIST((-K5*(1-1/(4*J5))-(P5+(0.001*P5))*SQRT(I5))/SQRT(1+K5^2/(2*J5))),0))-((1-NORMSDIST((K5*(1-1/(4*J5))-(P5-(0.001*P5))*SQRT(I5))/SQRT(1+K5^2/(2*J5))))+IF(colas=2,NORMSDIST((-K5*(1-1/(4*J5))-(P5-(0.001*P5))*SQRT(I5))/SQRT(1+K5^2/(2*J5))),0)))/(2*(0.001*P5))),P5)</f>
        <v>14.862646081982144</v>
      </c>
      <c r="R5" s="19">
        <f t="shared" ref="R5:R36" si="8">IFERROR(Q5-(((1-NORMSDIST((K5*(1-1/(4*J5))-(Q5)*SQRT(I5))/SQRT(1+K5^2/(2*J5))))+IF(colas=2,NORMSDIST((-K5*(1-1/(4*J5))-(Q5)*SQRT(I5))/SQRT(1+K5^2/(2*J5))),0))-potencia)/((((1-NORMSDIST((K5*(1-1/(4*J5))-(Q5+(0.001*Q5))*SQRT(I5))/SQRT(1+K5^2/(2*J5))))+IF(colas=2,NORMSDIST((-K5*(1-1/(4*J5))-(Q5+(0.001*Q5))*SQRT(I5))/SQRT(1+K5^2/(2*J5))),0))-((1-NORMSDIST((K5*(1-1/(4*J5))-(Q5-(0.001*Q5))*SQRT(I5))/SQRT(1+K5^2/(2*J5))))+IF(colas=2,NORMSDIST((-K5*(1-1/(4*J5))-(Q5-(0.001*Q5))*SQRT(I5))/SQRT(1+K5^2/(2*J5))),0)))/(2*(0.001*Q5))),Q5)</f>
        <v>14.917475267238649</v>
      </c>
      <c r="S5" s="19">
        <f t="shared" ref="S5:S36" si="9">R5</f>
        <v>14.917475267238649</v>
      </c>
    </row>
    <row r="6" spans="1:19" x14ac:dyDescent="0.3">
      <c r="A6" s="8" t="s">
        <v>193</v>
      </c>
      <c r="B6" s="16">
        <f>IF(ISNUMBER(S_I1),S_I1,"")</f>
        <v>3.2169455771283251</v>
      </c>
      <c r="C6" s="16">
        <f>IF(ISNUMBER(S_I2),S_I2,"")</f>
        <v>45.610236530080108</v>
      </c>
      <c r="D6" s="16">
        <f>IF(ISNUMBER(S_I3),S_I3,"")</f>
        <v>14.473681498425977</v>
      </c>
      <c r="E6" s="17">
        <f>IF(COUNT(B6:D6)=0,"",MAX(B6:D6))</f>
        <v>45.610236530080108</v>
      </c>
      <c r="I6" s="12">
        <v>3</v>
      </c>
      <c r="J6" s="12">
        <f t="shared" si="0"/>
        <v>2</v>
      </c>
      <c r="K6" s="19">
        <f t="shared" si="1"/>
        <v>4.3026527297494637</v>
      </c>
      <c r="L6" s="19">
        <f t="shared" si="2"/>
        <v>0.21981549431180744</v>
      </c>
      <c r="M6" s="19">
        <f t="shared" si="3"/>
        <v>0.11406960534217414</v>
      </c>
      <c r="N6" s="12" t="str">
        <f t="shared" si="4"/>
        <v/>
      </c>
      <c r="O6" s="19">
        <f t="shared" si="5"/>
        <v>3.5727998196539663</v>
      </c>
      <c r="P6" s="19">
        <f t="shared" si="6"/>
        <v>3.8823185965426341</v>
      </c>
      <c r="Q6" s="19">
        <f t="shared" si="7"/>
        <v>3.9279406907319774</v>
      </c>
      <c r="R6" s="19">
        <f t="shared" si="8"/>
        <v>3.9289240032543646</v>
      </c>
      <c r="S6" s="19">
        <f t="shared" si="9"/>
        <v>3.9289240032543646</v>
      </c>
    </row>
    <row r="7" spans="1:19" x14ac:dyDescent="0.3">
      <c r="A7" s="8" t="s">
        <v>194</v>
      </c>
      <c r="E7" s="18" t="str">
        <f>IF(ISNUMBER(E6),INDEX($B$4:$D$4,MATCH(E6,B6:D6,0)),"")</f>
        <v>I2</v>
      </c>
      <c r="I7" s="12">
        <v>4</v>
      </c>
      <c r="J7" s="12">
        <f t="shared" si="0"/>
        <v>3</v>
      </c>
      <c r="K7" s="19">
        <f t="shared" si="1"/>
        <v>3.1824463052837091</v>
      </c>
      <c r="L7" s="19">
        <f t="shared" si="2"/>
        <v>0.25382106962594536</v>
      </c>
      <c r="M7" s="19">
        <f t="shared" si="3"/>
        <v>7.8679342827585708E-2</v>
      </c>
      <c r="N7" s="12" t="str">
        <f t="shared" si="4"/>
        <v/>
      </c>
      <c r="O7" s="19">
        <f t="shared" si="5"/>
        <v>2.4100953294899594</v>
      </c>
      <c r="P7" s="19">
        <f t="shared" si="6"/>
        <v>2.5023243227138208</v>
      </c>
      <c r="Q7" s="19">
        <f t="shared" si="7"/>
        <v>2.5091402827332989</v>
      </c>
      <c r="R7" s="19">
        <f t="shared" si="8"/>
        <v>2.5091767002136707</v>
      </c>
      <c r="S7" s="19">
        <f t="shared" si="9"/>
        <v>2.5091767002136707</v>
      </c>
    </row>
    <row r="8" spans="1:19" x14ac:dyDescent="0.3">
      <c r="A8" s="8" t="s">
        <v>195</v>
      </c>
      <c r="E8" s="12">
        <f>IF(ISNUMBER(E6),INDEX(B5:D5,MATCH(E6,B6:D6,0)),"")</f>
        <v>4</v>
      </c>
      <c r="I8" s="12">
        <v>5</v>
      </c>
      <c r="J8" s="12">
        <f t="shared" si="0"/>
        <v>4</v>
      </c>
      <c r="K8" s="19">
        <f t="shared" si="1"/>
        <v>2.7764451051977934</v>
      </c>
      <c r="L8" s="19">
        <f t="shared" si="2"/>
        <v>0.28378058290266051</v>
      </c>
      <c r="M8" s="19">
        <f t="shared" si="3"/>
        <v>6.8657792109381874E-2</v>
      </c>
      <c r="N8" s="12" t="str">
        <f t="shared" si="4"/>
        <v/>
      </c>
      <c r="O8" s="19">
        <f t="shared" si="5"/>
        <v>1.9273346886687583</v>
      </c>
      <c r="P8" s="19">
        <f t="shared" si="6"/>
        <v>1.9656414768511179</v>
      </c>
      <c r="Q8" s="19">
        <f t="shared" si="7"/>
        <v>1.9671674086704174</v>
      </c>
      <c r="R8" s="19">
        <f t="shared" si="8"/>
        <v>1.9671697930031866</v>
      </c>
      <c r="S8" s="19">
        <f t="shared" si="9"/>
        <v>1.9671697930031866</v>
      </c>
    </row>
    <row r="9" spans="1:19" x14ac:dyDescent="0.3">
      <c r="A9" s="8" t="s">
        <v>196</v>
      </c>
      <c r="E9" s="19">
        <f>IF(AND(ISNUMBER(E8),E8&gt;=2),SQRT((E8-1)/CHIINV(conf_sigma,E8-1)),"")</f>
        <v>1.7275872940849268</v>
      </c>
      <c r="G9" s="10" t="s">
        <v>198</v>
      </c>
      <c r="I9" s="12">
        <v>6</v>
      </c>
      <c r="J9" s="12">
        <f t="shared" si="0"/>
        <v>5</v>
      </c>
      <c r="K9" s="19">
        <f t="shared" si="1"/>
        <v>2.570581835636315</v>
      </c>
      <c r="L9" s="19">
        <f t="shared" si="2"/>
        <v>0.31086605327550398</v>
      </c>
      <c r="M9" s="19">
        <f t="shared" si="3"/>
        <v>6.5424038812473356E-2</v>
      </c>
      <c r="N9" s="12" t="str">
        <f t="shared" si="4"/>
        <v/>
      </c>
      <c r="O9" s="19">
        <f t="shared" si="5"/>
        <v>1.6519627797514638</v>
      </c>
      <c r="P9" s="19">
        <f t="shared" si="6"/>
        <v>1.6707724077418153</v>
      </c>
      <c r="Q9" s="19">
        <f t="shared" si="7"/>
        <v>1.6712079853811688</v>
      </c>
      <c r="R9" s="19">
        <f t="shared" si="8"/>
        <v>1.6712082169860096</v>
      </c>
      <c r="S9" s="19">
        <f t="shared" si="9"/>
        <v>1.6712082169860096</v>
      </c>
    </row>
    <row r="10" spans="1:19" ht="15.6" x14ac:dyDescent="0.3">
      <c r="A10" s="7" t="s">
        <v>197</v>
      </c>
      <c r="E10" s="23">
        <f>IF(ISNUMBER(E9),E9*E6,"")</f>
        <v>78.795665109574571</v>
      </c>
      <c r="I10" s="12">
        <v>7</v>
      </c>
      <c r="J10" s="12">
        <f t="shared" si="0"/>
        <v>6</v>
      </c>
      <c r="K10" s="19">
        <f t="shared" si="1"/>
        <v>2.4469118511449697</v>
      </c>
      <c r="L10" s="19">
        <f t="shared" si="2"/>
        <v>0.33577371386933086</v>
      </c>
      <c r="M10" s="19">
        <f t="shared" si="3"/>
        <v>6.466928077971773E-2</v>
      </c>
      <c r="N10" s="12" t="str">
        <f t="shared" si="4"/>
        <v/>
      </c>
      <c r="O10" s="19">
        <f t="shared" si="5"/>
        <v>1.469022270595119</v>
      </c>
      <c r="P10" s="19">
        <f t="shared" si="6"/>
        <v>1.479200660052618</v>
      </c>
      <c r="Q10" s="19">
        <f t="shared" si="7"/>
        <v>1.4793451184881692</v>
      </c>
      <c r="R10" s="19">
        <f t="shared" si="8"/>
        <v>1.4793451475452402</v>
      </c>
      <c r="S10" s="19">
        <f t="shared" si="9"/>
        <v>1.4793451475452402</v>
      </c>
    </row>
    <row r="11" spans="1:19" x14ac:dyDescent="0.3">
      <c r="I11" s="12">
        <v>8</v>
      </c>
      <c r="J11" s="12">
        <f t="shared" si="0"/>
        <v>7</v>
      </c>
      <c r="K11" s="19">
        <f t="shared" si="1"/>
        <v>2.3646242515927849</v>
      </c>
      <c r="L11" s="19">
        <f t="shared" si="2"/>
        <v>0.35895719908105761</v>
      </c>
      <c r="M11" s="19">
        <f t="shared" si="3"/>
        <v>6.5021454640707355E-2</v>
      </c>
      <c r="N11" s="12" t="str">
        <f t="shared" si="4"/>
        <v/>
      </c>
      <c r="O11" s="19">
        <f t="shared" si="5"/>
        <v>1.3362720736821005</v>
      </c>
      <c r="P11" s="19">
        <f t="shared" si="6"/>
        <v>1.3421048399924158</v>
      </c>
      <c r="Q11" s="19">
        <f t="shared" si="7"/>
        <v>1.3421572027340241</v>
      </c>
      <c r="R11" s="19">
        <f t="shared" si="8"/>
        <v>1.3421572069925847</v>
      </c>
      <c r="S11" s="19">
        <f t="shared" si="9"/>
        <v>1.3421572069925847</v>
      </c>
    </row>
    <row r="12" spans="1:19" x14ac:dyDescent="0.3">
      <c r="A12" s="6" t="s">
        <v>199</v>
      </c>
      <c r="B12" s="6" t="s">
        <v>54</v>
      </c>
      <c r="C12" s="6" t="s">
        <v>55</v>
      </c>
      <c r="D12" s="6" t="s">
        <v>56</v>
      </c>
      <c r="E12" s="6" t="s">
        <v>191</v>
      </c>
      <c r="I12" s="12">
        <v>9</v>
      </c>
      <c r="J12" s="12">
        <f t="shared" si="0"/>
        <v>8</v>
      </c>
      <c r="K12" s="19">
        <f t="shared" si="1"/>
        <v>2.3060041352041671</v>
      </c>
      <c r="L12" s="19">
        <f t="shared" si="2"/>
        <v>0.38073160443891807</v>
      </c>
      <c r="M12" s="19">
        <f t="shared" si="3"/>
        <v>6.5940070747435325E-2</v>
      </c>
      <c r="N12" s="12" t="str">
        <f t="shared" si="4"/>
        <v/>
      </c>
      <c r="O12" s="19">
        <f t="shared" si="5"/>
        <v>1.2342731483160108</v>
      </c>
      <c r="P12" s="19">
        <f t="shared" si="6"/>
        <v>1.2377152311433361</v>
      </c>
      <c r="Q12" s="19">
        <f t="shared" si="7"/>
        <v>1.2377350237161449</v>
      </c>
      <c r="R12" s="19">
        <f t="shared" si="8"/>
        <v>1.2377350243904812</v>
      </c>
      <c r="S12" s="19">
        <f t="shared" si="9"/>
        <v>1.2377350243904812</v>
      </c>
    </row>
    <row r="13" spans="1:19" ht="25.95" customHeight="1" x14ac:dyDescent="0.3">
      <c r="A13" s="8" t="s">
        <v>200</v>
      </c>
      <c r="B13" s="25" t="str">
        <f>IF(ISNUMBER(tol_1),"1 · tolerancia",IF(AND(ISNUMBER(tau0_1),ISNUMBER(taumax_1),taumax_1&gt;tau0_1),"2 · τmáx − τ0",IF(ISNUMBER(banda_1),"3 · banda",IF(AND(ISNUMBER(estab_1),ISNUMBER(tau0_1)),"4 · estabilidad","5 · por defecto"))))</f>
        <v>5 · por defecto</v>
      </c>
      <c r="C13" s="25" t="str">
        <f>IF(ISNUMBER(tol_2),"1 · tolerancia",IF(AND(ISNUMBER(tau0_2),ISNUMBER(taumax_2),taumax_2&gt;tau0_2),"2 · τmáx − τ0",IF(ISNUMBER(banda_2),"3 · banda",IF(AND(ISNUMBER(estab_2),ISNUMBER(tau0_2)),"4 · estabilidad","5 · por defecto"))))</f>
        <v>5 · por defecto</v>
      </c>
      <c r="D13" s="25" t="str">
        <f>IF(ISNUMBER(tol_3),"1 · tolerancia",IF(AND(ISNUMBER(tau0_3),ISNUMBER(taumax_3),taumax_3&gt;tau0_3),"2 · τmáx − τ0",IF(ISNUMBER(banda_3),"3 · banda",IF(AND(ISNUMBER(estab_3),ISNUMBER(tau0_3)),"4 · estabilidad","5 · por defecto"))))</f>
        <v>2 · τmáx − τ0</v>
      </c>
      <c r="I13" s="12">
        <v>10</v>
      </c>
      <c r="J13" s="12">
        <f t="shared" si="0"/>
        <v>9</v>
      </c>
      <c r="K13" s="19">
        <f t="shared" si="1"/>
        <v>2.2621571627982053</v>
      </c>
      <c r="L13" s="19">
        <f t="shared" si="2"/>
        <v>0.40132634907908493</v>
      </c>
      <c r="M13" s="19">
        <f t="shared" si="3"/>
        <v>6.7178459463666268E-2</v>
      </c>
      <c r="N13" s="12" t="str">
        <f t="shared" si="4"/>
        <v/>
      </c>
      <c r="O13" s="19">
        <f t="shared" si="5"/>
        <v>1.1527089942509177</v>
      </c>
      <c r="P13" s="19">
        <f t="shared" si="6"/>
        <v>1.1547490490668106</v>
      </c>
      <c r="Q13" s="19">
        <f t="shared" si="7"/>
        <v>1.154756506583783</v>
      </c>
      <c r="R13" s="19">
        <f t="shared" si="8"/>
        <v>1.1547565066915104</v>
      </c>
      <c r="S13" s="19">
        <f t="shared" si="9"/>
        <v>1.1547565066915104</v>
      </c>
    </row>
    <row r="14" spans="1:19" x14ac:dyDescent="0.3">
      <c r="A14" s="8" t="s">
        <v>201</v>
      </c>
      <c r="B14" s="17">
        <f>IF(ISNUMBER(tol_1),tol_1,IF(AND(ISNUMBER(tau0_1),ISNUMBER(taumax_1),taumax_1&gt;tau0_1),taumax_1-tau0_1,IF(ISNUMBER(banda_1),banda_1,IF(AND(ISNUMBER(estab_1),ISNUMBER(tau0_1)),3*estab_1/100*tau0_1,delta_def))))</f>
        <v>10</v>
      </c>
      <c r="C14" s="17">
        <f>IF(ISNUMBER(tol_2),tol_2,IF(AND(ISNUMBER(tau0_2),ISNUMBER(taumax_2),taumax_2&gt;tau0_2),taumax_2-tau0_2,IF(ISNUMBER(banda_2),banda_2,IF(AND(ISNUMBER(estab_2),ISNUMBER(tau0_2)),3*estab_2/100*tau0_2,delta_def))))</f>
        <v>10</v>
      </c>
      <c r="D14" s="17">
        <f>IF(ISNUMBER(tol_3),tol_3,IF(AND(ISNUMBER(tau0_3),ISNUMBER(taumax_3),taumax_3&gt;tau0_3),taumax_3-tau0_3,IF(ISNUMBER(banda_3),banda_3,IF(AND(ISNUMBER(estab_3),ISNUMBER(tau0_3)),3*estab_3/100*tau0_3,delta_def))))</f>
        <v>26</v>
      </c>
      <c r="I14" s="12">
        <v>11</v>
      </c>
      <c r="J14" s="12">
        <f t="shared" si="0"/>
        <v>10</v>
      </c>
      <c r="K14" s="19">
        <f t="shared" si="1"/>
        <v>2.2281388519862744</v>
      </c>
      <c r="L14" s="19">
        <f t="shared" si="2"/>
        <v>0.42091462591796719</v>
      </c>
      <c r="M14" s="19">
        <f t="shared" si="3"/>
        <v>6.8611322061966934E-2</v>
      </c>
      <c r="N14" s="12" t="str">
        <f t="shared" si="4"/>
        <v/>
      </c>
      <c r="O14" s="19">
        <f t="shared" si="5"/>
        <v>1.0855380758071254</v>
      </c>
      <c r="P14" s="19">
        <f t="shared" si="6"/>
        <v>1.086716040953797</v>
      </c>
      <c r="Q14" s="19">
        <f t="shared" si="7"/>
        <v>1.086718684764356</v>
      </c>
      <c r="R14" s="19">
        <f t="shared" si="8"/>
        <v>1.0867186847805972</v>
      </c>
      <c r="S14" s="19">
        <f t="shared" si="9"/>
        <v>1.0867186847805972</v>
      </c>
    </row>
    <row r="15" spans="1:19" ht="26.4" x14ac:dyDescent="0.3">
      <c r="A15" s="7" t="s">
        <v>202</v>
      </c>
      <c r="B15" s="17">
        <f>IF(ISNUMBER(incert_1),MAX(B14,2*incert_1),B14)</f>
        <v>10</v>
      </c>
      <c r="C15" s="17">
        <f>IF(ISNUMBER(incert_2),MAX(C14,2*incert_2),C14)</f>
        <v>10</v>
      </c>
      <c r="D15" s="17">
        <f>IF(ISNUMBER(incert_3),MAX(D14,2*incert_3),D14)</f>
        <v>26</v>
      </c>
      <c r="E15" s="23">
        <f>MIN(B15:D15)</f>
        <v>10</v>
      </c>
      <c r="G15" s="10" t="s">
        <v>203</v>
      </c>
      <c r="I15" s="12">
        <v>12</v>
      </c>
      <c r="J15" s="12">
        <f t="shared" si="0"/>
        <v>11</v>
      </c>
      <c r="K15" s="19">
        <f t="shared" si="1"/>
        <v>2.2009851600916384</v>
      </c>
      <c r="L15" s="19">
        <f t="shared" si="2"/>
        <v>0.43963098862361488</v>
      </c>
      <c r="M15" s="19">
        <f t="shared" si="3"/>
        <v>7.0169620300744182E-2</v>
      </c>
      <c r="N15" s="12" t="str">
        <f t="shared" si="4"/>
        <v/>
      </c>
      <c r="O15" s="19">
        <f t="shared" si="5"/>
        <v>1.0289581178958678</v>
      </c>
      <c r="P15" s="19">
        <f t="shared" si="6"/>
        <v>1.0295868864393638</v>
      </c>
      <c r="Q15" s="19">
        <f t="shared" si="7"/>
        <v>1.0295876820916727</v>
      </c>
      <c r="R15" s="19">
        <f t="shared" si="8"/>
        <v>1.0295876820938328</v>
      </c>
      <c r="S15" s="19">
        <f t="shared" si="9"/>
        <v>1.0295876820938328</v>
      </c>
    </row>
    <row r="16" spans="1:19" x14ac:dyDescent="0.3">
      <c r="I16" s="12">
        <v>13</v>
      </c>
      <c r="J16" s="12">
        <f t="shared" si="0"/>
        <v>12</v>
      </c>
      <c r="K16" s="19">
        <f t="shared" si="1"/>
        <v>2.1788128296672284</v>
      </c>
      <c r="L16" s="19">
        <f t="shared" si="2"/>
        <v>0.45758244066473064</v>
      </c>
      <c r="M16" s="19">
        <f t="shared" si="3"/>
        <v>7.1812805494823453E-2</v>
      </c>
      <c r="N16" s="12" t="str">
        <f t="shared" si="4"/>
        <v/>
      </c>
      <c r="O16" s="19">
        <f t="shared" si="5"/>
        <v>0.98044096273059378</v>
      </c>
      <c r="P16" s="19">
        <f t="shared" si="6"/>
        <v>0.98071055708536148</v>
      </c>
      <c r="Q16" s="19">
        <f t="shared" si="7"/>
        <v>0.98071071085816341</v>
      </c>
      <c r="R16" s="19">
        <f t="shared" si="8"/>
        <v>0.98071071085838535</v>
      </c>
      <c r="S16" s="19">
        <f t="shared" si="9"/>
        <v>0.98071071085838535</v>
      </c>
    </row>
    <row r="17" spans="1:19" x14ac:dyDescent="0.3">
      <c r="A17" s="6" t="s">
        <v>204</v>
      </c>
      <c r="B17" s="6"/>
      <c r="C17" s="6"/>
      <c r="D17" s="6"/>
      <c r="E17" s="6" t="s">
        <v>3</v>
      </c>
      <c r="I17" s="12">
        <v>14</v>
      </c>
      <c r="J17" s="12">
        <f t="shared" si="0"/>
        <v>13</v>
      </c>
      <c r="K17" s="19">
        <f t="shared" si="1"/>
        <v>2.1603686564627926</v>
      </c>
      <c r="L17" s="19">
        <f t="shared" si="2"/>
        <v>0.47485574004239067</v>
      </c>
      <c r="M17" s="19">
        <f t="shared" si="3"/>
        <v>7.351580111726766E-2</v>
      </c>
      <c r="N17" s="12" t="str">
        <f t="shared" si="4"/>
        <v/>
      </c>
      <c r="O17" s="19">
        <f t="shared" si="5"/>
        <v>0.93823126554877789</v>
      </c>
      <c r="P17" s="19">
        <f t="shared" si="6"/>
        <v>0.93826152332930746</v>
      </c>
      <c r="Q17" s="19">
        <f t="shared" si="7"/>
        <v>0.9382615253843154</v>
      </c>
      <c r="R17" s="19">
        <f t="shared" si="8"/>
        <v>0.93826152538431762</v>
      </c>
      <c r="S17" s="19">
        <f t="shared" si="9"/>
        <v>0.93826152538431762</v>
      </c>
    </row>
    <row r="18" spans="1:19" x14ac:dyDescent="0.3">
      <c r="A18" s="8" t="s">
        <v>205</v>
      </c>
      <c r="E18" s="18" t="str">
        <f>alfa&amp;" · "&amp;potencia&amp;" · "&amp;colas</f>
        <v>0.05 · 0.9 · 2</v>
      </c>
      <c r="I18" s="12">
        <v>15</v>
      </c>
      <c r="J18" s="12">
        <f t="shared" si="0"/>
        <v>14</v>
      </c>
      <c r="K18" s="19">
        <f t="shared" si="1"/>
        <v>2.1447866879178044</v>
      </c>
      <c r="L18" s="19">
        <f t="shared" si="2"/>
        <v>0.49152238778891982</v>
      </c>
      <c r="M18" s="19">
        <f t="shared" si="3"/>
        <v>7.5262424052939841E-2</v>
      </c>
      <c r="N18" s="12" t="str">
        <f t="shared" si="4"/>
        <v/>
      </c>
      <c r="O18" s="19">
        <f t="shared" si="5"/>
        <v>0.90106689092526726</v>
      </c>
      <c r="P18" s="19">
        <f t="shared" si="6"/>
        <v>0.90093574519053554</v>
      </c>
      <c r="Q18" s="19">
        <f t="shared" si="7"/>
        <v>0.90093578459437362</v>
      </c>
      <c r="R18" s="19">
        <f t="shared" si="8"/>
        <v>0.90093578459442136</v>
      </c>
      <c r="S18" s="19">
        <f t="shared" si="9"/>
        <v>0.90093578459442136</v>
      </c>
    </row>
    <row r="19" spans="1:19" x14ac:dyDescent="0.3">
      <c r="A19" s="8" t="s">
        <v>206</v>
      </c>
      <c r="E19" s="19">
        <f>IF(ISNUMBER(E10),E15/E10,"")</f>
        <v>0.12691053481297268</v>
      </c>
      <c r="I19" s="12">
        <v>16</v>
      </c>
      <c r="J19" s="12">
        <f t="shared" si="0"/>
        <v>15</v>
      </c>
      <c r="K19" s="19">
        <f t="shared" si="1"/>
        <v>2.1314495455597742</v>
      </c>
      <c r="L19" s="19">
        <f t="shared" si="2"/>
        <v>0.50764213925189072</v>
      </c>
      <c r="M19" s="19">
        <f t="shared" si="3"/>
        <v>7.7041849126393974E-2</v>
      </c>
      <c r="N19" s="12" t="str">
        <f t="shared" si="4"/>
        <v/>
      </c>
      <c r="O19" s="19">
        <f t="shared" si="5"/>
        <v>0.86801378835255716</v>
      </c>
      <c r="P19" s="19">
        <f t="shared" si="6"/>
        <v>0.86777321384105044</v>
      </c>
      <c r="Q19" s="19">
        <f t="shared" si="7"/>
        <v>0.86777335177138826</v>
      </c>
      <c r="R19" s="19">
        <f t="shared" si="8"/>
        <v>0.86777335177158821</v>
      </c>
      <c r="S19" s="19">
        <f t="shared" si="9"/>
        <v>0.86777335177158821</v>
      </c>
    </row>
    <row r="20" spans="1:19" ht="26.4" x14ac:dyDescent="0.3">
      <c r="A20" s="7" t="s">
        <v>207</v>
      </c>
      <c r="E20" s="26" t="str">
        <f>IF(ISNUMBER(E19),IF(COUNT($N$5:$N$103)=0,"&gt; 100",MIN($N$5:$N$103)),"")</f>
        <v>&gt; 100</v>
      </c>
      <c r="G20" s="10" t="s">
        <v>209</v>
      </c>
      <c r="I20" s="12">
        <v>17</v>
      </c>
      <c r="J20" s="12">
        <f t="shared" si="0"/>
        <v>16</v>
      </c>
      <c r="K20" s="19">
        <f t="shared" si="1"/>
        <v>2.119905299221255</v>
      </c>
      <c r="L20" s="19">
        <f t="shared" si="2"/>
        <v>0.52326554003751358</v>
      </c>
      <c r="M20" s="19">
        <f t="shared" si="3"/>
        <v>7.8846609412098256E-2</v>
      </c>
      <c r="N20" s="12" t="str">
        <f t="shared" si="4"/>
        <v/>
      </c>
      <c r="O20" s="19">
        <f t="shared" si="5"/>
        <v>0.83836379186399013</v>
      </c>
      <c r="P20" s="19">
        <f t="shared" si="6"/>
        <v>0.83804917631131004</v>
      </c>
      <c r="Q20" s="19">
        <f t="shared" si="7"/>
        <v>0.83804942073586386</v>
      </c>
      <c r="R20" s="19">
        <f t="shared" si="8"/>
        <v>0.83804942073628563</v>
      </c>
      <c r="S20" s="19">
        <f t="shared" si="9"/>
        <v>0.83804942073628563</v>
      </c>
    </row>
    <row r="21" spans="1:19" x14ac:dyDescent="0.3">
      <c r="A21" s="8" t="s">
        <v>208</v>
      </c>
      <c r="E21" s="19" t="str">
        <f>IF(ISNUMBER(E20),INDEX($M$5:$M$103,E20-1),"")</f>
        <v/>
      </c>
      <c r="I21" s="12">
        <v>18</v>
      </c>
      <c r="J21" s="12">
        <f t="shared" si="0"/>
        <v>17</v>
      </c>
      <c r="K21" s="19">
        <f t="shared" si="1"/>
        <v>2.109815577833317</v>
      </c>
      <c r="L21" s="19">
        <f t="shared" si="2"/>
        <v>0.5384357986215863</v>
      </c>
      <c r="M21" s="19">
        <f t="shared" si="3"/>
        <v>8.0671415202839589E-2</v>
      </c>
      <c r="N21" s="12" t="str">
        <f t="shared" si="4"/>
        <v/>
      </c>
      <c r="O21" s="19">
        <f t="shared" si="5"/>
        <v>0.8115688368351649</v>
      </c>
      <c r="P21" s="19">
        <f t="shared" si="6"/>
        <v>0.81120468568461201</v>
      </c>
      <c r="Q21" s="19">
        <f t="shared" si="7"/>
        <v>0.81120502409743211</v>
      </c>
      <c r="R21" s="19">
        <f t="shared" si="8"/>
        <v>0.81120502409810424</v>
      </c>
      <c r="S21" s="19">
        <f t="shared" si="9"/>
        <v>0.81120502409810424</v>
      </c>
    </row>
    <row r="22" spans="1:19" x14ac:dyDescent="0.3">
      <c r="I22" s="12">
        <v>19</v>
      </c>
      <c r="J22" s="12">
        <f t="shared" si="0"/>
        <v>18</v>
      </c>
      <c r="K22" s="19">
        <f t="shared" si="1"/>
        <v>2.1009220402410378</v>
      </c>
      <c r="L22" s="19">
        <f t="shared" si="2"/>
        <v>0.55319019612044851</v>
      </c>
      <c r="M22" s="19">
        <f t="shared" si="3"/>
        <v>8.2512430141711612E-2</v>
      </c>
      <c r="N22" s="12" t="str">
        <f t="shared" si="4"/>
        <v/>
      </c>
      <c r="O22" s="19">
        <f t="shared" si="5"/>
        <v>0.78719718632057545</v>
      </c>
      <c r="P22" s="19">
        <f t="shared" si="6"/>
        <v>0.7868007021847645</v>
      </c>
      <c r="Q22" s="19">
        <f t="shared" si="7"/>
        <v>0.78680111590696389</v>
      </c>
      <c r="R22" s="19">
        <f t="shared" si="8"/>
        <v>0.78680111590787916</v>
      </c>
      <c r="S22" s="19">
        <f t="shared" si="9"/>
        <v>0.78680111590787916</v>
      </c>
    </row>
    <row r="23" spans="1:19" x14ac:dyDescent="0.3">
      <c r="A23" s="6" t="s">
        <v>210</v>
      </c>
      <c r="B23" s="6" t="s">
        <v>211</v>
      </c>
      <c r="C23" s="6" t="s">
        <v>212</v>
      </c>
      <c r="D23" s="6"/>
      <c r="E23" s="6"/>
      <c r="I23" s="12">
        <v>20</v>
      </c>
      <c r="J23" s="12">
        <f t="shared" si="0"/>
        <v>19</v>
      </c>
      <c r="K23" s="19">
        <f t="shared" si="1"/>
        <v>2.0930240544083096</v>
      </c>
      <c r="L23" s="19">
        <f t="shared" si="2"/>
        <v>0.56756116580532101</v>
      </c>
      <c r="M23" s="19">
        <f t="shared" si="3"/>
        <v>8.4366813066575216E-2</v>
      </c>
      <c r="N23" s="12" t="str">
        <f t="shared" si="4"/>
        <v/>
      </c>
      <c r="O23" s="19">
        <f t="shared" si="5"/>
        <v>0.76490345952271688</v>
      </c>
      <c r="P23" s="19">
        <f t="shared" si="6"/>
        <v>0.76448684793890009</v>
      </c>
      <c r="Q23" s="19">
        <f t="shared" si="7"/>
        <v>0.7644873181524523</v>
      </c>
      <c r="R23" s="19">
        <f t="shared" si="8"/>
        <v>0.76448731815357973</v>
      </c>
      <c r="S23" s="19">
        <f t="shared" si="9"/>
        <v>0.76448731815357973</v>
      </c>
    </row>
    <row r="24" spans="1:19" x14ac:dyDescent="0.3">
      <c r="A24" s="8" t="s">
        <v>213</v>
      </c>
      <c r="B24" s="16">
        <f>IF(ISNUMBER(min_traza_man),min_traza_man,dur_piloto)</f>
        <v>7.5000000000000018</v>
      </c>
      <c r="I24" s="12">
        <v>21</v>
      </c>
      <c r="J24" s="12">
        <f t="shared" si="0"/>
        <v>20</v>
      </c>
      <c r="K24" s="19">
        <f t="shared" si="1"/>
        <v>2.0859634472658648</v>
      </c>
      <c r="L24" s="19">
        <f t="shared" si="2"/>
        <v>0.58157713226777563</v>
      </c>
      <c r="M24" s="19">
        <f t="shared" si="3"/>
        <v>8.6232419758191375E-2</v>
      </c>
      <c r="N24" s="12" t="str">
        <f t="shared" si="4"/>
        <v/>
      </c>
      <c r="O24" s="19">
        <f t="shared" si="5"/>
        <v>0.74440759549391011</v>
      </c>
      <c r="P24" s="19">
        <f t="shared" si="6"/>
        <v>0.74397958471351711</v>
      </c>
      <c r="Q24" s="19">
        <f t="shared" si="7"/>
        <v>0.74398009476549054</v>
      </c>
      <c r="R24" s="19">
        <f t="shared" si="8"/>
        <v>0.7439800947667885</v>
      </c>
      <c r="S24" s="19">
        <f t="shared" si="9"/>
        <v>0.7439800947667885</v>
      </c>
    </row>
    <row r="25" spans="1:19" x14ac:dyDescent="0.3">
      <c r="A25" s="8" t="s">
        <v>214</v>
      </c>
      <c r="B25" s="12">
        <f>IF(AND(ISNUMBER(B24),B24&gt;0),INT(horas_dia*60/B24),"")</f>
        <v>40</v>
      </c>
      <c r="C25" s="12">
        <f>B25</f>
        <v>40</v>
      </c>
      <c r="I25" s="12">
        <v>22</v>
      </c>
      <c r="J25" s="12">
        <f t="shared" si="0"/>
        <v>21</v>
      </c>
      <c r="K25" s="19">
        <f t="shared" si="1"/>
        <v>2.07961384472768</v>
      </c>
      <c r="L25" s="19">
        <f t="shared" si="2"/>
        <v>0.5952631725743871</v>
      </c>
      <c r="M25" s="19">
        <f t="shared" si="3"/>
        <v>8.8107603900784398E-2</v>
      </c>
      <c r="N25" s="12" t="str">
        <f t="shared" si="4"/>
        <v/>
      </c>
      <c r="O25" s="19">
        <f t="shared" si="5"/>
        <v>0.72547976402009851</v>
      </c>
      <c r="P25" s="19">
        <f t="shared" si="6"/>
        <v>0.72504662718406554</v>
      </c>
      <c r="Q25" s="19">
        <f t="shared" si="7"/>
        <v>0.72504716323038987</v>
      </c>
      <c r="R25" s="19">
        <f t="shared" si="8"/>
        <v>0.72504716323181384</v>
      </c>
      <c r="S25" s="19">
        <f t="shared" si="9"/>
        <v>0.72504716323181384</v>
      </c>
    </row>
    <row r="26" spans="1:19" ht="26.4" x14ac:dyDescent="0.3">
      <c r="A26" s="7" t="s">
        <v>215</v>
      </c>
      <c r="B26" s="26" t="str">
        <f>IF(ISNUMBER($E$20),ROUNDUP($E$20/3,0),"")</f>
        <v/>
      </c>
      <c r="C26" s="26" t="str">
        <f>IF(ISNUMBER($E$20),ROUNDUP($E$20/4,0),"")</f>
        <v/>
      </c>
      <c r="G26" s="10" t="s">
        <v>225</v>
      </c>
      <c r="I26" s="12">
        <v>23</v>
      </c>
      <c r="J26" s="12">
        <f t="shared" si="0"/>
        <v>22</v>
      </c>
      <c r="K26" s="19">
        <f t="shared" si="1"/>
        <v>2.0738730679040258</v>
      </c>
      <c r="L26" s="19">
        <f t="shared" si="2"/>
        <v>0.60864154349653066</v>
      </c>
      <c r="M26" s="19">
        <f t="shared" si="3"/>
        <v>8.9991081285430347E-2</v>
      </c>
      <c r="N26" s="12" t="str">
        <f t="shared" si="4"/>
        <v/>
      </c>
      <c r="O26" s="19">
        <f t="shared" si="5"/>
        <v>0.70792933259094493</v>
      </c>
      <c r="P26" s="19">
        <f t="shared" si="6"/>
        <v>0.70749558760194953</v>
      </c>
      <c r="Q26" s="19">
        <f t="shared" si="7"/>
        <v>0.70749613854508842</v>
      </c>
      <c r="R26" s="19">
        <f t="shared" si="8"/>
        <v>0.7074961385465971</v>
      </c>
      <c r="S26" s="19">
        <f t="shared" si="9"/>
        <v>0.7074961385465971</v>
      </c>
    </row>
    <row r="27" spans="1:19" x14ac:dyDescent="0.3">
      <c r="A27" s="8" t="s">
        <v>216</v>
      </c>
      <c r="B27" s="12" t="str">
        <f>IF(ISNUMBER(B26),3*B26,"")</f>
        <v/>
      </c>
      <c r="C27" s="12" t="str">
        <f>IF(ISNUMBER(C26),3*C26,"")</f>
        <v/>
      </c>
      <c r="I27" s="12">
        <v>24</v>
      </c>
      <c r="J27" s="12">
        <f t="shared" si="0"/>
        <v>23</v>
      </c>
      <c r="K27" s="19">
        <f t="shared" si="1"/>
        <v>2.0686576104190491</v>
      </c>
      <c r="L27" s="19">
        <f t="shared" si="2"/>
        <v>0.62173210655100797</v>
      </c>
      <c r="M27" s="19">
        <f t="shared" si="3"/>
        <v>9.1881835310667168E-2</v>
      </c>
      <c r="N27" s="12" t="str">
        <f t="shared" si="4"/>
        <v/>
      </c>
      <c r="O27" s="19">
        <f t="shared" si="5"/>
        <v>0.69159666012431187</v>
      </c>
      <c r="P27" s="19">
        <f t="shared" si="6"/>
        <v>0.69116555648849254</v>
      </c>
      <c r="Q27" s="19">
        <f t="shared" si="7"/>
        <v>0.69116611364854408</v>
      </c>
      <c r="R27" s="19">
        <f t="shared" si="8"/>
        <v>0.69116611365010194</v>
      </c>
      <c r="S27" s="19">
        <f t="shared" si="9"/>
        <v>0.69116611365010194</v>
      </c>
    </row>
    <row r="28" spans="1:19" x14ac:dyDescent="0.3">
      <c r="A28" s="8" t="s">
        <v>217</v>
      </c>
      <c r="B28" s="18" t="str">
        <f>IF(AND(ISNUMBER(B27),ISNUMBER($B$25)),IF(B27&lt;=$B$25,"Sí","No"),"(falta cronometraje)")</f>
        <v>(falta cronometraje)</v>
      </c>
      <c r="C28" s="18" t="str">
        <f>IF(AND(ISNUMBER(C27),ISNUMBER($B$25)),IF(C27&lt;=$B$25,"Sí","No"),"(falta cronometraje)")</f>
        <v>(falta cronometraje)</v>
      </c>
      <c r="I28" s="12">
        <v>25</v>
      </c>
      <c r="J28" s="12">
        <f t="shared" si="0"/>
        <v>24</v>
      </c>
      <c r="K28" s="19">
        <f t="shared" si="1"/>
        <v>2.0638985616280254</v>
      </c>
      <c r="L28" s="19">
        <f t="shared" si="2"/>
        <v>0.63455267406486338</v>
      </c>
      <c r="M28" s="19">
        <f t="shared" si="3"/>
        <v>9.3779050039319106E-2</v>
      </c>
      <c r="N28" s="12" t="str">
        <f t="shared" si="4"/>
        <v/>
      </c>
      <c r="O28" s="19">
        <f t="shared" si="5"/>
        <v>0.67634689906023504</v>
      </c>
      <c r="P28" s="19">
        <f t="shared" si="6"/>
        <v>0.67592076134384982</v>
      </c>
      <c r="Q28" s="19">
        <f t="shared" si="7"/>
        <v>0.6759213180613356</v>
      </c>
      <c r="R28" s="19">
        <f t="shared" si="8"/>
        <v>0.67592131806291256</v>
      </c>
      <c r="S28" s="19">
        <f t="shared" si="9"/>
        <v>0.67592131806291256</v>
      </c>
    </row>
    <row r="29" spans="1:19" x14ac:dyDescent="0.3">
      <c r="A29" s="7" t="s">
        <v>218</v>
      </c>
      <c r="B29" s="12" t="str">
        <f>IF(ISNUMBER(B26),B26*3,"")</f>
        <v/>
      </c>
      <c r="C29" s="12" t="str">
        <f>IF(ISNUMBER(C26),C26*4,"")</f>
        <v/>
      </c>
      <c r="I29" s="12">
        <v>26</v>
      </c>
      <c r="J29" s="12">
        <f t="shared" si="0"/>
        <v>25</v>
      </c>
      <c r="K29" s="19">
        <f t="shared" si="1"/>
        <v>2.0595385527532977</v>
      </c>
      <c r="L29" s="19">
        <f t="shared" si="2"/>
        <v>0.64711929349184405</v>
      </c>
      <c r="M29" s="19">
        <f t="shared" si="3"/>
        <v>9.5682062004879748E-2</v>
      </c>
      <c r="N29" s="12" t="str">
        <f t="shared" si="4"/>
        <v/>
      </c>
      <c r="O29" s="19">
        <f t="shared" si="5"/>
        <v>0.66206524929505717</v>
      </c>
      <c r="P29" s="19">
        <f t="shared" si="6"/>
        <v>0.66164572248414988</v>
      </c>
      <c r="Q29" s="19">
        <f t="shared" si="7"/>
        <v>0.66164627373909979</v>
      </c>
      <c r="R29" s="19">
        <f t="shared" si="8"/>
        <v>0.66164627374067231</v>
      </c>
      <c r="S29" s="19">
        <f t="shared" si="9"/>
        <v>0.66164627374067231</v>
      </c>
    </row>
    <row r="30" spans="1:19" x14ac:dyDescent="0.3">
      <c r="A30" s="8" t="s">
        <v>219</v>
      </c>
      <c r="B30" s="12" t="str">
        <f>IF(B28="No",INT($B$25/3),"")</f>
        <v/>
      </c>
      <c r="C30" s="12" t="str">
        <f>IF(C28="No",INT($B$25/3),"")</f>
        <v/>
      </c>
      <c r="I30" s="12">
        <v>27</v>
      </c>
      <c r="J30" s="12">
        <f t="shared" si="0"/>
        <v>26</v>
      </c>
      <c r="K30" s="19">
        <f t="shared" si="1"/>
        <v>2.0555294386428731</v>
      </c>
      <c r="L30" s="19">
        <f t="shared" si="2"/>
        <v>0.65944648293542241</v>
      </c>
      <c r="M30" s="19">
        <f t="shared" si="3"/>
        <v>9.7590325003070688E-2</v>
      </c>
      <c r="N30" s="12" t="str">
        <f t="shared" si="4"/>
        <v/>
      </c>
      <c r="O30" s="19">
        <f t="shared" si="5"/>
        <v>0.64865327818034346</v>
      </c>
      <c r="P30" s="19">
        <f t="shared" si="6"/>
        <v>0.64824150493135668</v>
      </c>
      <c r="Q30" s="19">
        <f t="shared" si="7"/>
        <v>0.64824204701015886</v>
      </c>
      <c r="R30" s="19">
        <f t="shared" si="8"/>
        <v>0.64824204701170862</v>
      </c>
      <c r="S30" s="19">
        <f t="shared" si="9"/>
        <v>0.64824204701170862</v>
      </c>
    </row>
    <row r="31" spans="1:19" x14ac:dyDescent="0.3">
      <c r="A31" s="8" t="s">
        <v>220</v>
      </c>
      <c r="B31" s="12" t="str">
        <f>IF(ISNUMBER(B30),B30*3,"")</f>
        <v/>
      </c>
      <c r="C31" s="12" t="str">
        <f>IF(ISNUMBER(C30),C30*4,"")</f>
        <v/>
      </c>
      <c r="I31" s="12">
        <v>28</v>
      </c>
      <c r="J31" s="12">
        <f t="shared" si="0"/>
        <v>27</v>
      </c>
      <c r="K31" s="19">
        <f t="shared" si="1"/>
        <v>2.0518305164802859</v>
      </c>
      <c r="L31" s="19">
        <f t="shared" si="2"/>
        <v>0.67154742773866172</v>
      </c>
      <c r="M31" s="19">
        <f t="shared" si="3"/>
        <v>9.9503384022582075E-2</v>
      </c>
      <c r="N31" s="12" t="str">
        <f t="shared" si="4"/>
        <v/>
      </c>
      <c r="O31" s="19">
        <f t="shared" si="5"/>
        <v>0.63602603450196249</v>
      </c>
      <c r="P31" s="19">
        <f t="shared" si="6"/>
        <v>0.63562278446942966</v>
      </c>
      <c r="Q31" s="19">
        <f t="shared" si="7"/>
        <v>0.63562331468673072</v>
      </c>
      <c r="R31" s="19">
        <f t="shared" si="8"/>
        <v>0.63562331468824451</v>
      </c>
      <c r="S31" s="19">
        <f t="shared" si="9"/>
        <v>0.63562331468824451</v>
      </c>
    </row>
    <row r="32" spans="1:19" ht="15.6" x14ac:dyDescent="0.3">
      <c r="A32" s="7" t="s">
        <v>221</v>
      </c>
      <c r="B32" s="26" t="str">
        <f>IF(ISNUMBER(B31),B31,B29)</f>
        <v/>
      </c>
      <c r="C32" s="26" t="str">
        <f>IF(ISNUMBER(C31),C31,C29)</f>
        <v/>
      </c>
      <c r="I32" s="12">
        <v>29</v>
      </c>
      <c r="J32" s="12">
        <f t="shared" si="0"/>
        <v>28</v>
      </c>
      <c r="K32" s="19">
        <f t="shared" si="1"/>
        <v>2.0484071417952445</v>
      </c>
      <c r="L32" s="19">
        <f t="shared" si="2"/>
        <v>0.68343414572943872</v>
      </c>
      <c r="M32" s="19">
        <f t="shared" si="3"/>
        <v>0.10142085570374715</v>
      </c>
      <c r="N32" s="12" t="str">
        <f t="shared" si="4"/>
        <v/>
      </c>
      <c r="O32" s="19">
        <f t="shared" si="5"/>
        <v>0.62410976149424424</v>
      </c>
      <c r="P32" s="19">
        <f t="shared" si="6"/>
        <v>0.62371552652876139</v>
      </c>
      <c r="Q32" s="19">
        <f t="shared" si="7"/>
        <v>0.62371604300137862</v>
      </c>
      <c r="R32" s="19">
        <f t="shared" si="8"/>
        <v>0.62371604300284644</v>
      </c>
      <c r="S32" s="19">
        <f t="shared" si="9"/>
        <v>0.62371604300284644</v>
      </c>
    </row>
    <row r="33" spans="1:19" ht="26.4" x14ac:dyDescent="0.3">
      <c r="A33" s="7" t="s">
        <v>222</v>
      </c>
      <c r="B33" s="17" t="str">
        <f>IF(AND(ISNUMBER(B32),B32&gt;=2,ISNUMBER($E$10)),INDEX($S$5:$S$103,B32-1)*$E$10,"")</f>
        <v/>
      </c>
      <c r="C33" s="17" t="str">
        <f>IF(AND(ISNUMBER(C32),C32&gt;=2,ISNUMBER($E$10)),INDEX($S$5:$S$103,C32-1)*$E$10,"")</f>
        <v/>
      </c>
      <c r="G33" s="10" t="s">
        <v>226</v>
      </c>
      <c r="I33" s="12">
        <v>30</v>
      </c>
      <c r="J33" s="12">
        <f t="shared" si="0"/>
        <v>29</v>
      </c>
      <c r="K33" s="19">
        <f t="shared" si="1"/>
        <v>2.0452296421327048</v>
      </c>
      <c r="L33" s="19">
        <f t="shared" si="2"/>
        <v>0.69511762702109814</v>
      </c>
      <c r="M33" s="19">
        <f t="shared" si="3"/>
        <v>0.10334241352361662</v>
      </c>
      <c r="N33" s="12" t="str">
        <f t="shared" si="4"/>
        <v/>
      </c>
      <c r="O33" s="19">
        <f t="shared" si="5"/>
        <v>0.61284006719087791</v>
      </c>
      <c r="P33" s="19">
        <f t="shared" si="6"/>
        <v>0.61245513196213008</v>
      </c>
      <c r="Q33" s="19">
        <f t="shared" si="7"/>
        <v>0.61245563342815701</v>
      </c>
      <c r="R33" s="19">
        <f t="shared" si="8"/>
        <v>0.61245563342957299</v>
      </c>
      <c r="S33" s="19">
        <f t="shared" si="9"/>
        <v>0.61245563342957299</v>
      </c>
    </row>
    <row r="34" spans="1:19" x14ac:dyDescent="0.3">
      <c r="A34" s="8" t="s">
        <v>223</v>
      </c>
      <c r="B34" s="18" t="str">
        <f>IF(ISNUMBER(B33),IF(B33&lt;=$E$15+0.005,"Sí","No: declararlo en el informe"),"")</f>
        <v/>
      </c>
      <c r="C34" s="18" t="str">
        <f>IF(ISNUMBER(C33),IF(C33&lt;=$E$15+0.005,"Sí","No: declararlo en el informe"),"")</f>
        <v/>
      </c>
      <c r="I34" s="12">
        <v>31</v>
      </c>
      <c r="J34" s="12">
        <f t="shared" si="0"/>
        <v>30</v>
      </c>
      <c r="K34" s="19">
        <f t="shared" si="1"/>
        <v>2.0422724563012378</v>
      </c>
      <c r="L34" s="19">
        <f t="shared" si="2"/>
        <v>0.70660795299936807</v>
      </c>
      <c r="M34" s="19">
        <f t="shared" si="3"/>
        <v>0.10526777644611074</v>
      </c>
      <c r="N34" s="12" t="str">
        <f t="shared" si="4"/>
        <v/>
      </c>
      <c r="O34" s="19">
        <f t="shared" si="5"/>
        <v>0.60216044775079258</v>
      </c>
      <c r="P34" s="19">
        <f t="shared" si="6"/>
        <v>0.60178494249784242</v>
      </c>
      <c r="Q34" s="19">
        <f t="shared" si="7"/>
        <v>0.60178542817336911</v>
      </c>
      <c r="R34" s="19">
        <f t="shared" si="8"/>
        <v>0.60178542817472847</v>
      </c>
      <c r="S34" s="19">
        <f t="shared" si="9"/>
        <v>0.60178542817472847</v>
      </c>
    </row>
    <row r="35" spans="1:19" x14ac:dyDescent="0.3">
      <c r="A35" s="8" t="s">
        <v>224</v>
      </c>
      <c r="B35" s="12" t="str">
        <f>IF(ISNUMBER(B32),3*B32,"")</f>
        <v/>
      </c>
      <c r="C35" s="12" t="str">
        <f>IF(ISNUMBER(C32),3*C32,"")</f>
        <v/>
      </c>
      <c r="I35" s="12">
        <v>32</v>
      </c>
      <c r="J35" s="12">
        <f t="shared" si="0"/>
        <v>31</v>
      </c>
      <c r="K35" s="19">
        <f t="shared" si="1"/>
        <v>2.0395134463964082</v>
      </c>
      <c r="L35" s="19">
        <f t="shared" si="2"/>
        <v>0.71791439816211522</v>
      </c>
      <c r="M35" s="19">
        <f t="shared" si="3"/>
        <v>0.10719670014204681</v>
      </c>
      <c r="N35" s="12" t="str">
        <f t="shared" si="4"/>
        <v/>
      </c>
      <c r="O35" s="19">
        <f t="shared" si="5"/>
        <v>0.59202108595807912</v>
      </c>
      <c r="P35" s="19">
        <f t="shared" si="6"/>
        <v>0.591655026122622</v>
      </c>
      <c r="Q35" s="19">
        <f t="shared" si="7"/>
        <v>0.59165549558898778</v>
      </c>
      <c r="R35" s="19">
        <f t="shared" si="8"/>
        <v>0.59165549559028874</v>
      </c>
      <c r="S35" s="19">
        <f t="shared" si="9"/>
        <v>0.59165549559028874</v>
      </c>
    </row>
    <row r="36" spans="1:19" x14ac:dyDescent="0.3">
      <c r="I36" s="12">
        <v>33</v>
      </c>
      <c r="J36" s="12">
        <f t="shared" si="0"/>
        <v>32</v>
      </c>
      <c r="K36" s="19">
        <f t="shared" si="1"/>
        <v>2.0369333434601011</v>
      </c>
      <c r="L36" s="19">
        <f t="shared" si="2"/>
        <v>0.72904551773876691</v>
      </c>
      <c r="M36" s="19">
        <f t="shared" si="3"/>
        <v>0.10912897013567292</v>
      </c>
      <c r="N36" s="12" t="str">
        <f t="shared" si="4"/>
        <v/>
      </c>
      <c r="O36" s="19">
        <f t="shared" si="5"/>
        <v>0.58237786624292387</v>
      </c>
      <c r="P36" s="19">
        <f t="shared" si="6"/>
        <v>0.58202118239590894</v>
      </c>
      <c r="Q36" s="19">
        <f t="shared" si="7"/>
        <v>0.58202163551138109</v>
      </c>
      <c r="R36" s="19">
        <f t="shared" si="8"/>
        <v>0.58202163551262265</v>
      </c>
      <c r="S36" s="19">
        <f t="shared" si="9"/>
        <v>0.58202163551262265</v>
      </c>
    </row>
    <row r="37" spans="1:19" ht="26.4" x14ac:dyDescent="0.3">
      <c r="A37" s="7" t="s">
        <v>227</v>
      </c>
      <c r="B37" s="27">
        <v>3</v>
      </c>
      <c r="I37" s="12">
        <v>34</v>
      </c>
      <c r="J37" s="12">
        <f t="shared" ref="J37:J68" si="10">I37-1</f>
        <v>33</v>
      </c>
      <c r="K37" s="19">
        <f t="shared" ref="K37:K68" si="11">IF(colas=2,TINV(alfa,J37),TINV(2*alfa,J37))</f>
        <v>2.0345152974493397</v>
      </c>
      <c r="L37" s="19">
        <f t="shared" ref="L37:L68" si="12">IF(ISNUMBER($E$19),$E$19*SQRT(I37),"")</f>
        <v>0.74000922344353359</v>
      </c>
      <c r="M37" s="19">
        <f t="shared" ref="M37:M68" si="13">IF(ISNUMBER($E$19),((1-NORMSDIST((K37*(1-1/(4*J37))-($E$19)*SQRT(I37))/SQRT(1+K37^2/(2*J37))))+IF(colas=2,NORMSDIST((-K37*(1-1/(4*J37))-($E$19)*SQRT(I37))/SQRT(1+K37^2/(2*J37))),0)),"")</f>
        <v>0.11106439640985992</v>
      </c>
      <c r="N37" s="12" t="str">
        <f t="shared" ref="N37:N68" si="14">IF(ISNUMBER(M37),IF(M37&gt;=potencia,I37,""),"")</f>
        <v/>
      </c>
      <c r="O37" s="19">
        <f t="shared" ref="O37:O68" si="15">(K37+TINV(2*(1-potencia),J37))/SQRT(I37)</f>
        <v>0.5731915615450125</v>
      </c>
      <c r="P37" s="19">
        <f t="shared" ref="P37:P68" si="16">IFERROR(O37-(((1-NORMSDIST((K37*(1-1/(4*J37))-(O37)*SQRT(I37))/SQRT(1+K37^2/(2*J37))))+IF(colas=2,NORMSDIST((-K37*(1-1/(4*J37))-(O37)*SQRT(I37))/SQRT(1+K37^2/(2*J37))),0))-potencia)/((((1-NORMSDIST((K37*(1-1/(4*J37))-(O37+(0.001*O37))*SQRT(I37))/SQRT(1+K37^2/(2*J37))))+IF(colas=2,NORMSDIST((-K37*(1-1/(4*J37))-(O37+(0.001*O37))*SQRT(I37))/SQRT(1+K37^2/(2*J37))),0))-((1-NORMSDIST((K37*(1-1/(4*J37))-(O37-(0.001*O37))*SQRT(I37))/SQRT(1+K37^2/(2*J37))))+IF(colas=2,NORMSDIST((-K37*(1-1/(4*J37))-(O37-(0.001*O37))*SQRT(I37))/SQRT(1+K37^2/(2*J37))),0)))/(2*(0.001*O37))),O37)</f>
        <v>0.57284412207626378</v>
      </c>
      <c r="Q37" s="19">
        <f t="shared" ref="Q37:Q68" si="17">IFERROR(P37-(((1-NORMSDIST((K37*(1-1/(4*J37))-(P37)*SQRT(I37))/SQRT(1+K37^2/(2*J37))))+IF(colas=2,NORMSDIST((-K37*(1-1/(4*J37))-(P37)*SQRT(I37))/SQRT(1+K37^2/(2*J37))),0))-potencia)/((((1-NORMSDIST((K37*(1-1/(4*J37))-(P37+(0.001*P37))*SQRT(I37))/SQRT(1+K37^2/(2*J37))))+IF(colas=2,NORMSDIST((-K37*(1-1/(4*J37))-(P37+(0.001*P37))*SQRT(I37))/SQRT(1+K37^2/(2*J37))),0))-((1-NORMSDIST((K37*(1-1/(4*J37))-(P37-(0.001*P37))*SQRT(I37))/SQRT(1+K37^2/(2*J37))))+IF(colas=2,NORMSDIST((-K37*(1-1/(4*J37))-(P37-(0.001*P37))*SQRT(I37))/SQRT(1+K37^2/(2*J37))),0)))/(2*(0.001*P37))),P37)</f>
        <v>0.57284455890706865</v>
      </c>
      <c r="R37" s="19">
        <f t="shared" ref="R37:R68" si="18">IFERROR(Q37-(((1-NORMSDIST((K37*(1-1/(4*J37))-(Q37)*SQRT(I37))/SQRT(1+K37^2/(2*J37))))+IF(colas=2,NORMSDIST((-K37*(1-1/(4*J37))-(Q37)*SQRT(I37))/SQRT(1+K37^2/(2*J37))),0))-potencia)/((((1-NORMSDIST((K37*(1-1/(4*J37))-(Q37+(0.001*Q37))*SQRT(I37))/SQRT(1+K37^2/(2*J37))))+IF(colas=2,NORMSDIST((-K37*(1-1/(4*J37))-(Q37+(0.001*Q37))*SQRT(I37))/SQRT(1+K37^2/(2*J37))),0))-((1-NORMSDIST((K37*(1-1/(4*J37))-(Q37-(0.001*Q37))*SQRT(I37))/SQRT(1+K37^2/(2*J37))))+IF(colas=2,NORMSDIST((-K37*(1-1/(4*J37))-(Q37-(0.001*Q37))*SQRT(I37))/SQRT(1+K37^2/(2*J37))),0)))/(2*(0.001*Q37))),Q37)</f>
        <v>0.57284455890825114</v>
      </c>
      <c r="S37" s="19">
        <f t="shared" ref="S37:S68" si="19">R37</f>
        <v>0.57284455890825114</v>
      </c>
    </row>
    <row r="38" spans="1:19" ht="26.4" x14ac:dyDescent="0.3">
      <c r="A38" s="7" t="s">
        <v>228</v>
      </c>
      <c r="B38" s="26" t="str">
        <f>IF(dias=4,IF(ISNUMBER(C32),C32/4,""),IF(ISNUMBER(B32),B32/3,""))</f>
        <v/>
      </c>
      <c r="G38" s="10" t="s">
        <v>230</v>
      </c>
      <c r="I38" s="12">
        <v>35</v>
      </c>
      <c r="J38" s="12">
        <f t="shared" si="10"/>
        <v>34</v>
      </c>
      <c r="K38" s="19">
        <f t="shared" si="11"/>
        <v>2.0322445093177191</v>
      </c>
      <c r="L38" s="19">
        <f t="shared" si="12"/>
        <v>0.75081284926938774</v>
      </c>
      <c r="M38" s="19">
        <f t="shared" si="13"/>
        <v>0.11300280912605318</v>
      </c>
      <c r="N38" s="12" t="str">
        <f t="shared" si="14"/>
        <v/>
      </c>
      <c r="O38" s="19">
        <f t="shared" si="15"/>
        <v>0.56442715765652496</v>
      </c>
      <c r="P38" s="19">
        <f t="shared" si="16"/>
        <v>0.56408878603188617</v>
      </c>
      <c r="Q38" s="19">
        <f t="shared" si="17"/>
        <v>0.56408920679849495</v>
      </c>
      <c r="R38" s="19">
        <f t="shared" si="18"/>
        <v>0.56408920679961938</v>
      </c>
      <c r="S38" s="19">
        <f t="shared" si="19"/>
        <v>0.56408920679961938</v>
      </c>
    </row>
    <row r="39" spans="1:19" ht="15.6" x14ac:dyDescent="0.3">
      <c r="A39" s="7" t="s">
        <v>229</v>
      </c>
      <c r="B39" s="26" t="str">
        <f>IF(ISNUMBER(B38),B38*dias,"")</f>
        <v/>
      </c>
      <c r="I39" s="12">
        <v>36</v>
      </c>
      <c r="J39" s="12">
        <f t="shared" si="10"/>
        <v>35</v>
      </c>
      <c r="K39" s="19">
        <f t="shared" si="11"/>
        <v>2.0301079282503438</v>
      </c>
      <c r="L39" s="19">
        <f t="shared" si="12"/>
        <v>0.76146320887783614</v>
      </c>
      <c r="M39" s="19">
        <f t="shared" si="13"/>
        <v>0.11494405520358462</v>
      </c>
      <c r="N39" s="12" t="str">
        <f t="shared" si="14"/>
        <v/>
      </c>
      <c r="O39" s="19">
        <f t="shared" si="15"/>
        <v>0.55605328837772994</v>
      </c>
      <c r="P39" s="19">
        <f t="shared" si="16"/>
        <v>0.55572377629326108</v>
      </c>
      <c r="Q39" s="19">
        <f t="shared" si="17"/>
        <v>0.55572418132865087</v>
      </c>
      <c r="R39" s="19">
        <f t="shared" si="18"/>
        <v>0.55572418132971912</v>
      </c>
      <c r="S39" s="19">
        <f t="shared" si="19"/>
        <v>0.55572418132971912</v>
      </c>
    </row>
    <row r="40" spans="1:19" x14ac:dyDescent="0.3">
      <c r="I40" s="12">
        <v>37</v>
      </c>
      <c r="J40" s="12">
        <f t="shared" si="10"/>
        <v>36</v>
      </c>
      <c r="K40" s="19">
        <f t="shared" si="11"/>
        <v>2.028094000980452</v>
      </c>
      <c r="L40" s="19">
        <f t="shared" si="12"/>
        <v>0.77196664586045793</v>
      </c>
      <c r="M40" s="19">
        <f t="shared" si="13"/>
        <v>0.11688799556689207</v>
      </c>
      <c r="N40" s="12" t="str">
        <f t="shared" si="14"/>
        <v/>
      </c>
      <c r="O40" s="19">
        <f t="shared" si="15"/>
        <v>0.54804176061649812</v>
      </c>
      <c r="P40" s="19">
        <f t="shared" si="16"/>
        <v>0.54772087803682745</v>
      </c>
      <c r="Q40" s="19">
        <f t="shared" si="17"/>
        <v>0.54772126775412855</v>
      </c>
      <c r="R40" s="19">
        <f t="shared" si="18"/>
        <v>0.5477212677551424</v>
      </c>
      <c r="S40" s="19">
        <f t="shared" si="19"/>
        <v>0.5477212677551424</v>
      </c>
    </row>
    <row r="41" spans="1:19" x14ac:dyDescent="0.3">
      <c r="I41" s="12">
        <v>38</v>
      </c>
      <c r="J41" s="12">
        <f t="shared" si="10"/>
        <v>37</v>
      </c>
      <c r="K41" s="19">
        <f t="shared" si="11"/>
        <v>2.026192463029111</v>
      </c>
      <c r="L41" s="19">
        <f t="shared" si="12"/>
        <v>0.78232907792537054</v>
      </c>
      <c r="M41" s="19">
        <f t="shared" si="13"/>
        <v>0.11883450291581529</v>
      </c>
      <c r="N41" s="12" t="str">
        <f t="shared" si="14"/>
        <v/>
      </c>
      <c r="O41" s="19">
        <f t="shared" si="15"/>
        <v>0.54036715297226945</v>
      </c>
      <c r="P41" s="19">
        <f t="shared" si="16"/>
        <v>0.54005465579114975</v>
      </c>
      <c r="Q41" s="19">
        <f t="shared" si="17"/>
        <v>0.54005503065863802</v>
      </c>
      <c r="R41" s="19">
        <f t="shared" si="18"/>
        <v>0.5400550306595997</v>
      </c>
      <c r="S41" s="19">
        <f t="shared" si="19"/>
        <v>0.5400550306595997</v>
      </c>
    </row>
    <row r="42" spans="1:19" x14ac:dyDescent="0.3">
      <c r="I42" s="12">
        <v>39</v>
      </c>
      <c r="J42" s="12">
        <f t="shared" si="10"/>
        <v>38</v>
      </c>
      <c r="K42" s="19">
        <f t="shared" si="11"/>
        <v>2.0243941639119702</v>
      </c>
      <c r="L42" s="19">
        <f t="shared" si="12"/>
        <v>0.79255603588268464</v>
      </c>
      <c r="M42" s="19">
        <f t="shared" si="13"/>
        <v>0.12078345990850625</v>
      </c>
      <c r="N42" s="12" t="str">
        <f t="shared" si="14"/>
        <v/>
      </c>
      <c r="O42" s="19">
        <f t="shared" si="15"/>
        <v>0.53300647472683504</v>
      </c>
      <c r="P42" s="19">
        <f t="shared" si="16"/>
        <v>0.53270211060538275</v>
      </c>
      <c r="Q42" s="19">
        <f t="shared" si="17"/>
        <v>0.5327024711272168</v>
      </c>
      <c r="R42" s="19">
        <f t="shared" si="18"/>
        <v>0.53270247112812874</v>
      </c>
      <c r="S42" s="19">
        <f t="shared" si="19"/>
        <v>0.53270247112812874</v>
      </c>
    </row>
    <row r="43" spans="1:19" x14ac:dyDescent="0.3">
      <c r="I43" s="12">
        <v>40</v>
      </c>
      <c r="J43" s="12">
        <f t="shared" si="10"/>
        <v>39</v>
      </c>
      <c r="K43" s="19">
        <f t="shared" si="11"/>
        <v>2.0226909200367595</v>
      </c>
      <c r="L43" s="19">
        <f t="shared" si="12"/>
        <v>0.80265269815816986</v>
      </c>
      <c r="M43" s="19">
        <f t="shared" si="13"/>
        <v>0.12273475767203246</v>
      </c>
      <c r="N43" s="12" t="str">
        <f t="shared" si="14"/>
        <v/>
      </c>
      <c r="O43" s="19">
        <f t="shared" si="15"/>
        <v>0.52593887477940804</v>
      </c>
      <c r="P43" s="19">
        <f t="shared" si="16"/>
        <v>0.52564238758257531</v>
      </c>
      <c r="Q43" s="19">
        <f t="shared" si="17"/>
        <v>0.52564273428402686</v>
      </c>
      <c r="R43" s="19">
        <f t="shared" si="18"/>
        <v>0.52564273428489139</v>
      </c>
      <c r="S43" s="19">
        <f t="shared" si="19"/>
        <v>0.52564273428489139</v>
      </c>
    </row>
    <row r="44" spans="1:19" x14ac:dyDescent="0.3">
      <c r="I44" s="12">
        <v>41</v>
      </c>
      <c r="J44" s="12">
        <f t="shared" si="10"/>
        <v>40</v>
      </c>
      <c r="K44" s="19">
        <f t="shared" si="11"/>
        <v>2.0210753903062737</v>
      </c>
      <c r="L44" s="19">
        <f t="shared" si="12"/>
        <v>0.81262392144651063</v>
      </c>
      <c r="M44" s="19">
        <f t="shared" si="13"/>
        <v>0.12468829457489358</v>
      </c>
      <c r="N44" s="12" t="str">
        <f t="shared" si="14"/>
        <v/>
      </c>
      <c r="O44" s="19">
        <f t="shared" si="15"/>
        <v>0.51914539210099642</v>
      </c>
      <c r="P44" s="19">
        <f t="shared" si="16"/>
        <v>0.51885652525247106</v>
      </c>
      <c r="Q44" s="19">
        <f t="shared" si="17"/>
        <v>0.51885685866866527</v>
      </c>
      <c r="R44" s="19">
        <f t="shared" si="18"/>
        <v>0.51885685866948494</v>
      </c>
      <c r="S44" s="19">
        <f t="shared" si="19"/>
        <v>0.51885685866948494</v>
      </c>
    </row>
    <row r="45" spans="1:19" x14ac:dyDescent="0.3">
      <c r="I45" s="12">
        <v>42</v>
      </c>
      <c r="J45" s="12">
        <f t="shared" si="10"/>
        <v>41</v>
      </c>
      <c r="K45" s="19">
        <f t="shared" si="11"/>
        <v>2.0195409704413767</v>
      </c>
      <c r="L45" s="19">
        <f t="shared" si="12"/>
        <v>0.8224742680191397</v>
      </c>
      <c r="M45" s="19">
        <f t="shared" si="13"/>
        <v>0.12664397521015622</v>
      </c>
      <c r="N45" s="12" t="str">
        <f t="shared" si="14"/>
        <v/>
      </c>
      <c r="O45" s="19">
        <f t="shared" si="15"/>
        <v>0.51260874088218089</v>
      </c>
      <c r="P45" s="19">
        <f t="shared" si="16"/>
        <v>0.51232723988270878</v>
      </c>
      <c r="Q45" s="19">
        <f t="shared" si="17"/>
        <v>0.51232756055010742</v>
      </c>
      <c r="R45" s="19">
        <f t="shared" si="18"/>
        <v>0.51232756055088469</v>
      </c>
      <c r="S45" s="19">
        <f t="shared" si="19"/>
        <v>0.51232756055088469</v>
      </c>
    </row>
    <row r="46" spans="1:19" x14ac:dyDescent="0.3">
      <c r="I46" s="12">
        <v>43</v>
      </c>
      <c r="J46" s="12">
        <f t="shared" si="10"/>
        <v>42</v>
      </c>
      <c r="K46" s="19">
        <f t="shared" si="11"/>
        <v>2.0180817028184461</v>
      </c>
      <c r="L46" s="19">
        <f t="shared" si="12"/>
        <v>0.83220803012235722</v>
      </c>
      <c r="M46" s="19">
        <f t="shared" si="13"/>
        <v>0.12860170954891401</v>
      </c>
      <c r="N46" s="12" t="str">
        <f t="shared" si="14"/>
        <v/>
      </c>
      <c r="O46" s="19">
        <f t="shared" si="15"/>
        <v>0.50631312481185131</v>
      </c>
      <c r="P46" s="19">
        <f t="shared" si="16"/>
        <v>0.50603873910931574</v>
      </c>
      <c r="Q46" s="19">
        <f t="shared" si="17"/>
        <v>0.50603904755934315</v>
      </c>
      <c r="R46" s="19">
        <f t="shared" si="18"/>
        <v>0.50603904756008022</v>
      </c>
      <c r="S46" s="19">
        <f t="shared" si="19"/>
        <v>0.50603904756008022</v>
      </c>
    </row>
    <row r="47" spans="1:19" x14ac:dyDescent="0.3">
      <c r="I47" s="12">
        <v>44</v>
      </c>
      <c r="J47" s="12">
        <f t="shared" si="10"/>
        <v>43</v>
      </c>
      <c r="K47" s="19">
        <f t="shared" si="11"/>
        <v>2.0166921992278248</v>
      </c>
      <c r="L47" s="19">
        <f t="shared" si="12"/>
        <v>0.84182925183593438</v>
      </c>
      <c r="M47" s="19">
        <f t="shared" si="13"/>
        <v>0.13056141223225964</v>
      </c>
      <c r="N47" s="12" t="str">
        <f t="shared" si="14"/>
        <v/>
      </c>
      <c r="O47" s="19">
        <f t="shared" si="15"/>
        <v>0.500244075929135</v>
      </c>
      <c r="P47" s="19">
        <f t="shared" si="16"/>
        <v>0.49997656028578308</v>
      </c>
      <c r="Q47" s="19">
        <f t="shared" si="17"/>
        <v>0.49997685704012079</v>
      </c>
      <c r="R47" s="19">
        <f t="shared" si="18"/>
        <v>0.49997685704082007</v>
      </c>
      <c r="S47" s="19">
        <f t="shared" si="19"/>
        <v>0.49997685704082007</v>
      </c>
    </row>
    <row r="48" spans="1:19" x14ac:dyDescent="0.3">
      <c r="I48" s="12">
        <v>45</v>
      </c>
      <c r="J48" s="12">
        <f t="shared" si="10"/>
        <v>44</v>
      </c>
      <c r="K48" s="19">
        <f t="shared" si="11"/>
        <v>2.0153675744437649</v>
      </c>
      <c r="L48" s="19">
        <f t="shared" si="12"/>
        <v>0.85134174870798152</v>
      </c>
      <c r="M48" s="19">
        <f t="shared" si="13"/>
        <v>0.13252300197645883</v>
      </c>
      <c r="N48" s="12" t="str">
        <f t="shared" si="14"/>
        <v/>
      </c>
      <c r="O48" s="19">
        <f t="shared" si="15"/>
        <v>0.49438831429456959</v>
      </c>
      <c r="P48" s="19">
        <f t="shared" si="16"/>
        <v>0.4941274297640334</v>
      </c>
      <c r="Q48" s="19">
        <f t="shared" si="17"/>
        <v>0.49412771533121774</v>
      </c>
      <c r="R48" s="19">
        <f t="shared" si="18"/>
        <v>0.49412771533188155</v>
      </c>
      <c r="S48" s="19">
        <f t="shared" si="19"/>
        <v>0.49412771533188155</v>
      </c>
    </row>
    <row r="49" spans="9:19" x14ac:dyDescent="0.3">
      <c r="I49" s="12">
        <v>46</v>
      </c>
      <c r="J49" s="12">
        <f t="shared" si="10"/>
        <v>45</v>
      </c>
      <c r="K49" s="19">
        <f t="shared" si="11"/>
        <v>2.0141033888808457</v>
      </c>
      <c r="L49" s="19">
        <f t="shared" si="12"/>
        <v>0.86074912543648774</v>
      </c>
      <c r="M49" s="19">
        <f t="shared" si="13"/>
        <v>0.13448640107111554</v>
      </c>
      <c r="N49" s="12" t="str">
        <f t="shared" si="14"/>
        <v/>
      </c>
      <c r="O49" s="19">
        <f t="shared" si="15"/>
        <v>0.48873362537333515</v>
      </c>
      <c r="P49" s="19">
        <f t="shared" si="16"/>
        <v>0.48847913997502046</v>
      </c>
      <c r="Q49" s="19">
        <f t="shared" si="17"/>
        <v>0.4884794148480508</v>
      </c>
      <c r="R49" s="19">
        <f t="shared" si="18"/>
        <v>0.48847941484868107</v>
      </c>
      <c r="S49" s="19">
        <f t="shared" si="19"/>
        <v>0.48847941484868107</v>
      </c>
    </row>
    <row r="50" spans="9:19" x14ac:dyDescent="0.3">
      <c r="I50" s="12">
        <v>47</v>
      </c>
      <c r="J50" s="12">
        <f t="shared" si="10"/>
        <v>46</v>
      </c>
      <c r="K50" s="19">
        <f t="shared" si="11"/>
        <v>2.0128955989194299</v>
      </c>
      <c r="L50" s="19">
        <f t="shared" si="12"/>
        <v>0.87005479182991297</v>
      </c>
      <c r="M50" s="19">
        <f t="shared" si="13"/>
        <v>0.13645153495406404</v>
      </c>
      <c r="N50" s="12" t="str">
        <f t="shared" si="14"/>
        <v/>
      </c>
      <c r="O50" s="19">
        <f t="shared" si="15"/>
        <v>0.48326875254662865</v>
      </c>
      <c r="P50" s="19">
        <f t="shared" si="16"/>
        <v>0.48302044170576092</v>
      </c>
      <c r="Q50" s="19">
        <f t="shared" si="17"/>
        <v>0.48302070636049121</v>
      </c>
      <c r="R50" s="19">
        <f t="shared" si="18"/>
        <v>0.48302070636109001</v>
      </c>
      <c r="S50" s="19">
        <f t="shared" si="19"/>
        <v>0.48302070636109001</v>
      </c>
    </row>
    <row r="51" spans="9:19" x14ac:dyDescent="0.3">
      <c r="I51" s="12">
        <v>48</v>
      </c>
      <c r="J51" s="12">
        <f t="shared" si="10"/>
        <v>47</v>
      </c>
      <c r="K51" s="19">
        <f t="shared" si="11"/>
        <v>2.0117405137297668</v>
      </c>
      <c r="L51" s="19">
        <f t="shared" si="12"/>
        <v>0.87926197724722976</v>
      </c>
      <c r="M51" s="19">
        <f t="shared" si="13"/>
        <v>0.13841833184987176</v>
      </c>
      <c r="N51" s="12" t="str">
        <f t="shared" si="14"/>
        <v/>
      </c>
      <c r="O51" s="19">
        <f t="shared" si="15"/>
        <v>0.477983302592834</v>
      </c>
      <c r="P51" s="19">
        <f t="shared" si="16"/>
        <v>0.47774094939953182</v>
      </c>
      <c r="Q51" s="19">
        <f t="shared" si="17"/>
        <v>0.47774120429366806</v>
      </c>
      <c r="R51" s="19">
        <f t="shared" si="18"/>
        <v>0.47774120429423711</v>
      </c>
      <c r="S51" s="19">
        <f t="shared" si="19"/>
        <v>0.47774120429423711</v>
      </c>
    </row>
    <row r="52" spans="9:19" x14ac:dyDescent="0.3">
      <c r="I52" s="12">
        <v>49</v>
      </c>
      <c r="J52" s="12">
        <f t="shared" si="10"/>
        <v>48</v>
      </c>
      <c r="K52" s="19">
        <f t="shared" si="11"/>
        <v>2.0106347576242314</v>
      </c>
      <c r="L52" s="19">
        <f t="shared" si="12"/>
        <v>0.88837374369080879</v>
      </c>
      <c r="M52" s="19">
        <f t="shared" si="13"/>
        <v>0.14038672246128012</v>
      </c>
      <c r="N52" s="12" t="str">
        <f t="shared" si="14"/>
        <v/>
      </c>
      <c r="O52" s="19">
        <f t="shared" si="15"/>
        <v>0.47286766232794625</v>
      </c>
      <c r="P52" s="19">
        <f t="shared" si="16"/>
        <v>0.47263105765712682</v>
      </c>
      <c r="Q52" s="19">
        <f t="shared" si="17"/>
        <v>0.47263130322968899</v>
      </c>
      <c r="R52" s="19">
        <f t="shared" si="18"/>
        <v>0.47263130323023028</v>
      </c>
      <c r="S52" s="19">
        <f t="shared" si="19"/>
        <v>0.47263130323023028</v>
      </c>
    </row>
    <row r="53" spans="9:19" x14ac:dyDescent="0.3">
      <c r="I53" s="12">
        <v>50</v>
      </c>
      <c r="J53" s="12">
        <f t="shared" si="10"/>
        <v>49</v>
      </c>
      <c r="K53" s="19">
        <f t="shared" si="11"/>
        <v>2.0095752371292388</v>
      </c>
      <c r="L53" s="19">
        <f t="shared" si="12"/>
        <v>0.89739299770264402</v>
      </c>
      <c r="M53" s="19">
        <f t="shared" si="13"/>
        <v>0.1423566397049012</v>
      </c>
      <c r="N53" s="12" t="str">
        <f t="shared" si="14"/>
        <v/>
      </c>
      <c r="O53" s="19">
        <f t="shared" si="15"/>
        <v>0.46791292488031</v>
      </c>
      <c r="P53" s="19">
        <f t="shared" si="16"/>
        <v>0.46768186740522083</v>
      </c>
      <c r="Q53" s="19">
        <f t="shared" si="17"/>
        <v>0.46768210407635902</v>
      </c>
      <c r="R53" s="19">
        <f t="shared" si="18"/>
        <v>0.46768210407687388</v>
      </c>
      <c r="S53" s="19">
        <f t="shared" si="19"/>
        <v>0.46768210407687388</v>
      </c>
    </row>
    <row r="54" spans="9:19" x14ac:dyDescent="0.3">
      <c r="I54" s="12">
        <v>51</v>
      </c>
      <c r="J54" s="12">
        <f t="shared" si="10"/>
        <v>50</v>
      </c>
      <c r="K54" s="19">
        <f t="shared" si="11"/>
        <v>2.0085591121007611</v>
      </c>
      <c r="L54" s="19">
        <f t="shared" si="12"/>
        <v>0.90632250119494018</v>
      </c>
      <c r="M54" s="19">
        <f t="shared" si="13"/>
        <v>0.14432801848404528</v>
      </c>
      <c r="N54" s="12" t="str">
        <f t="shared" si="14"/>
        <v/>
      </c>
      <c r="O54" s="19">
        <f t="shared" si="15"/>
        <v>0.46311082431031148</v>
      </c>
      <c r="P54" s="19">
        <f t="shared" si="16"/>
        <v>0.46288512043543689</v>
      </c>
      <c r="Q54" s="19">
        <f t="shared" si="17"/>
        <v>0.46288534860651498</v>
      </c>
      <c r="R54" s="19">
        <f t="shared" si="18"/>
        <v>0.46288534860700514</v>
      </c>
      <c r="S54" s="19">
        <f t="shared" si="19"/>
        <v>0.46288534860700514</v>
      </c>
    </row>
    <row r="55" spans="9:19" x14ac:dyDescent="0.3">
      <c r="I55" s="12">
        <v>52</v>
      </c>
      <c r="J55" s="12">
        <f t="shared" si="10"/>
        <v>51</v>
      </c>
      <c r="K55" s="19">
        <f t="shared" si="11"/>
        <v>2.007583770315835</v>
      </c>
      <c r="L55" s="19">
        <f t="shared" si="12"/>
        <v>0.91516488132946128</v>
      </c>
      <c r="M55" s="19">
        <f t="shared" si="13"/>
        <v>0.14630079549281683</v>
      </c>
      <c r="N55" s="12" t="str">
        <f t="shared" si="14"/>
        <v/>
      </c>
      <c r="O55" s="19">
        <f t="shared" si="15"/>
        <v>0.45845367748081334</v>
      </c>
      <c r="P55" s="19">
        <f t="shared" si="16"/>
        <v>0.45823314121439795</v>
      </c>
      <c r="Q55" s="19">
        <f t="shared" si="17"/>
        <v>0.45823336126827729</v>
      </c>
      <c r="R55" s="19">
        <f t="shared" si="18"/>
        <v>0.45823336126874425</v>
      </c>
      <c r="S55" s="19">
        <f t="shared" si="19"/>
        <v>0.45823336126874425</v>
      </c>
    </row>
    <row r="56" spans="9:19" x14ac:dyDescent="0.3">
      <c r="I56" s="12">
        <v>53</v>
      </c>
      <c r="J56" s="12">
        <f t="shared" si="10"/>
        <v>52</v>
      </c>
      <c r="K56" s="19">
        <f t="shared" si="11"/>
        <v>2.0066468050616861</v>
      </c>
      <c r="L56" s="19">
        <f t="shared" si="12"/>
        <v>0.92392263954580189</v>
      </c>
      <c r="M56" s="19">
        <f t="shared" si="13"/>
        <v>0.14827490904663876</v>
      </c>
      <c r="N56" s="12" t="str">
        <f t="shared" si="14"/>
        <v/>
      </c>
      <c r="O56" s="19">
        <f t="shared" si="15"/>
        <v>0.4539343322464644</v>
      </c>
      <c r="P56" s="19">
        <f t="shared" si="16"/>
        <v>0.45371878502854385</v>
      </c>
      <c r="Q56" s="19">
        <f t="shared" si="17"/>
        <v>0.4537189973300132</v>
      </c>
      <c r="R56" s="19">
        <f t="shared" si="18"/>
        <v>0.45371899733045823</v>
      </c>
      <c r="S56" s="19">
        <f t="shared" si="19"/>
        <v>0.45371899733045823</v>
      </c>
    </row>
    <row r="57" spans="9:19" x14ac:dyDescent="0.3">
      <c r="I57" s="12">
        <v>54</v>
      </c>
      <c r="J57" s="12">
        <f t="shared" si="10"/>
        <v>53</v>
      </c>
      <c r="K57" s="19">
        <f t="shared" si="11"/>
        <v>2.0057459953178696</v>
      </c>
      <c r="L57" s="19">
        <f t="shared" si="12"/>
        <v>0.93259815982651206</v>
      </c>
      <c r="M57" s="19">
        <f t="shared" si="13"/>
        <v>0.15025029893519046</v>
      </c>
      <c r="N57" s="12" t="str">
        <f t="shared" si="14"/>
        <v/>
      </c>
      <c r="O57" s="19">
        <f t="shared" si="15"/>
        <v>0.44954612116555021</v>
      </c>
      <c r="P57" s="19">
        <f t="shared" si="16"/>
        <v>0.44933539166397707</v>
      </c>
      <c r="Q57" s="19">
        <f t="shared" si="17"/>
        <v>0.44933559656028688</v>
      </c>
      <c r="R57" s="19">
        <f t="shared" si="18"/>
        <v>0.4493355965607112</v>
      </c>
      <c r="S57" s="19">
        <f t="shared" si="19"/>
        <v>0.4493355965607112</v>
      </c>
    </row>
    <row r="58" spans="9:19" x14ac:dyDescent="0.3">
      <c r="I58" s="12">
        <v>55</v>
      </c>
      <c r="J58" s="12">
        <f t="shared" si="10"/>
        <v>54</v>
      </c>
      <c r="K58" s="19">
        <f t="shared" si="11"/>
        <v>2.0048792881880577</v>
      </c>
      <c r="L58" s="19">
        <f t="shared" si="12"/>
        <v>0.94119371627646942</v>
      </c>
      <c r="M58" s="19">
        <f t="shared" si="13"/>
        <v>0.1522269062944217</v>
      </c>
      <c r="N58" s="12" t="str">
        <f t="shared" si="14"/>
        <v/>
      </c>
      <c r="O58" s="19">
        <f t="shared" si="15"/>
        <v>0.44528282005170261</v>
      </c>
      <c r="P58" s="19">
        <f t="shared" si="16"/>
        <v>0.44507674393594487</v>
      </c>
      <c r="Q58" s="19">
        <f t="shared" si="17"/>
        <v>0.44507694175741386</v>
      </c>
      <c r="R58" s="19">
        <f t="shared" si="18"/>
        <v>0.44507694175781887</v>
      </c>
      <c r="S58" s="19">
        <f t="shared" si="19"/>
        <v>0.44507694175781887</v>
      </c>
    </row>
    <row r="59" spans="9:19" x14ac:dyDescent="0.3">
      <c r="I59" s="12">
        <v>56</v>
      </c>
      <c r="J59" s="12">
        <f t="shared" si="10"/>
        <v>55</v>
      </c>
      <c r="K59" s="19">
        <f t="shared" si="11"/>
        <v>2.0040447832891455</v>
      </c>
      <c r="L59" s="19">
        <f t="shared" si="12"/>
        <v>0.94971148008478135</v>
      </c>
      <c r="M59" s="19">
        <f t="shared" si="13"/>
        <v>0.15420467349483447</v>
      </c>
      <c r="N59" s="12" t="str">
        <f t="shared" si="14"/>
        <v/>
      </c>
      <c r="O59" s="19">
        <f t="shared" si="15"/>
        <v>0.44113861077835953</v>
      </c>
      <c r="P59" s="19">
        <f t="shared" si="16"/>
        <v>0.44093703047872829</v>
      </c>
      <c r="Q59" s="19">
        <f t="shared" si="17"/>
        <v>0.44093722153939746</v>
      </c>
      <c r="R59" s="19">
        <f t="shared" si="18"/>
        <v>0.44093722153978426</v>
      </c>
      <c r="S59" s="19">
        <f t="shared" si="19"/>
        <v>0.44093722153978426</v>
      </c>
    </row>
    <row r="60" spans="9:19" x14ac:dyDescent="0.3">
      <c r="I60" s="12">
        <v>57</v>
      </c>
      <c r="J60" s="12">
        <f t="shared" si="10"/>
        <v>56</v>
      </c>
      <c r="K60" s="19">
        <f t="shared" si="11"/>
        <v>2.0032407188478727</v>
      </c>
      <c r="L60" s="19">
        <f t="shared" si="12"/>
        <v>0.95815352592960845</v>
      </c>
      <c r="M60" s="19">
        <f t="shared" si="13"/>
        <v>0.15618354404370721</v>
      </c>
      <c r="N60" s="12" t="str">
        <f t="shared" si="14"/>
        <v/>
      </c>
      <c r="O60" s="19">
        <f t="shared" si="15"/>
        <v>0.43710804782957163</v>
      </c>
      <c r="P60" s="19">
        <f t="shared" si="16"/>
        <v>0.43691081228783307</v>
      </c>
      <c r="Q60" s="19">
        <f t="shared" si="17"/>
        <v>0.43691099688614626</v>
      </c>
      <c r="R60" s="19">
        <f t="shared" si="18"/>
        <v>0.43691099688651586</v>
      </c>
      <c r="S60" s="19">
        <f t="shared" si="19"/>
        <v>0.43691099688651586</v>
      </c>
    </row>
    <row r="61" spans="9:19" x14ac:dyDescent="0.3">
      <c r="I61" s="12">
        <v>58</v>
      </c>
      <c r="J61" s="12">
        <f t="shared" si="10"/>
        <v>57</v>
      </c>
      <c r="K61" s="19">
        <f t="shared" si="11"/>
        <v>2.0024654592910065</v>
      </c>
      <c r="L61" s="19">
        <f t="shared" si="12"/>
        <v>0.96652183787944268</v>
      </c>
      <c r="M61" s="19">
        <f t="shared" si="13"/>
        <v>0.1581634624992849</v>
      </c>
      <c r="N61" s="12" t="str">
        <f t="shared" si="14"/>
        <v/>
      </c>
      <c r="O61" s="19">
        <f t="shared" si="15"/>
        <v>0.43318602815909185</v>
      </c>
      <c r="P61" s="19">
        <f t="shared" si="16"/>
        <v>0.43299299257508633</v>
      </c>
      <c r="Q61" s="19">
        <f t="shared" si="17"/>
        <v>0.43299317099458345</v>
      </c>
      <c r="R61" s="19">
        <f t="shared" si="18"/>
        <v>0.43299317099493673</v>
      </c>
      <c r="S61" s="19">
        <f t="shared" si="19"/>
        <v>0.43299317099493673</v>
      </c>
    </row>
    <row r="62" spans="9:19" x14ac:dyDescent="0.3">
      <c r="I62" s="12">
        <v>59</v>
      </c>
      <c r="J62" s="12">
        <f t="shared" si="10"/>
        <v>58</v>
      </c>
      <c r="K62" s="19">
        <f t="shared" si="11"/>
        <v>2.0017174841452352</v>
      </c>
      <c r="L62" s="19">
        <f t="shared" si="12"/>
        <v>0.97481831483839598</v>
      </c>
      <c r="M62" s="19">
        <f t="shared" si="13"/>
        <v>0.16014437439526469</v>
      </c>
      <c r="N62" s="12" t="str">
        <f t="shared" si="14"/>
        <v/>
      </c>
      <c r="O62" s="19">
        <f t="shared" si="15"/>
        <v>0.42936776397776405</v>
      </c>
      <c r="P62" s="19">
        <f t="shared" si="16"/>
        <v>0.42917878955559341</v>
      </c>
      <c r="Q62" s="19">
        <f t="shared" si="17"/>
        <v>0.42917896206560413</v>
      </c>
      <c r="R62" s="19">
        <f t="shared" si="18"/>
        <v>0.42917896206594208</v>
      </c>
      <c r="S62" s="19">
        <f t="shared" si="19"/>
        <v>0.42917896206594208</v>
      </c>
    </row>
    <row r="63" spans="9:19" x14ac:dyDescent="0.3">
      <c r="I63" s="12">
        <v>60</v>
      </c>
      <c r="J63" s="12">
        <f t="shared" si="10"/>
        <v>59</v>
      </c>
      <c r="K63" s="19">
        <f t="shared" si="11"/>
        <v>2.0009953780882688</v>
      </c>
      <c r="L63" s="19">
        <f t="shared" si="12"/>
        <v>0.98304477557783965</v>
      </c>
      <c r="M63" s="19">
        <f t="shared" si="13"/>
        <v>0.16212622617418462</v>
      </c>
      <c r="N63" s="12" t="str">
        <f t="shared" si="14"/>
        <v/>
      </c>
      <c r="O63" s="19">
        <f t="shared" si="15"/>
        <v>0.4256487581387276</v>
      </c>
      <c r="P63" s="19">
        <f t="shared" si="16"/>
        <v>0.4254637118352193</v>
      </c>
      <c r="Q63" s="19">
        <f t="shared" si="17"/>
        <v>0.42546387869155006</v>
      </c>
      <c r="R63" s="19">
        <f t="shared" si="18"/>
        <v>0.42546387869187358</v>
      </c>
      <c r="S63" s="19">
        <f t="shared" si="19"/>
        <v>0.42546387869187358</v>
      </c>
    </row>
    <row r="64" spans="9:19" x14ac:dyDescent="0.3">
      <c r="I64" s="12">
        <v>61</v>
      </c>
      <c r="J64" s="12">
        <f t="shared" si="10"/>
        <v>60</v>
      </c>
      <c r="K64" s="19">
        <f t="shared" si="11"/>
        <v>2.0002978220142609</v>
      </c>
      <c r="L64" s="19">
        <f t="shared" si="12"/>
        <v>0.99120296339215996</v>
      </c>
      <c r="M64" s="19">
        <f t="shared" si="13"/>
        <v>0.16410896512850665</v>
      </c>
      <c r="N64" s="12" t="str">
        <f t="shared" si="14"/>
        <v/>
      </c>
      <c r="O64" s="19">
        <f t="shared" si="15"/>
        <v>0.42202478183226128</v>
      </c>
      <c r="P64" s="19">
        <f t="shared" si="16"/>
        <v>0.42184353610976055</v>
      </c>
      <c r="Q64" s="19">
        <f t="shared" si="17"/>
        <v>0.42184369755536577</v>
      </c>
      <c r="R64" s="19">
        <f t="shared" si="18"/>
        <v>0.42184369755567569</v>
      </c>
      <c r="S64" s="19">
        <f t="shared" si="19"/>
        <v>0.42184369755567569</v>
      </c>
    </row>
    <row r="65" spans="9:19" x14ac:dyDescent="0.3">
      <c r="I65" s="12">
        <v>62</v>
      </c>
      <c r="J65" s="12">
        <f t="shared" si="10"/>
        <v>61</v>
      </c>
      <c r="K65" s="19">
        <f t="shared" si="11"/>
        <v>1.9996235849949404</v>
      </c>
      <c r="L65" s="19">
        <f t="shared" si="12"/>
        <v>0.99929455041239701</v>
      </c>
      <c r="M65" s="19">
        <f t="shared" si="13"/>
        <v>0.16609253934837909</v>
      </c>
      <c r="N65" s="12" t="str">
        <f t="shared" si="14"/>
        <v/>
      </c>
      <c r="O65" s="19">
        <f t="shared" si="15"/>
        <v>0.41849185433837321</v>
      </c>
      <c r="P65" s="19">
        <f t="shared" si="16"/>
        <v>0.41831428692337508</v>
      </c>
      <c r="Q65" s="19">
        <f t="shared" si="17"/>
        <v>0.4183144431890114</v>
      </c>
      <c r="R65" s="19">
        <f t="shared" si="18"/>
        <v>0.41831444318930849</v>
      </c>
      <c r="S65" s="19">
        <f t="shared" si="19"/>
        <v>0.41831444318930849</v>
      </c>
    </row>
    <row r="66" spans="9:19" x14ac:dyDescent="0.3">
      <c r="I66" s="12">
        <v>63</v>
      </c>
      <c r="J66" s="12">
        <f t="shared" si="10"/>
        <v>62</v>
      </c>
      <c r="K66" s="19">
        <f t="shared" si="11"/>
        <v>1.9989715170333793</v>
      </c>
      <c r="L66" s="19">
        <f t="shared" si="12"/>
        <v>1.0073211416079926</v>
      </c>
      <c r="M66" s="19">
        <f t="shared" si="13"/>
        <v>0.16807689767521741</v>
      </c>
      <c r="N66" s="12" t="str">
        <f t="shared" si="14"/>
        <v/>
      </c>
      <c r="O66" s="19">
        <f t="shared" si="15"/>
        <v>0.4150462246164256</v>
      </c>
      <c r="P66" s="19">
        <f t="shared" si="16"/>
        <v>0.41487221826514026</v>
      </c>
      <c r="Q66" s="19">
        <f t="shared" si="17"/>
        <v>0.41487236956999762</v>
      </c>
      <c r="R66" s="19">
        <f t="shared" si="18"/>
        <v>0.41487236957028223</v>
      </c>
      <c r="S66" s="19">
        <f t="shared" si="19"/>
        <v>0.41487236957028223</v>
      </c>
    </row>
    <row r="67" spans="9:19" x14ac:dyDescent="0.3">
      <c r="I67" s="12">
        <v>64</v>
      </c>
      <c r="J67" s="12">
        <f t="shared" si="10"/>
        <v>63</v>
      </c>
      <c r="K67" s="19">
        <f t="shared" si="11"/>
        <v>1.9983405425207412</v>
      </c>
      <c r="L67" s="19">
        <f t="shared" si="12"/>
        <v>1.0152842785037814</v>
      </c>
      <c r="M67" s="19">
        <f t="shared" si="13"/>
        <v>0.17006198966034564</v>
      </c>
      <c r="N67" s="12" t="str">
        <f t="shared" si="14"/>
        <v/>
      </c>
      <c r="O67" s="19">
        <f t="shared" si="15"/>
        <v>0.41168435453795404</v>
      </c>
      <c r="P67" s="19">
        <f t="shared" si="16"/>
        <v>0.4115137968095734</v>
      </c>
      <c r="Q67" s="19">
        <f t="shared" si="17"/>
        <v>0.41151394336188163</v>
      </c>
      <c r="R67" s="19">
        <f t="shared" si="18"/>
        <v>0.41151394336215485</v>
      </c>
      <c r="S67" s="19">
        <f t="shared" si="19"/>
        <v>0.41151394336215485</v>
      </c>
    </row>
    <row r="68" spans="9:19" x14ac:dyDescent="0.3">
      <c r="I68" s="12">
        <v>65</v>
      </c>
      <c r="J68" s="12">
        <f t="shared" si="10"/>
        <v>64</v>
      </c>
      <c r="K68" s="19">
        <f t="shared" si="11"/>
        <v>1.9977296543176954</v>
      </c>
      <c r="L68" s="19">
        <f t="shared" si="12"/>
        <v>1.0231854426366018</v>
      </c>
      <c r="M68" s="19">
        <f t="shared" si="13"/>
        <v>0.17204776552807055</v>
      </c>
      <c r="N68" s="12" t="str">
        <f t="shared" si="14"/>
        <v/>
      </c>
      <c r="O68" s="19">
        <f t="shared" si="15"/>
        <v>0.4084029035920792</v>
      </c>
      <c r="P68" s="19">
        <f t="shared" si="16"/>
        <v>0.40823568663024756</v>
      </c>
      <c r="Q68" s="19">
        <f t="shared" si="17"/>
        <v>0.40823582862785907</v>
      </c>
      <c r="R68" s="19">
        <f t="shared" si="18"/>
        <v>0.4082358286281213</v>
      </c>
      <c r="S68" s="19">
        <f t="shared" si="19"/>
        <v>0.4082358286281213</v>
      </c>
    </row>
    <row r="69" spans="9:19" x14ac:dyDescent="0.3">
      <c r="I69" s="12">
        <v>66</v>
      </c>
      <c r="J69" s="12">
        <f t="shared" ref="J69:J100" si="20">I69-1</f>
        <v>65</v>
      </c>
      <c r="K69" s="19">
        <f t="shared" ref="K69:K100" si="21">IF(colas=2,TINV(alfa,J69),TINV(2*alfa,J69))</f>
        <v>1.9971379083920051</v>
      </c>
      <c r="L69" s="19">
        <f t="shared" ref="L69:L103" si="22">IF(ISNUMBER($E$19),$E$19*SQRT(I69),"")</f>
        <v>1.0310260587734792</v>
      </c>
      <c r="M69" s="19">
        <f t="shared" ref="M69:M103" si="23">IF(ISNUMBER($E$19),((1-NORMSDIST((K69*(1-1/(4*J69))-($E$19)*SQRT(I69))/SQRT(1+K69^2/(2*J69))))+IF(colas=2,NORMSDIST((-K69*(1-1/(4*J69))-($E$19)*SQRT(I69))/SQRT(1+K69^2/(2*J69))),0)),"")</f>
        <v>0.1740341761426363</v>
      </c>
      <c r="N69" s="12" t="str">
        <f t="shared" ref="N69:N100" si="24">IF(ISNUMBER(M69),IF(M69&gt;=potencia,I69,""),"")</f>
        <v/>
      </c>
      <c r="O69" s="19">
        <f t="shared" ref="O69:O103" si="25">(K69+TINV(2*(1-potencia),J69))/SQRT(I69)</f>
        <v>0.40519871491303727</v>
      </c>
      <c r="P69" s="19">
        <f t="shared" ref="P69:P100" si="26">IFERROR(O69-(((1-NORMSDIST((K69*(1-1/(4*J69))-(O69)*SQRT(I69))/SQRT(1+K69^2/(2*J69))))+IF(colas=2,NORMSDIST((-K69*(1-1/(4*J69))-(O69)*SQRT(I69))/SQRT(1+K69^2/(2*J69))),0))-potencia)/((((1-NORMSDIST((K69*(1-1/(4*J69))-(O69+(0.001*O69))*SQRT(I69))/SQRT(1+K69^2/(2*J69))))+IF(colas=2,NORMSDIST((-K69*(1-1/(4*J69))-(O69+(0.001*O69))*SQRT(I69))/SQRT(1+K69^2/(2*J69))),0))-((1-NORMSDIST((K69*(1-1/(4*J69))-(O69-(0.001*O69))*SQRT(I69))/SQRT(1+K69^2/(2*J69))))+IF(colas=2,NORMSDIST((-K69*(1-1/(4*J69))-(O69-(0.001*O69))*SQRT(I69))/SQRT(1+K69^2/(2*J69))),0)))/(2*(0.001*O69))),O69)</f>
        <v>0.40503473523581374</v>
      </c>
      <c r="Q69" s="19">
        <f t="shared" ref="Q69:Q100" si="27">IFERROR(P69-(((1-NORMSDIST((K69*(1-1/(4*J69))-(P69)*SQRT(I69))/SQRT(1+K69^2/(2*J69))))+IF(colas=2,NORMSDIST((-K69*(1-1/(4*J69))-(P69)*SQRT(I69))/SQRT(1+K69^2/(2*J69))),0))-potencia)/((((1-NORMSDIST((K69*(1-1/(4*J69))-(P69+(0.001*P69))*SQRT(I69))/SQRT(1+K69^2/(2*J69))))+IF(colas=2,NORMSDIST((-K69*(1-1/(4*J69))-(P69+(0.001*P69))*SQRT(I69))/SQRT(1+K69^2/(2*J69))),0))-((1-NORMSDIST((K69*(1-1/(4*J69))-(P69-(0.001*P69))*SQRT(I69))/SQRT(1+K69^2/(2*J69))))+IF(colas=2,NORMSDIST((-K69*(1-1/(4*J69))-(P69-(0.001*P69))*SQRT(I69))/SQRT(1+K69^2/(2*J69))),0)))/(2*(0.001*P69))),P69)</f>
        <v>0.4050348728667581</v>
      </c>
      <c r="R69" s="19">
        <f t="shared" ref="R69:R100" si="28">IFERROR(Q69-(((1-NORMSDIST((K69*(1-1/(4*J69))-(Q69)*SQRT(I69))/SQRT(1+K69^2/(2*J69))))+IF(colas=2,NORMSDIST((-K69*(1-1/(4*J69))-(Q69)*SQRT(I69))/SQRT(1+K69^2/(2*J69))),0))-potencia)/((((1-NORMSDIST((K69*(1-1/(4*J69))-(Q69+(0.001*Q69))*SQRT(I69))/SQRT(1+K69^2/(2*J69))))+IF(colas=2,NORMSDIST((-K69*(1-1/(4*J69))-(Q69+(0.001*Q69))*SQRT(I69))/SQRT(1+K69^2/(2*J69))),0))-((1-NORMSDIST((K69*(1-1/(4*J69))-(Q69-(0.001*Q69))*SQRT(I69))/SQRT(1+K69^2/(2*J69))))+IF(colas=2,NORMSDIST((-K69*(1-1/(4*J69))-(Q69-(0.001*Q69))*SQRT(I69))/SQRT(1+K69^2/(2*J69))),0)))/(2*(0.001*Q69))),Q69)</f>
        <v>0.40503487286700995</v>
      </c>
      <c r="S69" s="19">
        <f t="shared" ref="S69:S100" si="29">R69</f>
        <v>0.40503487286700995</v>
      </c>
    </row>
    <row r="70" spans="9:19" x14ac:dyDescent="0.3">
      <c r="I70" s="12">
        <v>67</v>
      </c>
      <c r="J70" s="12">
        <f t="shared" si="20"/>
        <v>66</v>
      </c>
      <c r="K70" s="19">
        <f t="shared" si="21"/>
        <v>1.996564418952312</v>
      </c>
      <c r="L70" s="19">
        <f t="shared" si="22"/>
        <v>1.038807497911181</v>
      </c>
      <c r="M70" s="19">
        <f t="shared" si="23"/>
        <v>0.17602117297857545</v>
      </c>
      <c r="N70" s="12" t="str">
        <f t="shared" si="24"/>
        <v/>
      </c>
      <c r="O70" s="19">
        <f t="shared" si="25"/>
        <v>0.40206880249679894</v>
      </c>
      <c r="P70" s="19">
        <f t="shared" si="26"/>
        <v>0.40190796079526403</v>
      </c>
      <c r="Q70" s="19">
        <f t="shared" si="27"/>
        <v>0.40190809423827728</v>
      </c>
      <c r="R70" s="19">
        <f t="shared" si="28"/>
        <v>0.40190809423851936</v>
      </c>
      <c r="S70" s="19">
        <f t="shared" si="29"/>
        <v>0.40190809423851936</v>
      </c>
    </row>
    <row r="71" spans="9:19" x14ac:dyDescent="0.3">
      <c r="I71" s="12">
        <v>68</v>
      </c>
      <c r="J71" s="12">
        <f t="shared" si="20"/>
        <v>67</v>
      </c>
      <c r="K71" s="19">
        <f t="shared" si="21"/>
        <v>1.9960083540252964</v>
      </c>
      <c r="L71" s="19">
        <f t="shared" si="22"/>
        <v>1.0465310800750272</v>
      </c>
      <c r="M71" s="19">
        <f t="shared" si="23"/>
        <v>0.17800870809406236</v>
      </c>
      <c r="N71" s="12" t="str">
        <f t="shared" si="24"/>
        <v/>
      </c>
      <c r="O71" s="19">
        <f t="shared" si="25"/>
        <v>0.3990103394889889</v>
      </c>
      <c r="P71" s="19">
        <f t="shared" si="26"/>
        <v>0.39885254043450091</v>
      </c>
      <c r="Q71" s="19">
        <f t="shared" si="27"/>
        <v>0.39885266985952772</v>
      </c>
      <c r="R71" s="19">
        <f t="shared" si="28"/>
        <v>0.39885266985976048</v>
      </c>
      <c r="S71" s="19">
        <f t="shared" si="29"/>
        <v>0.39885266985976048</v>
      </c>
    </row>
    <row r="72" spans="9:19" x14ac:dyDescent="0.3">
      <c r="I72" s="12">
        <v>69</v>
      </c>
      <c r="J72" s="12">
        <f t="shared" si="20"/>
        <v>68</v>
      </c>
      <c r="K72" s="19">
        <f t="shared" si="21"/>
        <v>1.9954689314298424</v>
      </c>
      <c r="L72" s="19">
        <f t="shared" si="22"/>
        <v>1.0541980769331341</v>
      </c>
      <c r="M72" s="19">
        <f t="shared" si="23"/>
        <v>0.1799967341069012</v>
      </c>
      <c r="N72" s="12" t="str">
        <f t="shared" si="24"/>
        <v/>
      </c>
      <c r="O72" s="19">
        <f t="shared" si="25"/>
        <v>0.39602064743957083</v>
      </c>
      <c r="P72" s="19">
        <f t="shared" si="26"/>
        <v>0.39586579949958978</v>
      </c>
      <c r="Q72" s="19">
        <f t="shared" si="27"/>
        <v>0.39586592506826085</v>
      </c>
      <c r="R72" s="19">
        <f t="shared" si="28"/>
        <v>0.39586592506848484</v>
      </c>
      <c r="S72" s="19">
        <f t="shared" si="29"/>
        <v>0.39586592506848484</v>
      </c>
    </row>
    <row r="73" spans="9:19" x14ac:dyDescent="0.3">
      <c r="I73" s="12">
        <v>70</v>
      </c>
      <c r="J73" s="12">
        <f t="shared" si="20"/>
        <v>69</v>
      </c>
      <c r="K73" s="19">
        <f t="shared" si="21"/>
        <v>1.9949454151072357</v>
      </c>
      <c r="L73" s="19">
        <f t="shared" si="22"/>
        <v>1.0618097142407545</v>
      </c>
      <c r="M73" s="19">
        <f t="shared" si="23"/>
        <v>0.18198520417284336</v>
      </c>
      <c r="N73" s="12" t="str">
        <f t="shared" si="24"/>
        <v/>
      </c>
      <c r="O73" s="19">
        <f t="shared" si="25"/>
        <v>0.39309718643135072</v>
      </c>
      <c r="P73" s="19">
        <f t="shared" si="26"/>
        <v>0.39294520169368563</v>
      </c>
      <c r="Q73" s="19">
        <f t="shared" si="27"/>
        <v>0.3929453235597693</v>
      </c>
      <c r="R73" s="19">
        <f t="shared" si="28"/>
        <v>0.39294532355998479</v>
      </c>
      <c r="S73" s="19">
        <f t="shared" si="29"/>
        <v>0.39294532355998479</v>
      </c>
    </row>
    <row r="74" spans="9:19" x14ac:dyDescent="0.3">
      <c r="I74" s="12">
        <v>71</v>
      </c>
      <c r="J74" s="12">
        <f t="shared" si="20"/>
        <v>70</v>
      </c>
      <c r="K74" s="19">
        <f t="shared" si="21"/>
        <v>1.9944371117711854</v>
      </c>
      <c r="L74" s="19">
        <f t="shared" si="22"/>
        <v>1.0693671741280202</v>
      </c>
      <c r="M74" s="19">
        <f t="shared" si="23"/>
        <v>0.18397407196596632</v>
      </c>
      <c r="N74" s="12" t="str">
        <f t="shared" si="24"/>
        <v/>
      </c>
      <c r="O74" s="19">
        <f t="shared" si="25"/>
        <v>0.39023754599953014</v>
      </c>
      <c r="P74" s="19">
        <f t="shared" si="26"/>
        <v>0.39008834000480036</v>
      </c>
      <c r="Q74" s="19">
        <f t="shared" si="27"/>
        <v>0.39008845831462952</v>
      </c>
      <c r="R74" s="19">
        <f t="shared" si="28"/>
        <v>0.39008845831483696</v>
      </c>
      <c r="S74" s="19">
        <f t="shared" si="29"/>
        <v>0.39008845831483696</v>
      </c>
    </row>
    <row r="75" spans="9:19" x14ac:dyDescent="0.3">
      <c r="I75" s="12">
        <v>72</v>
      </c>
      <c r="J75" s="12">
        <f t="shared" si="20"/>
        <v>71</v>
      </c>
      <c r="K75" s="19">
        <f t="shared" si="21"/>
        <v>1.9939433678456266</v>
      </c>
      <c r="L75" s="19">
        <f t="shared" si="22"/>
        <v>1.0768715972431726</v>
      </c>
      <c r="M75" s="19">
        <f t="shared" si="23"/>
        <v>0.18596329166087988</v>
      </c>
      <c r="N75" s="12" t="str">
        <f t="shared" si="24"/>
        <v/>
      </c>
      <c r="O75" s="19">
        <f t="shared" si="25"/>
        <v>0.38743943676845616</v>
      </c>
      <c r="P75" s="19">
        <f t="shared" si="26"/>
        <v>0.38729292835051754</v>
      </c>
      <c r="Q75" s="19">
        <f t="shared" si="27"/>
        <v>0.38729304324339386</v>
      </c>
      <c r="R75" s="19">
        <f t="shared" si="28"/>
        <v>0.38729304324359382</v>
      </c>
      <c r="S75" s="19">
        <f t="shared" si="29"/>
        <v>0.38729304324359382</v>
      </c>
    </row>
    <row r="76" spans="9:19" x14ac:dyDescent="0.3">
      <c r="I76" s="12">
        <v>73</v>
      </c>
      <c r="J76" s="12">
        <f t="shared" si="20"/>
        <v>72</v>
      </c>
      <c r="K76" s="19">
        <f t="shared" si="21"/>
        <v>1.9934635666618719</v>
      </c>
      <c r="L76" s="19">
        <f t="shared" si="22"/>
        <v>1.0843240847622895</v>
      </c>
      <c r="M76" s="19">
        <f t="shared" si="23"/>
        <v>0.18795281791655225</v>
      </c>
      <c r="N76" s="12" t="str">
        <f t="shared" si="24"/>
        <v/>
      </c>
      <c r="O76" s="19">
        <f t="shared" si="25"/>
        <v>0.38470068273954094</v>
      </c>
      <c r="P76" s="19">
        <f t="shared" si="26"/>
        <v>0.38455679387361702</v>
      </c>
      <c r="Q76" s="19">
        <f t="shared" si="27"/>
        <v>0.38455690548219235</v>
      </c>
      <c r="R76" s="19">
        <f t="shared" si="28"/>
        <v>0.38455690548238508</v>
      </c>
      <c r="S76" s="19">
        <f t="shared" si="29"/>
        <v>0.38455690548238508</v>
      </c>
    </row>
    <row r="77" spans="9:19" x14ac:dyDescent="0.3">
      <c r="I77" s="12">
        <v>74</v>
      </c>
      <c r="J77" s="12">
        <f t="shared" si="20"/>
        <v>73</v>
      </c>
      <c r="K77" s="19">
        <f t="shared" si="21"/>
        <v>1.9929971258898567</v>
      </c>
      <c r="L77" s="19">
        <f t="shared" si="22"/>
        <v>1.0917257002755278</v>
      </c>
      <c r="M77" s="19">
        <f t="shared" si="23"/>
        <v>0.18994260586157474</v>
      </c>
      <c r="N77" s="12" t="str">
        <f t="shared" si="24"/>
        <v/>
      </c>
      <c r="O77" s="19">
        <f t="shared" si="25"/>
        <v>0.3820192141712766</v>
      </c>
      <c r="P77" s="19">
        <f t="shared" si="26"/>
        <v>0.38187786982949545</v>
      </c>
      <c r="Q77" s="19">
        <f t="shared" si="27"/>
        <v>0.38187797828013159</v>
      </c>
      <c r="R77" s="19">
        <f t="shared" si="28"/>
        <v>0.38187797828031755</v>
      </c>
      <c r="S77" s="19">
        <f t="shared" si="29"/>
        <v>0.38187797828031755</v>
      </c>
    </row>
    <row r="78" spans="9:19" x14ac:dyDescent="0.3">
      <c r="I78" s="12">
        <v>75</v>
      </c>
      <c r="J78" s="12">
        <f t="shared" si="20"/>
        <v>74</v>
      </c>
      <c r="K78" s="19">
        <f t="shared" si="21"/>
        <v>1.992543495180934</v>
      </c>
      <c r="L78" s="19">
        <f t="shared" si="22"/>
        <v>1.0990774715590372</v>
      </c>
      <c r="M78" s="19">
        <f t="shared" si="23"/>
        <v>0.19193261108072029</v>
      </c>
      <c r="N78" s="12" t="str">
        <f t="shared" si="24"/>
        <v/>
      </c>
      <c r="O78" s="19">
        <f t="shared" si="25"/>
        <v>0.37939306099833109</v>
      </c>
      <c r="P78" s="19">
        <f t="shared" si="26"/>
        <v>0.3792541890123724</v>
      </c>
      <c r="Q78" s="19">
        <f t="shared" si="27"/>
        <v>0.37925429442548148</v>
      </c>
      <c r="R78" s="19">
        <f t="shared" si="28"/>
        <v>0.37925429442566083</v>
      </c>
      <c r="S78" s="19">
        <f t="shared" si="29"/>
        <v>0.37925429442566083</v>
      </c>
    </row>
    <row r="79" spans="9:19" x14ac:dyDescent="0.3">
      <c r="I79" s="12">
        <v>76</v>
      </c>
      <c r="J79" s="12">
        <f t="shared" si="20"/>
        <v>75</v>
      </c>
      <c r="K79" s="19">
        <f t="shared" si="21"/>
        <v>1.9921021540022406</v>
      </c>
      <c r="L79" s="19">
        <f t="shared" si="22"/>
        <v>1.106380392240897</v>
      </c>
      <c r="M79" s="19">
        <f t="shared" si="23"/>
        <v>0.1939227896026372</v>
      </c>
      <c r="N79" s="12" t="str">
        <f t="shared" si="24"/>
        <v/>
      </c>
      <c r="O79" s="19">
        <f t="shared" si="25"/>
        <v>0.37682034674214432</v>
      </c>
      <c r="P79" s="19">
        <f t="shared" si="26"/>
        <v>0.37668387767269529</v>
      </c>
      <c r="Q79" s="19">
        <f t="shared" si="27"/>
        <v>0.37668398016305893</v>
      </c>
      <c r="R79" s="19">
        <f t="shared" si="28"/>
        <v>0.37668398016323207</v>
      </c>
      <c r="S79" s="19">
        <f t="shared" si="29"/>
        <v>0.37668398016323207</v>
      </c>
    </row>
    <row r="80" spans="9:19" x14ac:dyDescent="0.3">
      <c r="I80" s="12">
        <v>77</v>
      </c>
      <c r="J80" s="12">
        <f t="shared" si="20"/>
        <v>76</v>
      </c>
      <c r="K80" s="19">
        <f t="shared" si="21"/>
        <v>1.991672609644662</v>
      </c>
      <c r="L80" s="19">
        <f t="shared" si="22"/>
        <v>1.1136354233687236</v>
      </c>
      <c r="M80" s="19">
        <f t="shared" si="23"/>
        <v>0.1959130978885717</v>
      </c>
      <c r="N80" s="12" t="str">
        <f t="shared" si="24"/>
        <v/>
      </c>
      <c r="O80" s="19">
        <f t="shared" si="25"/>
        <v>0.37429928287021258</v>
      </c>
      <c r="P80" s="19">
        <f t="shared" si="26"/>
        <v>0.37416514988292332</v>
      </c>
      <c r="Q80" s="19">
        <f t="shared" si="27"/>
        <v>0.37416524955999525</v>
      </c>
      <c r="R80" s="19">
        <f t="shared" si="28"/>
        <v>0.37416524956016251</v>
      </c>
      <c r="S80" s="19">
        <f t="shared" si="29"/>
        <v>0.37416524956016251</v>
      </c>
    </row>
    <row r="81" spans="9:19" x14ac:dyDescent="0.3">
      <c r="I81" s="12">
        <v>78</v>
      </c>
      <c r="J81" s="12">
        <f t="shared" si="20"/>
        <v>77</v>
      </c>
      <c r="K81" s="19">
        <f t="shared" si="21"/>
        <v>1.9912543953883848</v>
      </c>
      <c r="L81" s="19">
        <f t="shared" si="22"/>
        <v>1.12084349488595</v>
      </c>
      <c r="M81" s="19">
        <f t="shared" si="23"/>
        <v>0.19790349282200842</v>
      </c>
      <c r="N81" s="12" t="str">
        <f t="shared" si="24"/>
        <v/>
      </c>
      <c r="O81" s="19">
        <f t="shared" si="25"/>
        <v>0.37182816356549908</v>
      </c>
      <c r="P81" s="19">
        <f t="shared" si="26"/>
        <v>0.37169630231313466</v>
      </c>
      <c r="Q81" s="19">
        <f t="shared" si="27"/>
        <v>0.37169639928132481</v>
      </c>
      <c r="R81" s="19">
        <f t="shared" si="28"/>
        <v>0.37169639928148634</v>
      </c>
      <c r="S81" s="19">
        <f t="shared" si="29"/>
        <v>0.37169639928148634</v>
      </c>
    </row>
    <row r="82" spans="9:19" x14ac:dyDescent="0.3">
      <c r="I82" s="12">
        <v>79</v>
      </c>
      <c r="J82" s="12">
        <f t="shared" si="20"/>
        <v>78</v>
      </c>
      <c r="K82" s="19">
        <f t="shared" si="21"/>
        <v>1.9908470688116919</v>
      </c>
      <c r="L82" s="19">
        <f t="shared" si="22"/>
        <v>1.1280055070231993</v>
      </c>
      <c r="M82" s="19">
        <f t="shared" si="23"/>
        <v>0.19989393169913261</v>
      </c>
      <c r="N82" s="12" t="str">
        <f t="shared" si="24"/>
        <v/>
      </c>
      <c r="O82" s="19">
        <f t="shared" si="25"/>
        <v>0.36940536087117287</v>
      </c>
      <c r="P82" s="19">
        <f t="shared" si="26"/>
        <v>0.36927570938167376</v>
      </c>
      <c r="Q82" s="19">
        <f t="shared" si="27"/>
        <v>0.3692758037406168</v>
      </c>
      <c r="R82" s="19">
        <f t="shared" si="28"/>
        <v>0.3692758037407729</v>
      </c>
      <c r="S82" s="19">
        <f t="shared" si="29"/>
        <v>0.3692758037407729</v>
      </c>
    </row>
    <row r="83" spans="9:19" x14ac:dyDescent="0.3">
      <c r="I83" s="12">
        <v>80</v>
      </c>
      <c r="J83" s="12">
        <f t="shared" si="20"/>
        <v>79</v>
      </c>
      <c r="K83" s="19">
        <f t="shared" si="21"/>
        <v>1.9904502102301287</v>
      </c>
      <c r="L83" s="19">
        <f t="shared" si="22"/>
        <v>1.135122331610642</v>
      </c>
      <c r="M83" s="19">
        <f t="shared" si="23"/>
        <v>0.20188437222002459</v>
      </c>
      <c r="N83" s="12" t="str">
        <f t="shared" si="24"/>
        <v/>
      </c>
      <c r="O83" s="19">
        <f t="shared" si="25"/>
        <v>0.36702932017927403</v>
      </c>
      <c r="P83" s="19">
        <f t="shared" si="26"/>
        <v>0.36690181874942196</v>
      </c>
      <c r="Q83" s="19">
        <f t="shared" si="27"/>
        <v>0.36690191059422939</v>
      </c>
      <c r="R83" s="19">
        <f t="shared" si="28"/>
        <v>0.36690191059438032</v>
      </c>
      <c r="S83" s="19">
        <f t="shared" si="29"/>
        <v>0.36690191059438032</v>
      </c>
    </row>
    <row r="84" spans="9:19" x14ac:dyDescent="0.3">
      <c r="I84" s="12">
        <v>81</v>
      </c>
      <c r="J84" s="12">
        <f t="shared" si="20"/>
        <v>80</v>
      </c>
      <c r="K84" s="19">
        <f t="shared" si="21"/>
        <v>1.9900634212544475</v>
      </c>
      <c r="L84" s="19">
        <f t="shared" si="22"/>
        <v>1.1421948133167541</v>
      </c>
      <c r="M84" s="19">
        <f t="shared" si="23"/>
        <v>0.20387477248052011</v>
      </c>
      <c r="N84" s="12" t="str">
        <f t="shared" si="24"/>
        <v/>
      </c>
      <c r="O84" s="19">
        <f t="shared" si="25"/>
        <v>0.36469855603484258</v>
      </c>
      <c r="P84" s="19">
        <f t="shared" si="26"/>
        <v>0.36457314712926825</v>
      </c>
      <c r="Q84" s="19">
        <f t="shared" si="27"/>
        <v>0.36457323655076707</v>
      </c>
      <c r="R84" s="19">
        <f t="shared" si="28"/>
        <v>0.36457323655091323</v>
      </c>
      <c r="S84" s="19">
        <f t="shared" si="29"/>
        <v>0.36457323655091323</v>
      </c>
    </row>
    <row r="85" spans="9:19" x14ac:dyDescent="0.3">
      <c r="I85" s="12">
        <v>82</v>
      </c>
      <c r="J85" s="12">
        <f t="shared" si="20"/>
        <v>81</v>
      </c>
      <c r="K85" s="19">
        <f t="shared" si="21"/>
        <v>1.9896863234569038</v>
      </c>
      <c r="L85" s="19">
        <f t="shared" si="22"/>
        <v>1.1492237708184641</v>
      </c>
      <c r="M85" s="19">
        <f t="shared" si="23"/>
        <v>0.20586509096467204</v>
      </c>
      <c r="N85" s="12" t="str">
        <f t="shared" si="24"/>
        <v/>
      </c>
      <c r="O85" s="19">
        <f t="shared" si="25"/>
        <v>0.36241164822979305</v>
      </c>
      <c r="P85" s="19">
        <f t="shared" si="26"/>
        <v>0.36228827638504019</v>
      </c>
      <c r="Q85" s="19">
        <f t="shared" si="27"/>
        <v>0.3622883634699966</v>
      </c>
      <c r="R85" s="19">
        <f t="shared" si="28"/>
        <v>0.36228836347013804</v>
      </c>
      <c r="S85" s="19">
        <f t="shared" si="29"/>
        <v>0.36228836347013804</v>
      </c>
    </row>
    <row r="86" spans="9:19" x14ac:dyDescent="0.3">
      <c r="I86" s="12">
        <v>83</v>
      </c>
      <c r="J86" s="12">
        <f t="shared" si="20"/>
        <v>82</v>
      </c>
      <c r="K86" s="19">
        <f t="shared" si="21"/>
        <v>1.9893185571365706</v>
      </c>
      <c r="L86" s="19">
        <f t="shared" si="22"/>
        <v>1.156209997907268</v>
      </c>
      <c r="M86" s="19">
        <f t="shared" si="23"/>
        <v>0.20785528653774277</v>
      </c>
      <c r="N86" s="12" t="str">
        <f t="shared" si="24"/>
        <v/>
      </c>
      <c r="O86" s="19">
        <f t="shared" si="25"/>
        <v>0.36016723816315815</v>
      </c>
      <c r="P86" s="19">
        <f t="shared" si="26"/>
        <v>0.36004584989655281</v>
      </c>
      <c r="Q86" s="19">
        <f t="shared" si="27"/>
        <v>0.3600459347278841</v>
      </c>
      <c r="R86" s="19">
        <f t="shared" si="28"/>
        <v>0.36004593472802104</v>
      </c>
      <c r="S86" s="19">
        <f t="shared" si="29"/>
        <v>0.36004593472802104</v>
      </c>
    </row>
    <row r="87" spans="9:19" x14ac:dyDescent="0.3">
      <c r="I87" s="12">
        <v>84</v>
      </c>
      <c r="J87" s="12">
        <f t="shared" si="20"/>
        <v>83</v>
      </c>
      <c r="K87" s="19">
        <f t="shared" si="21"/>
        <v>1.9889597801751635</v>
      </c>
      <c r="L87" s="19">
        <f t="shared" si="22"/>
        <v>1.1631542645355513</v>
      </c>
      <c r="M87" s="19">
        <f t="shared" si="23"/>
        <v>0.20984531843968293</v>
      </c>
      <c r="N87" s="12" t="str">
        <f t="shared" si="24"/>
        <v/>
      </c>
      <c r="O87" s="19">
        <f t="shared" si="25"/>
        <v>0.3579640254465033</v>
      </c>
      <c r="P87" s="19">
        <f t="shared" si="26"/>
        <v>0.35784456916957663</v>
      </c>
      <c r="Q87" s="19">
        <f t="shared" si="27"/>
        <v>0.3578446518265499</v>
      </c>
      <c r="R87" s="19">
        <f t="shared" si="28"/>
        <v>0.35784465182668251</v>
      </c>
      <c r="S87" s="19">
        <f t="shared" si="29"/>
        <v>0.35784465182668251</v>
      </c>
    </row>
    <row r="88" spans="9:19" x14ac:dyDescent="0.3">
      <c r="I88" s="12">
        <v>85</v>
      </c>
      <c r="J88" s="12">
        <f t="shared" si="20"/>
        <v>84</v>
      </c>
      <c r="K88" s="19">
        <f t="shared" si="21"/>
        <v>1.9886096669757098</v>
      </c>
      <c r="L88" s="19">
        <f t="shared" si="22"/>
        <v>1.1700573178070182</v>
      </c>
      <c r="M88" s="19">
        <f t="shared" si="23"/>
        <v>0.21183514627905878</v>
      </c>
      <c r="N88" s="12" t="str">
        <f t="shared" si="24"/>
        <v/>
      </c>
      <c r="O88" s="19">
        <f t="shared" si="25"/>
        <v>0.35580076473522204</v>
      </c>
      <c r="P88" s="19">
        <f t="shared" si="26"/>
        <v>0.35568319067144655</v>
      </c>
      <c r="Q88" s="19">
        <f t="shared" si="27"/>
        <v>0.35568327122986682</v>
      </c>
      <c r="R88" s="19">
        <f t="shared" si="28"/>
        <v>0.35568327122999532</v>
      </c>
      <c r="S88" s="19">
        <f t="shared" si="29"/>
        <v>0.35568327122999532</v>
      </c>
    </row>
    <row r="89" spans="9:19" x14ac:dyDescent="0.3">
      <c r="I89" s="12">
        <v>86</v>
      </c>
      <c r="J89" s="12">
        <f t="shared" si="20"/>
        <v>85</v>
      </c>
      <c r="K89" s="19">
        <f t="shared" si="21"/>
        <v>1.9882679074772251</v>
      </c>
      <c r="L89" s="19">
        <f t="shared" si="22"/>
        <v>1.1769198829148348</v>
      </c>
      <c r="M89" s="19">
        <f t="shared" si="23"/>
        <v>0.21382473002736105</v>
      </c>
      <c r="N89" s="12" t="str">
        <f t="shared" si="24"/>
        <v/>
      </c>
      <c r="O89" s="19">
        <f t="shared" si="25"/>
        <v>0.35367626276816172</v>
      </c>
      <c r="P89" s="19">
        <f t="shared" si="26"/>
        <v>0.35356052287477963</v>
      </c>
      <c r="Q89" s="19">
        <f t="shared" si="27"/>
        <v>0.35356060140716683</v>
      </c>
      <c r="R89" s="19">
        <f t="shared" si="28"/>
        <v>0.35356060140729134</v>
      </c>
      <c r="S89" s="19">
        <f t="shared" si="29"/>
        <v>0.35356060140729134</v>
      </c>
    </row>
    <row r="90" spans="9:19" x14ac:dyDescent="0.3">
      <c r="I90" s="12">
        <v>87</v>
      </c>
      <c r="J90" s="12">
        <f t="shared" si="20"/>
        <v>86</v>
      </c>
      <c r="K90" s="19">
        <f t="shared" si="21"/>
        <v>1.987934206239018</v>
      </c>
      <c r="L90" s="19">
        <f t="shared" si="22"/>
        <v>1.1837426640308204</v>
      </c>
      <c r="M90" s="19">
        <f t="shared" si="23"/>
        <v>0.21581403001368965</v>
      </c>
      <c r="N90" s="12" t="str">
        <f t="shared" si="24"/>
        <v/>
      </c>
      <c r="O90" s="19">
        <f t="shared" si="25"/>
        <v>0.35158937559958287</v>
      </c>
      <c r="P90" s="19">
        <f t="shared" si="26"/>
        <v>0.35147542349330141</v>
      </c>
      <c r="Q90" s="19">
        <f t="shared" si="27"/>
        <v>0.35147550006905698</v>
      </c>
      <c r="R90" s="19">
        <f t="shared" si="28"/>
        <v>0.35147550006917777</v>
      </c>
      <c r="S90" s="19">
        <f t="shared" si="29"/>
        <v>0.35147550006917777</v>
      </c>
    </row>
    <row r="91" spans="9:19" x14ac:dyDescent="0.3">
      <c r="I91" s="12">
        <v>88</v>
      </c>
      <c r="J91" s="12">
        <f t="shared" si="20"/>
        <v>87</v>
      </c>
      <c r="K91" s="19">
        <f t="shared" si="21"/>
        <v>1.9876082815890745</v>
      </c>
      <c r="L91" s="19">
        <f t="shared" si="22"/>
        <v>1.1905263451487742</v>
      </c>
      <c r="M91" s="19">
        <f t="shared" si="23"/>
        <v>0.21780300691974325</v>
      </c>
      <c r="N91" s="12" t="str">
        <f t="shared" si="24"/>
        <v/>
      </c>
      <c r="O91" s="19">
        <f t="shared" si="25"/>
        <v>0.34953900600885096</v>
      </c>
      <c r="P91" s="19">
        <f t="shared" si="26"/>
        <v>0.34942679689520689</v>
      </c>
      <c r="Q91" s="19">
        <f t="shared" si="27"/>
        <v>0.34942687158077196</v>
      </c>
      <c r="R91" s="19">
        <f t="shared" si="28"/>
        <v>0.34942687158088914</v>
      </c>
      <c r="S91" s="19">
        <f t="shared" si="29"/>
        <v>0.34942687158088914</v>
      </c>
    </row>
    <row r="92" spans="9:19" x14ac:dyDescent="0.3">
      <c r="I92" s="12">
        <v>89</v>
      </c>
      <c r="J92" s="12">
        <f t="shared" si="20"/>
        <v>88</v>
      </c>
      <c r="K92" s="19">
        <f t="shared" si="21"/>
        <v>1.9872898648311721</v>
      </c>
      <c r="L92" s="19">
        <f t="shared" si="22"/>
        <v>1.1972715908847971</v>
      </c>
      <c r="M92" s="19">
        <f t="shared" si="23"/>
        <v>0.21979162177513992</v>
      </c>
      <c r="N92" s="12" t="str">
        <f t="shared" si="24"/>
        <v/>
      </c>
      <c r="O92" s="19">
        <f t="shared" si="25"/>
        <v>0.34752410107452109</v>
      </c>
      <c r="P92" s="19">
        <f t="shared" si="26"/>
        <v>0.3474135916807165</v>
      </c>
      <c r="Q92" s="19">
        <f t="shared" si="27"/>
        <v>0.34741366453971961</v>
      </c>
      <c r="R92" s="19">
        <f t="shared" si="28"/>
        <v>0.3474136645398333</v>
      </c>
      <c r="S92" s="19">
        <f t="shared" si="29"/>
        <v>0.3474136645398333</v>
      </c>
    </row>
    <row r="93" spans="9:19" x14ac:dyDescent="0.3">
      <c r="I93" s="12">
        <v>90</v>
      </c>
      <c r="J93" s="12">
        <f t="shared" si="20"/>
        <v>89</v>
      </c>
      <c r="K93" s="19">
        <f t="shared" si="21"/>
        <v>1.986978699506285</v>
      </c>
      <c r="L93" s="19">
        <f t="shared" si="22"/>
        <v>1.2039790472372547</v>
      </c>
      <c r="M93" s="19">
        <f t="shared" si="23"/>
        <v>0.22177983595296658</v>
      </c>
      <c r="N93" s="12" t="str">
        <f t="shared" si="24"/>
        <v/>
      </c>
      <c r="O93" s="19">
        <f t="shared" si="25"/>
        <v>0.34554364990064529</v>
      </c>
      <c r="P93" s="19">
        <f t="shared" si="26"/>
        <v>0.34543479841166624</v>
      </c>
      <c r="Q93" s="19">
        <f t="shared" si="27"/>
        <v>0.34543486950506402</v>
      </c>
      <c r="R93" s="19">
        <f t="shared" si="28"/>
        <v>0.34543486950517432</v>
      </c>
      <c r="S93" s="19">
        <f t="shared" si="29"/>
        <v>0.34543486950517432</v>
      </c>
    </row>
    <row r="94" spans="9:19" x14ac:dyDescent="0.3">
      <c r="I94" s="12">
        <v>91</v>
      </c>
      <c r="J94" s="12">
        <f t="shared" si="20"/>
        <v>90</v>
      </c>
      <c r="K94" s="19">
        <f t="shared" si="21"/>
        <v>1.986674540703772</v>
      </c>
      <c r="L94" s="19">
        <f t="shared" si="22"/>
        <v>1.2106493423088462</v>
      </c>
      <c r="M94" s="19">
        <f t="shared" si="23"/>
        <v>0.22376761116560495</v>
      </c>
      <c r="N94" s="12" t="str">
        <f t="shared" si="24"/>
        <v/>
      </c>
      <c r="O94" s="19">
        <f t="shared" si="25"/>
        <v>0.34359668148411221</v>
      </c>
      <c r="P94" s="19">
        <f t="shared" si="26"/>
        <v>0.34348944748196153</v>
      </c>
      <c r="Q94" s="19">
        <f t="shared" si="27"/>
        <v>0.34348951686817047</v>
      </c>
      <c r="R94" s="19">
        <f t="shared" si="28"/>
        <v>0.34348951686827767</v>
      </c>
      <c r="S94" s="19">
        <f t="shared" si="29"/>
        <v>0.34348951686827767</v>
      </c>
    </row>
    <row r="95" spans="9:19" x14ac:dyDescent="0.3">
      <c r="I95" s="12">
        <v>92</v>
      </c>
      <c r="J95" s="12">
        <f t="shared" si="20"/>
        <v>91</v>
      </c>
      <c r="K95" s="19">
        <f t="shared" si="21"/>
        <v>1.9863771544186202</v>
      </c>
      <c r="L95" s="19">
        <f t="shared" si="22"/>
        <v>1.2172830869930613</v>
      </c>
      <c r="M95" s="19">
        <f t="shared" si="23"/>
        <v>0.22575490946076676</v>
      </c>
      <c r="N95" s="12" t="str">
        <f t="shared" si="24"/>
        <v/>
      </c>
      <c r="O95" s="19">
        <f t="shared" si="25"/>
        <v>0.34168226271281293</v>
      </c>
      <c r="P95" s="19">
        <f t="shared" si="26"/>
        <v>0.34157660711868831</v>
      </c>
      <c r="Q95" s="19">
        <f t="shared" si="27"/>
        <v>0.34157667485371035</v>
      </c>
      <c r="R95" s="19">
        <f t="shared" si="28"/>
        <v>0.34157667485381432</v>
      </c>
      <c r="S95" s="19">
        <f t="shared" si="29"/>
        <v>0.34157667485381432</v>
      </c>
    </row>
    <row r="96" spans="9:19" x14ac:dyDescent="0.3">
      <c r="I96" s="12">
        <v>93</v>
      </c>
      <c r="J96" s="12">
        <f t="shared" si="20"/>
        <v>92</v>
      </c>
      <c r="K96" s="19">
        <f t="shared" si="21"/>
        <v>1.9860863169511298</v>
      </c>
      <c r="L96" s="19">
        <f t="shared" si="22"/>
        <v>1.2238808756271469</v>
      </c>
      <c r="M96" s="19">
        <f t="shared" si="23"/>
        <v>0.22774169321773538</v>
      </c>
      <c r="N96" s="12" t="str">
        <f t="shared" si="24"/>
        <v/>
      </c>
      <c r="O96" s="19">
        <f t="shared" si="25"/>
        <v>0.33979949648525304</v>
      </c>
      <c r="P96" s="19">
        <f t="shared" si="26"/>
        <v>0.33969538150450729</v>
      </c>
      <c r="Q96" s="19">
        <f t="shared" si="27"/>
        <v>0.33969544764204707</v>
      </c>
      <c r="R96" s="19">
        <f t="shared" si="28"/>
        <v>0.33969544764214826</v>
      </c>
      <c r="S96" s="19">
        <f t="shared" si="29"/>
        <v>0.33969544764214826</v>
      </c>
    </row>
    <row r="97" spans="9:19" x14ac:dyDescent="0.3">
      <c r="I97" s="12">
        <v>94</v>
      </c>
      <c r="J97" s="12">
        <f t="shared" si="20"/>
        <v>93</v>
      </c>
      <c r="K97" s="19">
        <f t="shared" si="21"/>
        <v>1.9858018143458216</v>
      </c>
      <c r="L97" s="19">
        <f t="shared" si="22"/>
        <v>1.2304432866135631</v>
      </c>
      <c r="M97" s="19">
        <f t="shared" si="23"/>
        <v>0.22972792514379578</v>
      </c>
      <c r="N97" s="12" t="str">
        <f t="shared" si="24"/>
        <v/>
      </c>
      <c r="O97" s="19">
        <f t="shared" si="25"/>
        <v>0.33794751994297834</v>
      </c>
      <c r="P97" s="19">
        <f t="shared" si="26"/>
        <v>0.33784490901272629</v>
      </c>
      <c r="Q97" s="19">
        <f t="shared" si="27"/>
        <v>0.33784497360430293</v>
      </c>
      <c r="R97" s="19">
        <f t="shared" si="28"/>
        <v>0.3378449736044013</v>
      </c>
      <c r="S97" s="19">
        <f t="shared" si="29"/>
        <v>0.3378449736044013</v>
      </c>
    </row>
    <row r="98" spans="9:19" x14ac:dyDescent="0.3">
      <c r="I98" s="12">
        <v>95</v>
      </c>
      <c r="J98" s="12">
        <f t="shared" si="20"/>
        <v>94</v>
      </c>
      <c r="K98" s="19">
        <f t="shared" si="21"/>
        <v>1.9855234418666059</v>
      </c>
      <c r="L98" s="19">
        <f t="shared" si="22"/>
        <v>1.2369708830117632</v>
      </c>
      <c r="M98" s="19">
        <f t="shared" si="23"/>
        <v>0.23171356827083325</v>
      </c>
      <c r="N98" s="12" t="str">
        <f t="shared" si="24"/>
        <v/>
      </c>
      <c r="O98" s="19">
        <f t="shared" si="25"/>
        <v>0.33612550280792214</v>
      </c>
      <c r="P98" s="19">
        <f t="shared" si="26"/>
        <v>0.33602436054714391</v>
      </c>
      <c r="Q98" s="19">
        <f t="shared" si="27"/>
        <v>0.33602442364219626</v>
      </c>
      <c r="R98" s="19">
        <f t="shared" si="28"/>
        <v>0.33602442364229179</v>
      </c>
      <c r="S98" s="19">
        <f t="shared" si="29"/>
        <v>0.33602442364229179</v>
      </c>
    </row>
    <row r="99" spans="9:19" x14ac:dyDescent="0.3">
      <c r="I99" s="12">
        <v>96</v>
      </c>
      <c r="J99" s="12">
        <f t="shared" si="20"/>
        <v>95</v>
      </c>
      <c r="K99" s="19">
        <f t="shared" si="21"/>
        <v>1.9852510035054973</v>
      </c>
      <c r="L99" s="19">
        <f t="shared" si="22"/>
        <v>1.2434642131020159</v>
      </c>
      <c r="M99" s="19">
        <f t="shared" si="23"/>
        <v>0.2336985859520942</v>
      </c>
      <c r="N99" s="12" t="str">
        <f t="shared" si="24"/>
        <v/>
      </c>
      <c r="O99" s="19">
        <f t="shared" si="25"/>
        <v>0.33433264581737931</v>
      </c>
      <c r="P99" s="19">
        <f t="shared" si="26"/>
        <v>0.33423293797938808</v>
      </c>
      <c r="Q99" s="19">
        <f t="shared" si="27"/>
        <v>0.33423299962537439</v>
      </c>
      <c r="R99" s="19">
        <f t="shared" si="28"/>
        <v>0.33423299962546743</v>
      </c>
      <c r="S99" s="19">
        <f t="shared" si="29"/>
        <v>0.33423299962546743</v>
      </c>
    </row>
    <row r="100" spans="9:19" x14ac:dyDescent="0.3">
      <c r="I100" s="12">
        <v>97</v>
      </c>
      <c r="J100" s="12">
        <f t="shared" si="20"/>
        <v>96</v>
      </c>
      <c r="K100" s="19">
        <f t="shared" si="21"/>
        <v>1.9849843115224561</v>
      </c>
      <c r="L100" s="19">
        <f t="shared" si="22"/>
        <v>1.2499238109228621</v>
      </c>
      <c r="M100" s="19">
        <f t="shared" si="23"/>
        <v>0.23568294185907468</v>
      </c>
      <c r="N100" s="12" t="str">
        <f t="shared" si="24"/>
        <v/>
      </c>
      <c r="O100" s="19">
        <f t="shared" si="25"/>
        <v>0.332568179249909</v>
      </c>
      <c r="P100" s="19">
        <f t="shared" si="26"/>
        <v>0.33246987267706313</v>
      </c>
      <c r="Q100" s="19">
        <f t="shared" si="27"/>
        <v>0.33246993291955484</v>
      </c>
      <c r="R100" s="19">
        <f t="shared" si="28"/>
        <v>0.33246993291964527</v>
      </c>
      <c r="S100" s="19">
        <f t="shared" si="29"/>
        <v>0.33246993291964527</v>
      </c>
    </row>
    <row r="101" spans="9:19" x14ac:dyDescent="0.3">
      <c r="I101" s="12">
        <v>98</v>
      </c>
      <c r="J101" s="12">
        <f t="shared" ref="J101:J132" si="30">I101-1</f>
        <v>97</v>
      </c>
      <c r="K101" s="19">
        <f t="shared" ref="K101:K132" si="31">IF(colas=2,TINV(alfa,J101),TINV(2*alfa,J101))</f>
        <v>1.9847231860139838</v>
      </c>
      <c r="L101" s="19">
        <f t="shared" si="22"/>
        <v>1.2563501967837016</v>
      </c>
      <c r="M101" s="19">
        <f t="shared" si="23"/>
        <v>0.23766659997855816</v>
      </c>
      <c r="N101" s="12" t="str">
        <f t="shared" ref="N101:N132" si="32">IF(ISNUMBER(M101),IF(M101&gt;=potencia,I101,""),"")</f>
        <v/>
      </c>
      <c r="O101" s="19">
        <f t="shared" si="25"/>
        <v>0.3308313615359757</v>
      </c>
      <c r="P101" s="19">
        <f t="shared" ref="P101:P132" si="33">IFERROR(O101-(((1-NORMSDIST((K101*(1-1/(4*J101))-(O101)*SQRT(I101))/SQRT(1+K101^2/(2*J101))))+IF(colas=2,NORMSDIST((-K101*(1-1/(4*J101))-(O101)*SQRT(I101))/SQRT(1+K101^2/(2*J101))),0))-potencia)/((((1-NORMSDIST((K101*(1-1/(4*J101))-(O101+(0.001*O101))*SQRT(I101))/SQRT(1+K101^2/(2*J101))))+IF(colas=2,NORMSDIST((-K101*(1-1/(4*J101))-(O101+(0.001*O101))*SQRT(I101))/SQRT(1+K101^2/(2*J101))),0))-((1-NORMSDIST((K101*(1-1/(4*J101))-(O101-(0.001*O101))*SQRT(I101))/SQRT(1+K101^2/(2*J101))))+IF(colas=2,NORMSDIST((-K101*(1-1/(4*J101))-(O101-(0.001*O101))*SQRT(I101))/SQRT(1+K101^2/(2*J101))),0)))/(2*(0.001*O101))),O101)</f>
        <v>0.33073442411651599</v>
      </c>
      <c r="Q101" s="19">
        <f t="shared" ref="Q101:Q132" si="34">IFERROR(P101-(((1-NORMSDIST((K101*(1-1/(4*J101))-(P101)*SQRT(I101))/SQRT(1+K101^2/(2*J101))))+IF(colas=2,NORMSDIST((-K101*(1-1/(4*J101))-(P101)*SQRT(I101))/SQRT(1+K101^2/(2*J101))),0))-potencia)/((((1-NORMSDIST((K101*(1-1/(4*J101))-(P101+(0.001*P101))*SQRT(I101))/SQRT(1+K101^2/(2*J101))))+IF(colas=2,NORMSDIST((-K101*(1-1/(4*J101))-(P101+(0.001*P101))*SQRT(I101))/SQRT(1+K101^2/(2*J101))),0))-((1-NORMSDIST((K101*(1-1/(4*J101))-(P101-(0.001*P101))*SQRT(I101))/SQRT(1+K101^2/(2*J101))))+IF(colas=2,NORMSDIST((-K101*(1-1/(4*J101))-(P101-(0.001*P101))*SQRT(I101))/SQRT(1+K101^2/(2*J101))),0)))/(2*(0.001*P101))),P101)</f>
        <v>0.33073448299928682</v>
      </c>
      <c r="R101" s="19">
        <f t="shared" ref="R101:R132" si="35">IFERROR(Q101-(((1-NORMSDIST((K101*(1-1/(4*J101))-(Q101)*SQRT(I101))/SQRT(1+K101^2/(2*J101))))+IF(colas=2,NORMSDIST((-K101*(1-1/(4*J101))-(Q101)*SQRT(I101))/SQRT(1+K101^2/(2*J101))),0))-potencia)/((((1-NORMSDIST((K101*(1-1/(4*J101))-(Q101+(0.001*Q101))*SQRT(I101))/SQRT(1+K101^2/(2*J101))))+IF(colas=2,NORMSDIST((-K101*(1-1/(4*J101))-(Q101+(0.001*Q101))*SQRT(I101))/SQRT(1+K101^2/(2*J101))),0))-((1-NORMSDIST((K101*(1-1/(4*J101))-(Q101-(0.001*Q101))*SQRT(I101))/SQRT(1+K101^2/(2*J101))))+IF(colas=2,NORMSDIST((-K101*(1-1/(4*J101))-(Q101-(0.001*Q101))*SQRT(I101))/SQRT(1+K101^2/(2*J101))),0)))/(2*(0.001*Q101))),Q101)</f>
        <v>0.33073448299937486</v>
      </c>
      <c r="S101" s="19">
        <f t="shared" ref="S101:S132" si="36">R101</f>
        <v>0.33073448299937486</v>
      </c>
    </row>
    <row r="102" spans="9:19" x14ac:dyDescent="0.3">
      <c r="I102" s="12">
        <v>99</v>
      </c>
      <c r="J102" s="12">
        <f t="shared" si="30"/>
        <v>98</v>
      </c>
      <c r="K102" s="19">
        <f t="shared" si="31"/>
        <v>1.9844674545084788</v>
      </c>
      <c r="L102" s="19">
        <f t="shared" si="22"/>
        <v>1.2627438777539015</v>
      </c>
      <c r="M102" s="19">
        <f t="shared" si="23"/>
        <v>0.23964952460976446</v>
      </c>
      <c r="N102" s="12" t="str">
        <f t="shared" si="32"/>
        <v/>
      </c>
      <c r="O102" s="19">
        <f t="shared" si="25"/>
        <v>0.32912147794765134</v>
      </c>
      <c r="P102" s="19">
        <f t="shared" si="33"/>
        <v>0.32902587857454396</v>
      </c>
      <c r="Q102" s="19">
        <f t="shared" si="34"/>
        <v>0.32902593613965442</v>
      </c>
      <c r="R102" s="19">
        <f t="shared" si="35"/>
        <v>0.32902593613974007</v>
      </c>
      <c r="S102" s="19">
        <f t="shared" si="36"/>
        <v>0.32902593613974007</v>
      </c>
    </row>
    <row r="103" spans="9:19" x14ac:dyDescent="0.3">
      <c r="I103" s="12">
        <v>100</v>
      </c>
      <c r="J103" s="12">
        <f t="shared" si="30"/>
        <v>99</v>
      </c>
      <c r="K103" s="19">
        <f t="shared" si="31"/>
        <v>1.9842169515864165</v>
      </c>
      <c r="L103" s="19">
        <f t="shared" si="22"/>
        <v>1.2691053481297268</v>
      </c>
      <c r="M103" s="19">
        <f t="shared" si="23"/>
        <v>0.24163168036160584</v>
      </c>
      <c r="N103" s="12" t="str">
        <f t="shared" si="32"/>
        <v/>
      </c>
      <c r="O103" s="19">
        <f t="shared" si="25"/>
        <v>0.32743783936209009</v>
      </c>
      <c r="P103" s="19">
        <f t="shared" si="33"/>
        <v>0.327343547893784</v>
      </c>
      <c r="Q103" s="19">
        <f t="shared" si="34"/>
        <v>0.32734360418166081</v>
      </c>
      <c r="R103" s="19">
        <f t="shared" si="35"/>
        <v>0.32734360418174419</v>
      </c>
      <c r="S103" s="19">
        <f t="shared" si="36"/>
        <v>0.32734360418174419</v>
      </c>
    </row>
  </sheetData>
  <dataValidations count="1">
    <dataValidation type="list" allowBlank="1" showInputMessage="1" showErrorMessage="1" sqref="B37" xr:uid="{00000000-0002-0000-0400-000000000000}">
      <formula1>"3,4"</formula1>
    </dataValidation>
  </dataValidations>
  <pageMargins left="0.7" right="0.7" top="0.75" bottom="0.75" header="0.3" footer="0.3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6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88671875" defaultRowHeight="14.4" outlineLevelCol="1" x14ac:dyDescent="0.3"/>
  <cols>
    <col min="1" max="1" width="8.6640625" customWidth="1"/>
    <col min="2" max="9" width="12.6640625" customWidth="1"/>
    <col min="13" max="24" width="9.6640625" hidden="1" customWidth="1" outlineLevel="1"/>
    <col min="25" max="25" width="8.88671875" collapsed="1"/>
  </cols>
  <sheetData>
    <row r="1" spans="1:24" ht="17.399999999999999" x14ac:dyDescent="0.3">
      <c r="A1" s="1" t="s">
        <v>242</v>
      </c>
    </row>
    <row r="2" spans="1:24" x14ac:dyDescent="0.3">
      <c r="A2" s="2" t="str">
        <f>"Réplicas por corriente y por día: "&amp;IF(ISNUMBER(rpd),rpd,"(se calcula en la hoja Réplicas)")&amp;" · días: "&amp;dias&amp;" · semilla: "&amp;semilla</f>
        <v>Réplicas por corriente y por día: (se calcula en la hoja Réplicas) · días: 3 · semilla: 2610</v>
      </c>
    </row>
    <row r="3" spans="1:24" ht="28.05" customHeight="1" x14ac:dyDescent="0.3">
      <c r="A3" s="30" t="s">
        <v>243</v>
      </c>
      <c r="B3" s="30"/>
      <c r="C3" s="30"/>
      <c r="D3" s="30"/>
      <c r="E3" s="30"/>
      <c r="F3" s="30"/>
      <c r="G3" s="30"/>
      <c r="H3" s="30"/>
      <c r="I3" s="30"/>
    </row>
    <row r="4" spans="1:24" x14ac:dyDescent="0.3">
      <c r="B4" s="31" t="s">
        <v>245</v>
      </c>
      <c r="C4" s="31"/>
      <c r="D4" s="31" t="s">
        <v>250</v>
      </c>
      <c r="E4" s="31"/>
      <c r="F4" s="31" t="s">
        <v>254</v>
      </c>
      <c r="G4" s="31"/>
      <c r="H4" s="31" t="s">
        <v>258</v>
      </c>
      <c r="I4" s="31"/>
    </row>
    <row r="5" spans="1:24" x14ac:dyDescent="0.3">
      <c r="A5" s="6" t="s">
        <v>244</v>
      </c>
      <c r="B5" s="6" t="s">
        <v>138</v>
      </c>
      <c r="C5" s="6" t="s">
        <v>246</v>
      </c>
      <c r="D5" s="6" t="s">
        <v>138</v>
      </c>
      <c r="E5" s="6" t="s">
        <v>246</v>
      </c>
      <c r="F5" s="6" t="s">
        <v>138</v>
      </c>
      <c r="G5" s="6" t="s">
        <v>246</v>
      </c>
      <c r="H5" s="6" t="s">
        <v>138</v>
      </c>
      <c r="I5" s="6" t="s">
        <v>246</v>
      </c>
      <c r="K5" s="2" t="s">
        <v>262</v>
      </c>
      <c r="M5" s="6" t="s">
        <v>247</v>
      </c>
      <c r="N5" s="6" t="s">
        <v>248</v>
      </c>
      <c r="O5" s="6" t="s">
        <v>249</v>
      </c>
      <c r="P5" s="6" t="s">
        <v>251</v>
      </c>
      <c r="Q5" s="6" t="s">
        <v>252</v>
      </c>
      <c r="R5" s="6" t="s">
        <v>253</v>
      </c>
      <c r="S5" s="6" t="s">
        <v>255</v>
      </c>
      <c r="T5" s="6" t="s">
        <v>256</v>
      </c>
      <c r="U5" s="6" t="s">
        <v>257</v>
      </c>
      <c r="V5" s="6" t="s">
        <v>259</v>
      </c>
      <c r="W5" s="6" t="s">
        <v>260</v>
      </c>
      <c r="X5" s="6" t="s">
        <v>261</v>
      </c>
    </row>
    <row r="6" spans="1:24" x14ac:dyDescent="0.3">
      <c r="A6" s="12" t="str">
        <f>IF(ISNUMBER(rpd),IF(1&lt;=3*rpd,1,""),"")</f>
        <v/>
      </c>
      <c r="B6" s="18" t="str">
        <f t="shared" ref="B6:B37" si="0">IF(ISNUMBER($A6),IF(1&lt;=dias,IFERROR(INDEX($N$6:$N$65,MATCH($A6,$O$6:$O$65,0)),""),"—"),"")</f>
        <v/>
      </c>
      <c r="C6" s="19" t="str">
        <f>IF(OR(B6="",B6="—"),"",IF(INDEX(corrientes,MATCH(B6,{"I1","I2","I3"},0))="","",INDEX(corrientes,MATCH(B6,{"I1","I2","I3"},0))))</f>
        <v/>
      </c>
      <c r="D6" s="18" t="str">
        <f t="shared" ref="D6:D37" si="1">IF(ISNUMBER($A6),IF(2&lt;=dias,IFERROR(INDEX($Q$6:$Q$65,MATCH($A6,$R$6:$R$65,0)),""),"—"),"")</f>
        <v/>
      </c>
      <c r="E6" s="19" t="str">
        <f>IF(OR(D6="",D6="—"),"",IF(INDEX(corrientes,MATCH(D6,{"I1","I2","I3"},0))="","",INDEX(corrientes,MATCH(D6,{"I1","I2","I3"},0))))</f>
        <v/>
      </c>
      <c r="F6" s="18" t="str">
        <f t="shared" ref="F6:F37" si="2">IF(ISNUMBER($A6),IF(3&lt;=dias,IFERROR(INDEX($T$6:$T$65,MATCH($A6,$U$6:$U$65,0)),""),"—"),"")</f>
        <v/>
      </c>
      <c r="G6" s="19" t="str">
        <f>IF(OR(F6="",F6="—"),"",IF(INDEX(corrientes,MATCH(F6,{"I1","I2","I3"},0))="","",INDEX(corrientes,MATCH(F6,{"I1","I2","I3"},0))))</f>
        <v/>
      </c>
      <c r="H6" s="18" t="str">
        <f t="shared" ref="H6:H37" si="3">IF(ISNUMBER($A6),IF(4&lt;=dias,IFERROR(INDEX($W$6:$W$65,MATCH($A6,$X$6:$X$65,0)),""),"—"),"")</f>
        <v/>
      </c>
      <c r="I6" s="19" t="str">
        <f>IF(OR(H6="",H6="—"),"",IF(INDEX(corrientes,MATCH(H6,{"I1","I2","I3"},0))="","",INDEX(corrientes,MATCH(H6,{"I1","I2","I3"},0))))</f>
        <v/>
      </c>
      <c r="M6" s="28">
        <f>MOD(ABS(SIN(semilla*12.9898+1*78.233+1*37.719))*43758.5453,1)</f>
        <v>0.29225542283529649</v>
      </c>
      <c r="N6" s="22" t="str">
        <f>"I"&amp;(MOD(1-1,3)+1)</f>
        <v>I1</v>
      </c>
      <c r="O6" s="22" t="str">
        <f t="shared" ref="O6:O37" si="4">IF(ISNUMBER($A6),IF(1&lt;=dias,COUNTIFS($M$6:$M$65,"&lt;"&amp;M6,$A$6:$A$65,"&gt;0")+1,""),"")</f>
        <v/>
      </c>
      <c r="P6" s="28">
        <f>MOD(ABS(SIN(semilla*12.9898+1*78.233+2*37.719))*43758.5453,1)</f>
        <v>0.1114455612259917</v>
      </c>
      <c r="Q6" s="22" t="str">
        <f>"I"&amp;(MOD(1-1,3)+1)</f>
        <v>I1</v>
      </c>
      <c r="R6" s="22" t="str">
        <f t="shared" ref="R6:R37" si="5">IF(ISNUMBER($A6),IF(2&lt;=dias,COUNTIFS($P$6:$P$65,"&lt;"&amp;P6,$A$6:$A$65,"&gt;0")+1,""),"")</f>
        <v/>
      </c>
      <c r="S6" s="28">
        <f>MOD(ABS(SIN(semilla*12.9898+1*78.233+3*37.719))*43758.5453,1)</f>
        <v>0.78263578290352598</v>
      </c>
      <c r="T6" s="22" t="str">
        <f>"I"&amp;(MOD(1-1,3)+1)</f>
        <v>I1</v>
      </c>
      <c r="U6" s="22" t="str">
        <f t="shared" ref="U6:U37" si="6">IF(ISNUMBER($A6),IF(3&lt;=dias,COUNTIFS($S$6:$S$65,"&lt;"&amp;S6,$A$6:$A$65,"&gt;0")+1,""),"")</f>
        <v/>
      </c>
      <c r="V6" s="28">
        <f>MOD(ABS(SIN(semilla*12.9898+1*78.233+4*37.719))*43758.5453,1)</f>
        <v>0.50688304254435934</v>
      </c>
      <c r="W6" s="22" t="str">
        <f>"I"&amp;(MOD(1-1,3)+1)</f>
        <v>I1</v>
      </c>
      <c r="X6" s="22" t="str">
        <f t="shared" ref="X6:X37" si="7">IF(ISNUMBER($A6),IF(4&lt;=dias,COUNTIFS($V$6:$V$65,"&lt;"&amp;V6,$A$6:$A$65,"&gt;0")+1,""),"")</f>
        <v/>
      </c>
    </row>
    <row r="7" spans="1:24" x14ac:dyDescent="0.3">
      <c r="A7" s="12" t="str">
        <f>IF(ISNUMBER(rpd),IF(2&lt;=3*rpd,2,""),"")</f>
        <v/>
      </c>
      <c r="B7" s="18" t="str">
        <f t="shared" si="0"/>
        <v/>
      </c>
      <c r="C7" s="19" t="str">
        <f>IF(OR(B7="",B7="—"),"",IF(INDEX(corrientes,MATCH(B7,{"I1","I2","I3"},0))="","",INDEX(corrientes,MATCH(B7,{"I1","I2","I3"},0))))</f>
        <v/>
      </c>
      <c r="D7" s="18" t="str">
        <f t="shared" si="1"/>
        <v/>
      </c>
      <c r="E7" s="19" t="str">
        <f>IF(OR(D7="",D7="—"),"",IF(INDEX(corrientes,MATCH(D7,{"I1","I2","I3"},0))="","",INDEX(corrientes,MATCH(D7,{"I1","I2","I3"},0))))</f>
        <v/>
      </c>
      <c r="F7" s="18" t="str">
        <f t="shared" si="2"/>
        <v/>
      </c>
      <c r="G7" s="19" t="str">
        <f>IF(OR(F7="",F7="—"),"",IF(INDEX(corrientes,MATCH(F7,{"I1","I2","I3"},0))="","",INDEX(corrientes,MATCH(F7,{"I1","I2","I3"},0))))</f>
        <v/>
      </c>
      <c r="H7" s="18" t="str">
        <f t="shared" si="3"/>
        <v/>
      </c>
      <c r="I7" s="19" t="str">
        <f>IF(OR(H7="",H7="—"),"",IF(INDEX(corrientes,MATCH(H7,{"I1","I2","I3"},0))="","",INDEX(corrientes,MATCH(H7,{"I1","I2","I3"},0))))</f>
        <v/>
      </c>
      <c r="M7" s="28">
        <f>MOD(ABS(SIN(semilla*12.9898+2*78.233+1*37.719))*43758.5453,1)</f>
        <v>4.4351255397486966E-2</v>
      </c>
      <c r="N7" s="22" t="str">
        <f>"I"&amp;(MOD(2-1,3)+1)</f>
        <v>I2</v>
      </c>
      <c r="O7" s="22" t="str">
        <f t="shared" si="4"/>
        <v/>
      </c>
      <c r="P7" s="28">
        <f>MOD(ABS(SIN(semilla*12.9898+2*78.233+2*37.719))*43758.5453,1)</f>
        <v>0.29434732134541264</v>
      </c>
      <c r="Q7" s="22" t="str">
        <f>"I"&amp;(MOD(2-1,3)+1)</f>
        <v>I2</v>
      </c>
      <c r="R7" s="22" t="str">
        <f t="shared" si="5"/>
        <v/>
      </c>
      <c r="S7" s="28">
        <f>MOD(ABS(SIN(semilla*12.9898+2*78.233+3*37.719))*43758.5453,1)</f>
        <v>4.6057044055487495E-2</v>
      </c>
      <c r="T7" s="22" t="str">
        <f>"I"&amp;(MOD(2-1,3)+1)</f>
        <v>I2</v>
      </c>
      <c r="U7" s="22" t="str">
        <f t="shared" si="6"/>
        <v/>
      </c>
      <c r="V7" s="28">
        <f>MOD(ABS(SIN(semilla*12.9898+2*78.233+4*37.719))*43758.5453,1)</f>
        <v>0.40676601634186227</v>
      </c>
      <c r="W7" s="22" t="str">
        <f>"I"&amp;(MOD(2-1,3)+1)</f>
        <v>I2</v>
      </c>
      <c r="X7" s="22" t="str">
        <f t="shared" si="7"/>
        <v/>
      </c>
    </row>
    <row r="8" spans="1:24" x14ac:dyDescent="0.3">
      <c r="A8" s="12" t="str">
        <f>IF(ISNUMBER(rpd),IF(3&lt;=3*rpd,3,""),"")</f>
        <v/>
      </c>
      <c r="B8" s="18" t="str">
        <f t="shared" si="0"/>
        <v/>
      </c>
      <c r="C8" s="19" t="str">
        <f>IF(OR(B8="",B8="—"),"",IF(INDEX(corrientes,MATCH(B8,{"I1","I2","I3"},0))="","",INDEX(corrientes,MATCH(B8,{"I1","I2","I3"},0))))</f>
        <v/>
      </c>
      <c r="D8" s="18" t="str">
        <f t="shared" si="1"/>
        <v/>
      </c>
      <c r="E8" s="19" t="str">
        <f>IF(OR(D8="",D8="—"),"",IF(INDEX(corrientes,MATCH(D8,{"I1","I2","I3"},0))="","",INDEX(corrientes,MATCH(D8,{"I1","I2","I3"},0))))</f>
        <v/>
      </c>
      <c r="F8" s="18" t="str">
        <f t="shared" si="2"/>
        <v/>
      </c>
      <c r="G8" s="19" t="str">
        <f>IF(OR(F8="",F8="—"),"",IF(INDEX(corrientes,MATCH(F8,{"I1","I2","I3"},0))="","",INDEX(corrientes,MATCH(F8,{"I1","I2","I3"},0))))</f>
        <v/>
      </c>
      <c r="H8" s="18" t="str">
        <f t="shared" si="3"/>
        <v/>
      </c>
      <c r="I8" s="19" t="str">
        <f>IF(OR(H8="",H8="—"),"",IF(INDEX(corrientes,MATCH(H8,{"I1","I2","I3"},0))="","",INDEX(corrientes,MATCH(H8,{"I1","I2","I3"},0))))</f>
        <v/>
      </c>
      <c r="M8" s="28">
        <f>MOD(ABS(SIN(semilla*12.9898+3*78.233+1*37.719))*43758.5453,1)</f>
        <v>6.9890436097921338E-2</v>
      </c>
      <c r="N8" s="22" t="str">
        <f>"I"&amp;(MOD(3-1,3)+1)</f>
        <v>I3</v>
      </c>
      <c r="O8" s="22" t="str">
        <f t="shared" si="4"/>
        <v/>
      </c>
      <c r="P8" s="28">
        <f>MOD(ABS(SIN(semilla*12.9898+3*78.233+2*37.719))*43758.5453,1)</f>
        <v>0.544370806630468</v>
      </c>
      <c r="Q8" s="22" t="str">
        <f>"I"&amp;(MOD(3-1,3)+1)</f>
        <v>I3</v>
      </c>
      <c r="R8" s="22" t="str">
        <f t="shared" si="5"/>
        <v/>
      </c>
      <c r="S8" s="28">
        <f>MOD(ABS(SIN(semilla*12.9898+3*78.233+3*37.719))*43758.5453,1)</f>
        <v>0.71122016581648495</v>
      </c>
      <c r="T8" s="22" t="str">
        <f>"I"&amp;(MOD(3-1,3)+1)</f>
        <v>I3</v>
      </c>
      <c r="U8" s="22" t="str">
        <f t="shared" si="6"/>
        <v/>
      </c>
      <c r="V8" s="28">
        <f>MOD(ABS(SIN(semilla*12.9898+3*78.233+4*37.719))*43758.5453,1)</f>
        <v>0.57393225844134577</v>
      </c>
      <c r="W8" s="22" t="str">
        <f>"I"&amp;(MOD(3-1,3)+1)</f>
        <v>I3</v>
      </c>
      <c r="X8" s="22" t="str">
        <f t="shared" si="7"/>
        <v/>
      </c>
    </row>
    <row r="9" spans="1:24" x14ac:dyDescent="0.3">
      <c r="A9" s="12" t="str">
        <f>IF(ISNUMBER(rpd),IF(4&lt;=3*rpd,4,""),"")</f>
        <v/>
      </c>
      <c r="B9" s="18" t="str">
        <f t="shared" si="0"/>
        <v/>
      </c>
      <c r="C9" s="19" t="str">
        <f>IF(OR(B9="",B9="—"),"",IF(INDEX(corrientes,MATCH(B9,{"I1","I2","I3"},0))="","",INDEX(corrientes,MATCH(B9,{"I1","I2","I3"},0))))</f>
        <v/>
      </c>
      <c r="D9" s="18" t="str">
        <f t="shared" si="1"/>
        <v/>
      </c>
      <c r="E9" s="19" t="str">
        <f>IF(OR(D9="",D9="—"),"",IF(INDEX(corrientes,MATCH(D9,{"I1","I2","I3"},0))="","",INDEX(corrientes,MATCH(D9,{"I1","I2","I3"},0))))</f>
        <v/>
      </c>
      <c r="F9" s="18" t="str">
        <f t="shared" si="2"/>
        <v/>
      </c>
      <c r="G9" s="19" t="str">
        <f>IF(OR(F9="",F9="—"),"",IF(INDEX(corrientes,MATCH(F9,{"I1","I2","I3"},0))="","",INDEX(corrientes,MATCH(F9,{"I1","I2","I3"},0))))</f>
        <v/>
      </c>
      <c r="H9" s="18" t="str">
        <f t="shared" si="3"/>
        <v/>
      </c>
      <c r="I9" s="19" t="str">
        <f>IF(OR(H9="",H9="—"),"",IF(INDEX(corrientes,MATCH(H9,{"I1","I2","I3"},0))="","",INDEX(corrientes,MATCH(H9,{"I1","I2","I3"},0))))</f>
        <v/>
      </c>
      <c r="M9" s="28">
        <f>MOD(ABS(SIN(semilla*12.9898+4*78.233+1*37.719))*43758.5453,1)</f>
        <v>0.83409156317065936</v>
      </c>
      <c r="N9" s="22" t="str">
        <f>"I"&amp;(MOD(4-1,3)+1)</f>
        <v>I1</v>
      </c>
      <c r="O9" s="22" t="str">
        <f t="shared" si="4"/>
        <v/>
      </c>
      <c r="P9" s="28">
        <f>MOD(ABS(SIN(semilla*12.9898+4*78.233+2*37.719))*43758.5453,1)</f>
        <v>0.74153883990220493</v>
      </c>
      <c r="Q9" s="22" t="str">
        <f>"I"&amp;(MOD(4-1,3)+1)</f>
        <v>I1</v>
      </c>
      <c r="R9" s="22" t="str">
        <f t="shared" si="5"/>
        <v/>
      </c>
      <c r="S9" s="28">
        <f>MOD(ABS(SIN(semilla*12.9898+4*78.233+3*37.719))*43758.5453,1)</f>
        <v>0.1485450766122085</v>
      </c>
      <c r="T9" s="22" t="str">
        <f>"I"&amp;(MOD(4-1,3)+1)</f>
        <v>I1</v>
      </c>
      <c r="U9" s="22" t="str">
        <f t="shared" si="6"/>
        <v/>
      </c>
      <c r="V9" s="28">
        <f>MOD(ABS(SIN(semilla*12.9898+4*78.233+4*37.719))*43758.5453,1)</f>
        <v>0.9544858539084089</v>
      </c>
      <c r="W9" s="22" t="str">
        <f>"I"&amp;(MOD(4-1,3)+1)</f>
        <v>I1</v>
      </c>
      <c r="X9" s="22" t="str">
        <f t="shared" si="7"/>
        <v/>
      </c>
    </row>
    <row r="10" spans="1:24" x14ac:dyDescent="0.3">
      <c r="A10" s="12" t="str">
        <f>IF(ISNUMBER(rpd),IF(5&lt;=3*rpd,5,""),"")</f>
        <v/>
      </c>
      <c r="B10" s="18" t="str">
        <f t="shared" si="0"/>
        <v/>
      </c>
      <c r="C10" s="19" t="str">
        <f>IF(OR(B10="",B10="—"),"",IF(INDEX(corrientes,MATCH(B10,{"I1","I2","I3"},0))="","",INDEX(corrientes,MATCH(B10,{"I1","I2","I3"},0))))</f>
        <v/>
      </c>
      <c r="D10" s="18" t="str">
        <f t="shared" si="1"/>
        <v/>
      </c>
      <c r="E10" s="19" t="str">
        <f>IF(OR(D10="",D10="—"),"",IF(INDEX(corrientes,MATCH(D10,{"I1","I2","I3"},0))="","",INDEX(corrientes,MATCH(D10,{"I1","I2","I3"},0))))</f>
        <v/>
      </c>
      <c r="F10" s="18" t="str">
        <f t="shared" si="2"/>
        <v/>
      </c>
      <c r="G10" s="19" t="str">
        <f>IF(OR(F10="",F10="—"),"",IF(INDEX(corrientes,MATCH(F10,{"I1","I2","I3"},0))="","",INDEX(corrientes,MATCH(F10,{"I1","I2","I3"},0))))</f>
        <v/>
      </c>
      <c r="H10" s="18" t="str">
        <f t="shared" si="3"/>
        <v/>
      </c>
      <c r="I10" s="19" t="str">
        <f>IF(OR(H10="",H10="—"),"",IF(INDEX(corrientes,MATCH(H10,{"I1","I2","I3"},0))="","",INDEX(corrientes,MATCH(H10,{"I1","I2","I3"},0))))</f>
        <v/>
      </c>
      <c r="M10" s="28">
        <f>MOD(ABS(SIN(semilla*12.9898+5*78.233+1*37.719))*43758.5453,1)</f>
        <v>0.45943149035883835</v>
      </c>
      <c r="N10" s="22" t="str">
        <f>"I"&amp;(MOD(5-1,3)+1)</f>
        <v>I2</v>
      </c>
      <c r="O10" s="22" t="str">
        <f t="shared" si="4"/>
        <v/>
      </c>
      <c r="P10" s="28">
        <f>MOD(ABS(SIN(semilla*12.9898+5*78.233+2*37.719))*43758.5453,1)</f>
        <v>0.49706031158711994</v>
      </c>
      <c r="Q10" s="22" t="str">
        <f>"I"&amp;(MOD(5-1,3)+1)</f>
        <v>I2</v>
      </c>
      <c r="R10" s="22" t="str">
        <f t="shared" si="5"/>
        <v/>
      </c>
      <c r="S10" s="28">
        <f>MOD(ABS(SIN(semilla*12.9898+5*78.233+3*37.719))*43758.5453,1)</f>
        <v>0.3825810714479303</v>
      </c>
      <c r="T10" s="22" t="str">
        <f>"I"&amp;(MOD(5-1,3)+1)</f>
        <v>I2</v>
      </c>
      <c r="U10" s="22" t="str">
        <f t="shared" si="6"/>
        <v/>
      </c>
      <c r="V10" s="28">
        <f>MOD(ABS(SIN(semilla*12.9898+5*78.233+4*37.719))*43758.5453,1)</f>
        <v>0.92064951823704178</v>
      </c>
      <c r="W10" s="22" t="str">
        <f>"I"&amp;(MOD(5-1,3)+1)</f>
        <v>I2</v>
      </c>
      <c r="X10" s="22" t="str">
        <f t="shared" si="7"/>
        <v/>
      </c>
    </row>
    <row r="11" spans="1:24" x14ac:dyDescent="0.3">
      <c r="A11" s="12" t="str">
        <f>IF(ISNUMBER(rpd),IF(6&lt;=3*rpd,6,""),"")</f>
        <v/>
      </c>
      <c r="B11" s="18" t="str">
        <f t="shared" si="0"/>
        <v/>
      </c>
      <c r="C11" s="19" t="str">
        <f>IF(OR(B11="",B11="—"),"",IF(INDEX(corrientes,MATCH(B11,{"I1","I2","I3"},0))="","",INDEX(corrientes,MATCH(B11,{"I1","I2","I3"},0))))</f>
        <v/>
      </c>
      <c r="D11" s="18" t="str">
        <f t="shared" si="1"/>
        <v/>
      </c>
      <c r="E11" s="19" t="str">
        <f>IF(OR(D11="",D11="—"),"",IF(INDEX(corrientes,MATCH(D11,{"I1","I2","I3"},0))="","",INDEX(corrientes,MATCH(D11,{"I1","I2","I3"},0))))</f>
        <v/>
      </c>
      <c r="F11" s="18" t="str">
        <f t="shared" si="2"/>
        <v/>
      </c>
      <c r="G11" s="19" t="str">
        <f>IF(OR(F11="",F11="—"),"",IF(INDEX(corrientes,MATCH(F11,{"I1","I2","I3"},0))="","",INDEX(corrientes,MATCH(F11,{"I1","I2","I3"},0))))</f>
        <v/>
      </c>
      <c r="H11" s="18" t="str">
        <f t="shared" si="3"/>
        <v/>
      </c>
      <c r="I11" s="19" t="str">
        <f>IF(OR(H11="",H11="—"),"",IF(INDEX(corrientes,MATCH(H11,{"I1","I2","I3"},0))="","",INDEX(corrientes,MATCH(H11,{"I1","I2","I3"},0))))</f>
        <v/>
      </c>
      <c r="M11" s="28">
        <f>MOD(ABS(SIN(semilla*12.9898+6*78.233+1*37.719))*43758.5453,1)</f>
        <v>0.6331823362634168</v>
      </c>
      <c r="N11" s="22" t="str">
        <f>"I"&amp;(MOD(6-1,3)+1)</f>
        <v>I3</v>
      </c>
      <c r="O11" s="22" t="str">
        <f t="shared" si="4"/>
        <v/>
      </c>
      <c r="P11" s="28">
        <f>MOD(ABS(SIN(semilla*12.9898+6*78.233+2*37.719))*43758.5453,1)</f>
        <v>0.35022231172843021</v>
      </c>
      <c r="Q11" s="22" t="str">
        <f>"I"&amp;(MOD(6-1,3)+1)</f>
        <v>I3</v>
      </c>
      <c r="R11" s="22" t="str">
        <f t="shared" si="5"/>
        <v/>
      </c>
      <c r="S11" s="28">
        <f>MOD(ABS(SIN(semilla*12.9898+6*78.233+3*37.719))*43758.5453,1)</f>
        <v>0.58529565344724688</v>
      </c>
      <c r="T11" s="22" t="str">
        <f>"I"&amp;(MOD(6-1,3)+1)</f>
        <v>I3</v>
      </c>
      <c r="U11" s="22" t="str">
        <f t="shared" si="6"/>
        <v/>
      </c>
      <c r="V11" s="28">
        <f>MOD(ABS(SIN(semilla*12.9898+6*78.233+4*37.719))*43758.5453,1)</f>
        <v>6.6583451938640792E-2</v>
      </c>
      <c r="W11" s="22" t="str">
        <f>"I"&amp;(MOD(6-1,3)+1)</f>
        <v>I3</v>
      </c>
      <c r="X11" s="22" t="str">
        <f t="shared" si="7"/>
        <v/>
      </c>
    </row>
    <row r="12" spans="1:24" x14ac:dyDescent="0.3">
      <c r="A12" s="12" t="str">
        <f>IF(ISNUMBER(rpd),IF(7&lt;=3*rpd,7,""),"")</f>
        <v/>
      </c>
      <c r="B12" s="18" t="str">
        <f t="shared" si="0"/>
        <v/>
      </c>
      <c r="C12" s="19" t="str">
        <f>IF(OR(B12="",B12="—"),"",IF(INDEX(corrientes,MATCH(B12,{"I1","I2","I3"},0))="","",INDEX(corrientes,MATCH(B12,{"I1","I2","I3"},0))))</f>
        <v/>
      </c>
      <c r="D12" s="18" t="str">
        <f t="shared" si="1"/>
        <v/>
      </c>
      <c r="E12" s="19" t="str">
        <f>IF(OR(D12="",D12="—"),"",IF(INDEX(corrientes,MATCH(D12,{"I1","I2","I3"},0))="","",INDEX(corrientes,MATCH(D12,{"I1","I2","I3"},0))))</f>
        <v/>
      </c>
      <c r="F12" s="18" t="str">
        <f t="shared" si="2"/>
        <v/>
      </c>
      <c r="G12" s="19" t="str">
        <f>IF(OR(F12="",F12="—"),"",IF(INDEX(corrientes,MATCH(F12,{"I1","I2","I3"},0))="","",INDEX(corrientes,MATCH(F12,{"I1","I2","I3"},0))))</f>
        <v/>
      </c>
      <c r="H12" s="18" t="str">
        <f t="shared" si="3"/>
        <v/>
      </c>
      <c r="I12" s="19" t="str">
        <f>IF(OR(H12="",H12="—"),"",IF(INDEX(corrientes,MATCH(H12,{"I1","I2","I3"},0))="","",INDEX(corrientes,MATCH(H12,{"I1","I2","I3"},0))))</f>
        <v/>
      </c>
      <c r="M12" s="28">
        <f>MOD(ABS(SIN(semilla*12.9898+7*78.233+1*37.719))*43758.5453,1)</f>
        <v>0.74475686212645087</v>
      </c>
      <c r="N12" s="22" t="str">
        <f>"I"&amp;(MOD(7-1,3)+1)</f>
        <v>I1</v>
      </c>
      <c r="O12" s="22" t="str">
        <f t="shared" si="4"/>
        <v/>
      </c>
      <c r="P12" s="28">
        <f>MOD(ABS(SIN(semilla*12.9898+7*78.233+2*37.719))*43758.5453,1)</f>
        <v>0.97435974466316111</v>
      </c>
      <c r="Q12" s="22" t="str">
        <f>"I"&amp;(MOD(7-1,3)+1)</f>
        <v>I1</v>
      </c>
      <c r="R12" s="22" t="str">
        <f t="shared" si="5"/>
        <v/>
      </c>
      <c r="S12" s="28">
        <f>MOD(ABS(SIN(semilla*12.9898+7*78.233+3*37.719))*43758.5453,1)</f>
        <v>0.37115425714000594</v>
      </c>
      <c r="T12" s="22" t="str">
        <f>"I"&amp;(MOD(7-1,3)+1)</f>
        <v>I1</v>
      </c>
      <c r="U12" s="22" t="str">
        <f t="shared" si="6"/>
        <v/>
      </c>
      <c r="V12" s="28">
        <f>MOD(ABS(SIN(semilla*12.9898+7*78.233+4*37.719))*43758.5453,1)</f>
        <v>0.61223474836515379</v>
      </c>
      <c r="W12" s="22" t="str">
        <f>"I"&amp;(MOD(7-1,3)+1)</f>
        <v>I1</v>
      </c>
      <c r="X12" s="22" t="str">
        <f t="shared" si="7"/>
        <v/>
      </c>
    </row>
    <row r="13" spans="1:24" x14ac:dyDescent="0.3">
      <c r="A13" s="12" t="str">
        <f>IF(ISNUMBER(rpd),IF(8&lt;=3*rpd,8,""),"")</f>
        <v/>
      </c>
      <c r="B13" s="18" t="str">
        <f t="shared" si="0"/>
        <v/>
      </c>
      <c r="C13" s="19" t="str">
        <f>IF(OR(B13="",B13="—"),"",IF(INDEX(corrientes,MATCH(B13,{"I1","I2","I3"},0))="","",INDEX(corrientes,MATCH(B13,{"I1","I2","I3"},0))))</f>
        <v/>
      </c>
      <c r="D13" s="18" t="str">
        <f t="shared" si="1"/>
        <v/>
      </c>
      <c r="E13" s="19" t="str">
        <f>IF(OR(D13="",D13="—"),"",IF(INDEX(corrientes,MATCH(D13,{"I1","I2","I3"},0))="","",INDEX(corrientes,MATCH(D13,{"I1","I2","I3"},0))))</f>
        <v/>
      </c>
      <c r="F13" s="18" t="str">
        <f t="shared" si="2"/>
        <v/>
      </c>
      <c r="G13" s="19" t="str">
        <f>IF(OR(F13="",F13="—"),"",IF(INDEX(corrientes,MATCH(F13,{"I1","I2","I3"},0))="","",INDEX(corrientes,MATCH(F13,{"I1","I2","I3"},0))))</f>
        <v/>
      </c>
      <c r="H13" s="18" t="str">
        <f t="shared" si="3"/>
        <v/>
      </c>
      <c r="I13" s="19" t="str">
        <f>IF(OR(H13="",H13="—"),"",IF(INDEX(corrientes,MATCH(H13,{"I1","I2","I3"},0))="","",INDEX(corrientes,MATCH(H13,{"I1","I2","I3"},0))))</f>
        <v/>
      </c>
      <c r="M13" s="28">
        <f>MOD(ABS(SIN(semilla*12.9898+8*78.233+1*37.719))*43758.5453,1)</f>
        <v>0.28364008197343082</v>
      </c>
      <c r="N13" s="22" t="str">
        <f>"I"&amp;(MOD(8-1,3)+1)</f>
        <v>I2</v>
      </c>
      <c r="O13" s="22" t="str">
        <f t="shared" si="4"/>
        <v/>
      </c>
      <c r="P13" s="28">
        <f>MOD(ABS(SIN(semilla*12.9898+8*78.233+2*37.719))*43758.5453,1)</f>
        <v>0.22947055883264511</v>
      </c>
      <c r="Q13" s="22" t="str">
        <f>"I"&amp;(MOD(8-1,3)+1)</f>
        <v>I2</v>
      </c>
      <c r="R13" s="22" t="str">
        <f t="shared" si="5"/>
        <v/>
      </c>
      <c r="S13" s="28">
        <f>MOD(ABS(SIN(semilla*12.9898+8*78.233+3*37.719))*43758.5453,1)</f>
        <v>0.53643587239639601</v>
      </c>
      <c r="T13" s="22" t="str">
        <f>"I"&amp;(MOD(8-1,3)+1)</f>
        <v>I2</v>
      </c>
      <c r="U13" s="22" t="str">
        <f t="shared" si="6"/>
        <v/>
      </c>
      <c r="V13" s="28">
        <f>MOD(ABS(SIN(semilla*12.9898+8*78.233+4*37.719))*43758.5453,1)</f>
        <v>0.86070305308021489</v>
      </c>
      <c r="W13" s="22" t="str">
        <f>"I"&amp;(MOD(8-1,3)+1)</f>
        <v>I2</v>
      </c>
      <c r="X13" s="22" t="str">
        <f t="shared" si="7"/>
        <v/>
      </c>
    </row>
    <row r="14" spans="1:24" x14ac:dyDescent="0.3">
      <c r="A14" s="12" t="str">
        <f>IF(ISNUMBER(rpd),IF(9&lt;=3*rpd,9,""),"")</f>
        <v/>
      </c>
      <c r="B14" s="18" t="str">
        <f t="shared" si="0"/>
        <v/>
      </c>
      <c r="C14" s="19" t="str">
        <f>IF(OR(B14="",B14="—"),"",IF(INDEX(corrientes,MATCH(B14,{"I1","I2","I3"},0))="","",INDEX(corrientes,MATCH(B14,{"I1","I2","I3"},0))))</f>
        <v/>
      </c>
      <c r="D14" s="18" t="str">
        <f t="shared" si="1"/>
        <v/>
      </c>
      <c r="E14" s="19" t="str">
        <f>IF(OR(D14="",D14="—"),"",IF(INDEX(corrientes,MATCH(D14,{"I1","I2","I3"},0))="","",INDEX(corrientes,MATCH(D14,{"I1","I2","I3"},0))))</f>
        <v/>
      </c>
      <c r="F14" s="18" t="str">
        <f t="shared" si="2"/>
        <v/>
      </c>
      <c r="G14" s="19" t="str">
        <f>IF(OR(F14="",F14="—"),"",IF(INDEX(corrientes,MATCH(F14,{"I1","I2","I3"},0))="","",INDEX(corrientes,MATCH(F14,{"I1","I2","I3"},0))))</f>
        <v/>
      </c>
      <c r="H14" s="18" t="str">
        <f t="shared" si="3"/>
        <v/>
      </c>
      <c r="I14" s="19" t="str">
        <f>IF(OR(H14="",H14="—"),"",IF(INDEX(corrientes,MATCH(H14,{"I1","I2","I3"},0))="","",INDEX(corrientes,MATCH(H14,{"I1","I2","I3"},0))))</f>
        <v/>
      </c>
      <c r="M14" s="28">
        <f>MOD(ABS(SIN(semilla*12.9898+9*78.233+1*37.719))*43758.5453,1)</f>
        <v>0.7870506252074847</v>
      </c>
      <c r="N14" s="22" t="str">
        <f>"I"&amp;(MOD(9-1,3)+1)</f>
        <v>I3</v>
      </c>
      <c r="O14" s="22" t="str">
        <f t="shared" si="4"/>
        <v/>
      </c>
      <c r="P14" s="28">
        <f>MOD(ABS(SIN(semilla*12.9898+9*78.233+2*37.719))*43758.5453,1)</f>
        <v>0.37802877044487104</v>
      </c>
      <c r="Q14" s="22" t="str">
        <f>"I"&amp;(MOD(9-1,3)+1)</f>
        <v>I3</v>
      </c>
      <c r="R14" s="22" t="str">
        <f t="shared" si="5"/>
        <v/>
      </c>
      <c r="S14" s="28">
        <f>MOD(ABS(SIN(semilla*12.9898+9*78.233+3*37.719))*43758.5453,1)</f>
        <v>0.35425879571994301</v>
      </c>
      <c r="T14" s="22" t="str">
        <f>"I"&amp;(MOD(9-1,3)+1)</f>
        <v>I3</v>
      </c>
      <c r="U14" s="22" t="str">
        <f t="shared" si="6"/>
        <v/>
      </c>
      <c r="V14" s="28">
        <f>MOD(ABS(SIN(semilla*12.9898+9*78.233+4*37.719))*43758.5453,1)</f>
        <v>4.838695184662356E-2</v>
      </c>
      <c r="W14" s="22" t="str">
        <f>"I"&amp;(MOD(9-1,3)+1)</f>
        <v>I3</v>
      </c>
      <c r="X14" s="22" t="str">
        <f t="shared" si="7"/>
        <v/>
      </c>
    </row>
    <row r="15" spans="1:24" x14ac:dyDescent="0.3">
      <c r="A15" s="12" t="str">
        <f>IF(ISNUMBER(rpd),IF(10&lt;=3*rpd,10,""),"")</f>
        <v/>
      </c>
      <c r="B15" s="18" t="str">
        <f t="shared" si="0"/>
        <v/>
      </c>
      <c r="C15" s="19" t="str">
        <f>IF(OR(B15="",B15="—"),"",IF(INDEX(corrientes,MATCH(B15,{"I1","I2","I3"},0))="","",INDEX(corrientes,MATCH(B15,{"I1","I2","I3"},0))))</f>
        <v/>
      </c>
      <c r="D15" s="18" t="str">
        <f t="shared" si="1"/>
        <v/>
      </c>
      <c r="E15" s="19" t="str">
        <f>IF(OR(D15="",D15="—"),"",IF(INDEX(corrientes,MATCH(D15,{"I1","I2","I3"},0))="","",INDEX(corrientes,MATCH(D15,{"I1","I2","I3"},0))))</f>
        <v/>
      </c>
      <c r="F15" s="18" t="str">
        <f t="shared" si="2"/>
        <v/>
      </c>
      <c r="G15" s="19" t="str">
        <f>IF(OR(F15="",F15="—"),"",IF(INDEX(corrientes,MATCH(F15,{"I1","I2","I3"},0))="","",INDEX(corrientes,MATCH(F15,{"I1","I2","I3"},0))))</f>
        <v/>
      </c>
      <c r="H15" s="18" t="str">
        <f t="shared" si="3"/>
        <v/>
      </c>
      <c r="I15" s="19" t="str">
        <f>IF(OR(H15="",H15="—"),"",IF(INDEX(corrientes,MATCH(H15,{"I1","I2","I3"},0))="","",INDEX(corrientes,MATCH(H15,{"I1","I2","I3"},0))))</f>
        <v/>
      </c>
      <c r="M15" s="28">
        <f>MOD(ABS(SIN(semilla*12.9898+10*78.233+1*37.719))*43758.5453,1)</f>
        <v>2.6560221194813494E-3</v>
      </c>
      <c r="N15" s="22" t="str">
        <f>"I"&amp;(MOD(10-1,3)+1)</f>
        <v>I1</v>
      </c>
      <c r="O15" s="22" t="str">
        <f t="shared" si="4"/>
        <v/>
      </c>
      <c r="P15" s="28">
        <f>MOD(ABS(SIN(semilla*12.9898+10*78.233+2*37.719))*43758.5453,1)</f>
        <v>0.25113739322478068</v>
      </c>
      <c r="Q15" s="22" t="str">
        <f>"I"&amp;(MOD(10-1,3)+1)</f>
        <v>I1</v>
      </c>
      <c r="R15" s="22" t="str">
        <f t="shared" si="5"/>
        <v/>
      </c>
      <c r="S15" s="28">
        <f>MOD(ABS(SIN(semilla*12.9898+10*78.233+3*37.719))*43758.5453,1)</f>
        <v>6.2275342897919472E-2</v>
      </c>
      <c r="T15" s="22" t="str">
        <f>"I"&amp;(MOD(10-1,3)+1)</f>
        <v>I1</v>
      </c>
      <c r="U15" s="22" t="str">
        <f t="shared" si="6"/>
        <v/>
      </c>
      <c r="V15" s="28">
        <f>MOD(ABS(SIN(semilla*12.9898+10*78.233+4*37.719))*43758.5453,1)</f>
        <v>0.72646020679167123</v>
      </c>
      <c r="W15" s="22" t="str">
        <f>"I"&amp;(MOD(10-1,3)+1)</f>
        <v>I1</v>
      </c>
      <c r="X15" s="22" t="str">
        <f t="shared" si="7"/>
        <v/>
      </c>
    </row>
    <row r="16" spans="1:24" x14ac:dyDescent="0.3">
      <c r="A16" s="12" t="str">
        <f>IF(ISNUMBER(rpd),IF(11&lt;=3*rpd,11,""),"")</f>
        <v/>
      </c>
      <c r="B16" s="18" t="str">
        <f t="shared" si="0"/>
        <v/>
      </c>
      <c r="C16" s="19" t="str">
        <f>IF(OR(B16="",B16="—"),"",IF(INDEX(corrientes,MATCH(B16,{"I1","I2","I3"},0))="","",INDEX(corrientes,MATCH(B16,{"I1","I2","I3"},0))))</f>
        <v/>
      </c>
      <c r="D16" s="18" t="str">
        <f t="shared" si="1"/>
        <v/>
      </c>
      <c r="E16" s="19" t="str">
        <f>IF(OR(D16="",D16="—"),"",IF(INDEX(corrientes,MATCH(D16,{"I1","I2","I3"},0))="","",INDEX(corrientes,MATCH(D16,{"I1","I2","I3"},0))))</f>
        <v/>
      </c>
      <c r="F16" s="18" t="str">
        <f t="shared" si="2"/>
        <v/>
      </c>
      <c r="G16" s="19" t="str">
        <f>IF(OR(F16="",F16="—"),"",IF(INDEX(corrientes,MATCH(F16,{"I1","I2","I3"},0))="","",INDEX(corrientes,MATCH(F16,{"I1","I2","I3"},0))))</f>
        <v/>
      </c>
      <c r="H16" s="18" t="str">
        <f t="shared" si="3"/>
        <v/>
      </c>
      <c r="I16" s="19" t="str">
        <f>IF(OR(H16="",H16="—"),"",IF(INDEX(corrientes,MATCH(H16,{"I1","I2","I3"},0))="","",INDEX(corrientes,MATCH(H16,{"I1","I2","I3"},0))))</f>
        <v/>
      </c>
      <c r="M16" s="28">
        <f>MOD(ABS(SIN(semilla*12.9898+11*78.233+1*37.719))*43758.5453,1)</f>
        <v>0.97631024422298651</v>
      </c>
      <c r="N16" s="22" t="str">
        <f>"I"&amp;(MOD(11-1,3)+1)</f>
        <v>I2</v>
      </c>
      <c r="O16" s="22" t="str">
        <f t="shared" si="4"/>
        <v/>
      </c>
      <c r="P16" s="28">
        <f>MOD(ABS(SIN(semilla*12.9898+11*78.233+2*37.719))*43758.5453,1)</f>
        <v>0.57416636701236712</v>
      </c>
      <c r="Q16" s="22" t="str">
        <f>"I"&amp;(MOD(11-1,3)+1)</f>
        <v>I2</v>
      </c>
      <c r="R16" s="22" t="str">
        <f t="shared" si="5"/>
        <v/>
      </c>
      <c r="S16" s="28">
        <f>MOD(ABS(SIN(semilla*12.9898+11*78.233+3*37.719))*43758.5453,1)</f>
        <v>0.79353268010163447</v>
      </c>
      <c r="T16" s="22" t="str">
        <f>"I"&amp;(MOD(11-1,3)+1)</f>
        <v>I2</v>
      </c>
      <c r="U16" s="22" t="str">
        <f t="shared" si="6"/>
        <v/>
      </c>
      <c r="V16" s="28">
        <f>MOD(ABS(SIN(semilla*12.9898+11*78.233+4*37.719))*43758.5453,1)</f>
        <v>0.85542111467657378</v>
      </c>
      <c r="W16" s="22" t="str">
        <f>"I"&amp;(MOD(11-1,3)+1)</f>
        <v>I2</v>
      </c>
      <c r="X16" s="22" t="str">
        <f t="shared" si="7"/>
        <v/>
      </c>
    </row>
    <row r="17" spans="1:24" x14ac:dyDescent="0.3">
      <c r="A17" s="12" t="str">
        <f>IF(ISNUMBER(rpd),IF(12&lt;=3*rpd,12,""),"")</f>
        <v/>
      </c>
      <c r="B17" s="18" t="str">
        <f t="shared" si="0"/>
        <v/>
      </c>
      <c r="C17" s="19" t="str">
        <f>IF(OR(B17="",B17="—"),"",IF(INDEX(corrientes,MATCH(B17,{"I1","I2","I3"},0))="","",INDEX(corrientes,MATCH(B17,{"I1","I2","I3"},0))))</f>
        <v/>
      </c>
      <c r="D17" s="18" t="str">
        <f t="shared" si="1"/>
        <v/>
      </c>
      <c r="E17" s="19" t="str">
        <f>IF(OR(D17="",D17="—"),"",IF(INDEX(corrientes,MATCH(D17,{"I1","I2","I3"},0))="","",INDEX(corrientes,MATCH(D17,{"I1","I2","I3"},0))))</f>
        <v/>
      </c>
      <c r="F17" s="18" t="str">
        <f t="shared" si="2"/>
        <v/>
      </c>
      <c r="G17" s="19" t="str">
        <f>IF(OR(F17="",F17="—"),"",IF(INDEX(corrientes,MATCH(F17,{"I1","I2","I3"},0))="","",INDEX(corrientes,MATCH(F17,{"I1","I2","I3"},0))))</f>
        <v/>
      </c>
      <c r="H17" s="18" t="str">
        <f t="shared" si="3"/>
        <v/>
      </c>
      <c r="I17" s="19" t="str">
        <f>IF(OR(H17="",H17="—"),"",IF(INDEX(corrientes,MATCH(H17,{"I1","I2","I3"},0))="","",INDEX(corrientes,MATCH(H17,{"I1","I2","I3"},0))))</f>
        <v/>
      </c>
      <c r="M17" s="28">
        <f>MOD(ABS(SIN(semilla*12.9898+12*78.233+1*37.719))*43758.5453,1)</f>
        <v>0.79039813677081838</v>
      </c>
      <c r="N17" s="22" t="str">
        <f>"I"&amp;(MOD(12-1,3)+1)</f>
        <v>I3</v>
      </c>
      <c r="O17" s="22" t="str">
        <f t="shared" si="4"/>
        <v/>
      </c>
      <c r="P17" s="28">
        <f>MOD(ABS(SIN(semilla*12.9898+12*78.233+2*37.719))*43758.5453,1)</f>
        <v>0.67824921592546161</v>
      </c>
      <c r="Q17" s="22" t="str">
        <f>"I"&amp;(MOD(12-1,3)+1)</f>
        <v>I3</v>
      </c>
      <c r="R17" s="22" t="str">
        <f t="shared" si="5"/>
        <v/>
      </c>
      <c r="S17" s="28">
        <f>MOD(ABS(SIN(semilla*12.9898+12*78.233+3*37.719))*43758.5453,1)</f>
        <v>0.49601651628472609</v>
      </c>
      <c r="T17" s="22" t="str">
        <f>"I"&amp;(MOD(12-1,3)+1)</f>
        <v>I3</v>
      </c>
      <c r="U17" s="22" t="str">
        <f t="shared" si="6"/>
        <v/>
      </c>
      <c r="V17" s="28">
        <f>MOD(ABS(SIN(semilla*12.9898+12*78.233+4*37.719))*43758.5453,1)</f>
        <v>0.37469102591421688</v>
      </c>
      <c r="W17" s="22" t="str">
        <f>"I"&amp;(MOD(12-1,3)+1)</f>
        <v>I3</v>
      </c>
      <c r="X17" s="22" t="str">
        <f t="shared" si="7"/>
        <v/>
      </c>
    </row>
    <row r="18" spans="1:24" x14ac:dyDescent="0.3">
      <c r="A18" s="12" t="str">
        <f>IF(ISNUMBER(rpd),IF(13&lt;=3*rpd,13,""),"")</f>
        <v/>
      </c>
      <c r="B18" s="18" t="str">
        <f t="shared" si="0"/>
        <v/>
      </c>
      <c r="C18" s="19" t="str">
        <f>IF(OR(B18="",B18="—"),"",IF(INDEX(corrientes,MATCH(B18,{"I1","I2","I3"},0))="","",INDEX(corrientes,MATCH(B18,{"I1","I2","I3"},0))))</f>
        <v/>
      </c>
      <c r="D18" s="18" t="str">
        <f t="shared" si="1"/>
        <v/>
      </c>
      <c r="E18" s="19" t="str">
        <f>IF(OR(D18="",D18="—"),"",IF(INDEX(corrientes,MATCH(D18,{"I1","I2","I3"},0))="","",INDEX(corrientes,MATCH(D18,{"I1","I2","I3"},0))))</f>
        <v/>
      </c>
      <c r="F18" s="18" t="str">
        <f t="shared" si="2"/>
        <v/>
      </c>
      <c r="G18" s="19" t="str">
        <f>IF(OR(F18="",F18="—"),"",IF(INDEX(corrientes,MATCH(F18,{"I1","I2","I3"},0))="","",INDEX(corrientes,MATCH(F18,{"I1","I2","I3"},0))))</f>
        <v/>
      </c>
      <c r="H18" s="18" t="str">
        <f t="shared" si="3"/>
        <v/>
      </c>
      <c r="I18" s="19" t="str">
        <f>IF(OR(H18="",H18="—"),"",IF(INDEX(corrientes,MATCH(H18,{"I1","I2","I3"},0))="","",INDEX(corrientes,MATCH(H18,{"I1","I2","I3"},0))))</f>
        <v/>
      </c>
      <c r="M18" s="28">
        <f>MOD(ABS(SIN(semilla*12.9898+13*78.233+1*37.719))*43758.5453,1)</f>
        <v>0.35656099478364922</v>
      </c>
      <c r="N18" s="22" t="str">
        <f>"I"&amp;(MOD(13-1,3)+1)</f>
        <v>I1</v>
      </c>
      <c r="O18" s="22" t="str">
        <f t="shared" si="4"/>
        <v/>
      </c>
      <c r="P18" s="28">
        <f>MOD(ABS(SIN(semilla*12.9898+13*78.233+2*37.719))*43758.5453,1)</f>
        <v>0.96591638585960027</v>
      </c>
      <c r="Q18" s="22" t="str">
        <f>"I"&amp;(MOD(13-1,3)+1)</f>
        <v>I1</v>
      </c>
      <c r="R18" s="22" t="str">
        <f t="shared" si="5"/>
        <v/>
      </c>
      <c r="S18" s="28">
        <f>MOD(ABS(SIN(semilla*12.9898+13*78.233+3*37.719))*43758.5453,1)</f>
        <v>0.31454162087175064</v>
      </c>
      <c r="T18" s="22" t="str">
        <f>"I"&amp;(MOD(13-1,3)+1)</f>
        <v>I1</v>
      </c>
      <c r="U18" s="22" t="str">
        <f t="shared" si="6"/>
        <v/>
      </c>
      <c r="V18" s="28">
        <f>MOD(ABS(SIN(semilla*12.9898+13*78.233+4*37.719))*43758.5453,1)</f>
        <v>0.43117217208055081</v>
      </c>
      <c r="W18" s="22" t="str">
        <f>"I"&amp;(MOD(13-1,3)+1)</f>
        <v>I1</v>
      </c>
      <c r="X18" s="22" t="str">
        <f t="shared" si="7"/>
        <v/>
      </c>
    </row>
    <row r="19" spans="1:24" x14ac:dyDescent="0.3">
      <c r="A19" s="12" t="str">
        <f>IF(ISNUMBER(rpd),IF(14&lt;=3*rpd,14,""),"")</f>
        <v/>
      </c>
      <c r="B19" s="18" t="str">
        <f t="shared" si="0"/>
        <v/>
      </c>
      <c r="C19" s="19" t="str">
        <f>IF(OR(B19="",B19="—"),"",IF(INDEX(corrientes,MATCH(B19,{"I1","I2","I3"},0))="","",INDEX(corrientes,MATCH(B19,{"I1","I2","I3"},0))))</f>
        <v/>
      </c>
      <c r="D19" s="18" t="str">
        <f t="shared" si="1"/>
        <v/>
      </c>
      <c r="E19" s="19" t="str">
        <f>IF(OR(D19="",D19="—"),"",IF(INDEX(corrientes,MATCH(D19,{"I1","I2","I3"},0))="","",INDEX(corrientes,MATCH(D19,{"I1","I2","I3"},0))))</f>
        <v/>
      </c>
      <c r="F19" s="18" t="str">
        <f t="shared" si="2"/>
        <v/>
      </c>
      <c r="G19" s="19" t="str">
        <f>IF(OR(F19="",F19="—"),"",IF(INDEX(corrientes,MATCH(F19,{"I1","I2","I3"},0))="","",INDEX(corrientes,MATCH(F19,{"I1","I2","I3"},0))))</f>
        <v/>
      </c>
      <c r="H19" s="18" t="str">
        <f t="shared" si="3"/>
        <v/>
      </c>
      <c r="I19" s="19" t="str">
        <f>IF(OR(H19="",H19="—"),"",IF(INDEX(corrientes,MATCH(H19,{"I1","I2","I3"},0))="","",INDEX(corrientes,MATCH(H19,{"I1","I2","I3"},0))))</f>
        <v/>
      </c>
      <c r="M19" s="28">
        <f>MOD(ABS(SIN(semilla*12.9898+14*78.233+1*37.719))*43758.5453,1)</f>
        <v>0.77161678467382444</v>
      </c>
      <c r="N19" s="22" t="str">
        <f>"I"&amp;(MOD(14-1,3)+1)</f>
        <v>I2</v>
      </c>
      <c r="O19" s="22" t="str">
        <f t="shared" si="4"/>
        <v/>
      </c>
      <c r="P19" s="28">
        <f>MOD(ABS(SIN(semilla*12.9898+14*78.233+2*37.719))*43758.5453,1)</f>
        <v>0.27596878429176286</v>
      </c>
      <c r="Q19" s="22" t="str">
        <f>"I"&amp;(MOD(14-1,3)+1)</f>
        <v>I2</v>
      </c>
      <c r="R19" s="22" t="str">
        <f t="shared" si="5"/>
        <v/>
      </c>
      <c r="S19" s="28">
        <f>MOD(ABS(SIN(semilla*12.9898+14*78.233+3*37.719))*43758.5453,1)</f>
        <v>0.94109834497066913</v>
      </c>
      <c r="T19" s="22" t="str">
        <f>"I"&amp;(MOD(14-1,3)+1)</f>
        <v>I2</v>
      </c>
      <c r="U19" s="22" t="str">
        <f t="shared" si="6"/>
        <v/>
      </c>
      <c r="V19" s="28">
        <f>MOD(ABS(SIN(semilla*12.9898+14*78.233+4*37.719))*43758.5453,1)</f>
        <v>0.69080152688547969</v>
      </c>
      <c r="W19" s="22" t="str">
        <f>"I"&amp;(MOD(14-1,3)+1)</f>
        <v>I2</v>
      </c>
      <c r="X19" s="22" t="str">
        <f t="shared" si="7"/>
        <v/>
      </c>
    </row>
    <row r="20" spans="1:24" x14ac:dyDescent="0.3">
      <c r="A20" s="12" t="str">
        <f>IF(ISNUMBER(rpd),IF(15&lt;=3*rpd,15,""),"")</f>
        <v/>
      </c>
      <c r="B20" s="18" t="str">
        <f t="shared" si="0"/>
        <v/>
      </c>
      <c r="C20" s="19" t="str">
        <f>IF(OR(B20="",B20="—"),"",IF(INDEX(corrientes,MATCH(B20,{"I1","I2","I3"},0))="","",INDEX(corrientes,MATCH(B20,{"I1","I2","I3"},0))))</f>
        <v/>
      </c>
      <c r="D20" s="18" t="str">
        <f t="shared" si="1"/>
        <v/>
      </c>
      <c r="E20" s="19" t="str">
        <f>IF(OR(D20="",D20="—"),"",IF(INDEX(corrientes,MATCH(D20,{"I1","I2","I3"},0))="","",INDEX(corrientes,MATCH(D20,{"I1","I2","I3"},0))))</f>
        <v/>
      </c>
      <c r="F20" s="18" t="str">
        <f t="shared" si="2"/>
        <v/>
      </c>
      <c r="G20" s="19" t="str">
        <f>IF(OR(F20="",F20="—"),"",IF(INDEX(corrientes,MATCH(F20,{"I1","I2","I3"},0))="","",INDEX(corrientes,MATCH(F20,{"I1","I2","I3"},0))))</f>
        <v/>
      </c>
      <c r="H20" s="18" t="str">
        <f t="shared" si="3"/>
        <v/>
      </c>
      <c r="I20" s="19" t="str">
        <f>IF(OR(H20="",H20="—"),"",IF(INDEX(corrientes,MATCH(H20,{"I1","I2","I3"},0))="","",INDEX(corrientes,MATCH(H20,{"I1","I2","I3"},0))))</f>
        <v/>
      </c>
      <c r="M20" s="28">
        <f>MOD(ABS(SIN(semilla*12.9898+15*78.233+1*37.719))*43758.5453,1)</f>
        <v>0.31234559245785931</v>
      </c>
      <c r="N20" s="22" t="str">
        <f>"I"&amp;(MOD(15-1,3)+1)</f>
        <v>I3</v>
      </c>
      <c r="O20" s="22" t="str">
        <f t="shared" si="4"/>
        <v/>
      </c>
      <c r="P20" s="28">
        <f>MOD(ABS(SIN(semilla*12.9898+15*78.233+2*37.719))*43758.5453,1)</f>
        <v>0.14396468901395565</v>
      </c>
      <c r="Q20" s="22" t="str">
        <f>"I"&amp;(MOD(15-1,3)+1)</f>
        <v>I3</v>
      </c>
      <c r="R20" s="22" t="str">
        <f t="shared" si="5"/>
        <v/>
      </c>
      <c r="S20" s="28">
        <f>MOD(ABS(SIN(semilla*12.9898+15*78.233+3*37.719))*43758.5453,1)</f>
        <v>0.13065429100970505</v>
      </c>
      <c r="T20" s="22" t="str">
        <f>"I"&amp;(MOD(15-1,3)+1)</f>
        <v>I3</v>
      </c>
      <c r="U20" s="22" t="str">
        <f t="shared" si="6"/>
        <v/>
      </c>
      <c r="V20" s="28">
        <f>MOD(ABS(SIN(semilla*12.9898+15*78.233+4*37.719))*43758.5453,1)</f>
        <v>9.8388502898160368E-2</v>
      </c>
      <c r="W20" s="22" t="str">
        <f>"I"&amp;(MOD(15-1,3)+1)</f>
        <v>I3</v>
      </c>
      <c r="X20" s="22" t="str">
        <f t="shared" si="7"/>
        <v/>
      </c>
    </row>
    <row r="21" spans="1:24" x14ac:dyDescent="0.3">
      <c r="A21" s="12" t="str">
        <f>IF(ISNUMBER(rpd),IF(16&lt;=3*rpd,16,""),"")</f>
        <v/>
      </c>
      <c r="B21" s="18" t="str">
        <f t="shared" si="0"/>
        <v/>
      </c>
      <c r="C21" s="19" t="str">
        <f>IF(OR(B21="",B21="—"),"",IF(INDEX(corrientes,MATCH(B21,{"I1","I2","I3"},0))="","",INDEX(corrientes,MATCH(B21,{"I1","I2","I3"},0))))</f>
        <v/>
      </c>
      <c r="D21" s="18" t="str">
        <f t="shared" si="1"/>
        <v/>
      </c>
      <c r="E21" s="19" t="str">
        <f>IF(OR(D21="",D21="—"),"",IF(INDEX(corrientes,MATCH(D21,{"I1","I2","I3"},0))="","",INDEX(corrientes,MATCH(D21,{"I1","I2","I3"},0))))</f>
        <v/>
      </c>
      <c r="F21" s="18" t="str">
        <f t="shared" si="2"/>
        <v/>
      </c>
      <c r="G21" s="19" t="str">
        <f>IF(OR(F21="",F21="—"),"",IF(INDEX(corrientes,MATCH(F21,{"I1","I2","I3"},0))="","",INDEX(corrientes,MATCH(F21,{"I1","I2","I3"},0))))</f>
        <v/>
      </c>
      <c r="H21" s="18" t="str">
        <f t="shared" si="3"/>
        <v/>
      </c>
      <c r="I21" s="19" t="str">
        <f>IF(OR(H21="",H21="—"),"",IF(INDEX(corrientes,MATCH(H21,{"I1","I2","I3"},0))="","",INDEX(corrientes,MATCH(H21,{"I1","I2","I3"},0))))</f>
        <v/>
      </c>
      <c r="M21" s="28">
        <f>MOD(ABS(SIN(semilla*12.9898+16*78.233+1*37.719))*43758.5453,1)</f>
        <v>0.82802469962189207</v>
      </c>
      <c r="N21" s="22" t="str">
        <f>"I"&amp;(MOD(16-1,3)+1)</f>
        <v>I1</v>
      </c>
      <c r="O21" s="22" t="str">
        <f t="shared" si="4"/>
        <v/>
      </c>
      <c r="P21" s="28">
        <f>MOD(ABS(SIN(semilla*12.9898+16*78.233+2*37.719))*43758.5453,1)</f>
        <v>0.50558766111134901</v>
      </c>
      <c r="Q21" s="22" t="str">
        <f>"I"&amp;(MOD(16-1,3)+1)</f>
        <v>I1</v>
      </c>
      <c r="R21" s="22" t="str">
        <f t="shared" si="5"/>
        <v/>
      </c>
      <c r="S21" s="28">
        <f>MOD(ABS(SIN(semilla*12.9898+16*78.233+3*37.719))*43758.5453,1)</f>
        <v>0.71903211938843015</v>
      </c>
      <c r="T21" s="22" t="str">
        <f>"I"&amp;(MOD(16-1,3)+1)</f>
        <v>I1</v>
      </c>
      <c r="U21" s="22" t="str">
        <f t="shared" si="6"/>
        <v/>
      </c>
      <c r="V21" s="28">
        <f>MOD(ABS(SIN(semilla*12.9898+16*78.233+4*37.719))*43758.5453,1)</f>
        <v>0.21276426097756485</v>
      </c>
      <c r="W21" s="22" t="str">
        <f>"I"&amp;(MOD(16-1,3)+1)</f>
        <v>I1</v>
      </c>
      <c r="X21" s="22" t="str">
        <f t="shared" si="7"/>
        <v/>
      </c>
    </row>
    <row r="22" spans="1:24" x14ac:dyDescent="0.3">
      <c r="A22" s="12" t="str">
        <f>IF(ISNUMBER(rpd),IF(17&lt;=3*rpd,17,""),"")</f>
        <v/>
      </c>
      <c r="B22" s="18" t="str">
        <f t="shared" si="0"/>
        <v/>
      </c>
      <c r="C22" s="19" t="str">
        <f>IF(OR(B22="",B22="—"),"",IF(INDEX(corrientes,MATCH(B22,{"I1","I2","I3"},0))="","",INDEX(corrientes,MATCH(B22,{"I1","I2","I3"},0))))</f>
        <v/>
      </c>
      <c r="D22" s="18" t="str">
        <f t="shared" si="1"/>
        <v/>
      </c>
      <c r="E22" s="19" t="str">
        <f>IF(OR(D22="",D22="—"),"",IF(INDEX(corrientes,MATCH(D22,{"I1","I2","I3"},0))="","",INDEX(corrientes,MATCH(D22,{"I1","I2","I3"},0))))</f>
        <v/>
      </c>
      <c r="F22" s="18" t="str">
        <f t="shared" si="2"/>
        <v/>
      </c>
      <c r="G22" s="19" t="str">
        <f>IF(OR(F22="",F22="—"),"",IF(INDEX(corrientes,MATCH(F22,{"I1","I2","I3"},0))="","",INDEX(corrientes,MATCH(F22,{"I1","I2","I3"},0))))</f>
        <v/>
      </c>
      <c r="H22" s="18" t="str">
        <f t="shared" si="3"/>
        <v/>
      </c>
      <c r="I22" s="19" t="str">
        <f>IF(OR(H22="",H22="—"),"",IF(INDEX(corrientes,MATCH(H22,{"I1","I2","I3"},0))="","",INDEX(corrientes,MATCH(H22,{"I1","I2","I3"},0))))</f>
        <v/>
      </c>
      <c r="M22" s="28">
        <f>MOD(ABS(SIN(semilla*12.9898+17*78.233+1*37.719))*43758.5453,1)</f>
        <v>0.61485178664588602</v>
      </c>
      <c r="N22" s="22" t="str">
        <f>"I"&amp;(MOD(17-1,3)+1)</f>
        <v>I2</v>
      </c>
      <c r="O22" s="22" t="str">
        <f t="shared" si="4"/>
        <v/>
      </c>
      <c r="P22" s="28">
        <f>MOD(ABS(SIN(semilla*12.9898+17*78.233+2*37.719))*43758.5453,1)</f>
        <v>0.7112019213163876</v>
      </c>
      <c r="Q22" s="22" t="str">
        <f>"I"&amp;(MOD(17-1,3)+1)</f>
        <v>I2</v>
      </c>
      <c r="R22" s="22" t="str">
        <f t="shared" si="5"/>
        <v/>
      </c>
      <c r="S22" s="28">
        <f>MOD(ABS(SIN(semilla*12.9898+17*78.233+3*37.719))*43758.5453,1)</f>
        <v>0.79499447280250024</v>
      </c>
      <c r="T22" s="22" t="str">
        <f>"I"&amp;(MOD(17-1,3)+1)</f>
        <v>I2</v>
      </c>
      <c r="U22" s="22" t="str">
        <f t="shared" si="6"/>
        <v/>
      </c>
      <c r="V22" s="28">
        <f>MOD(ABS(SIN(semilla*12.9898+17*78.233+4*37.719))*43758.5453,1)</f>
        <v>0.55294019996290444</v>
      </c>
      <c r="W22" s="22" t="str">
        <f>"I"&amp;(MOD(17-1,3)+1)</f>
        <v>I2</v>
      </c>
      <c r="X22" s="22" t="str">
        <f t="shared" si="7"/>
        <v/>
      </c>
    </row>
    <row r="23" spans="1:24" x14ac:dyDescent="0.3">
      <c r="A23" s="12" t="str">
        <f>IF(ISNUMBER(rpd),IF(18&lt;=3*rpd,18,""),"")</f>
        <v/>
      </c>
      <c r="B23" s="18" t="str">
        <f t="shared" si="0"/>
        <v/>
      </c>
      <c r="C23" s="19" t="str">
        <f>IF(OR(B23="",B23="—"),"",IF(INDEX(corrientes,MATCH(B23,{"I1","I2","I3"},0))="","",INDEX(corrientes,MATCH(B23,{"I1","I2","I3"},0))))</f>
        <v/>
      </c>
      <c r="D23" s="18" t="str">
        <f t="shared" si="1"/>
        <v/>
      </c>
      <c r="E23" s="19" t="str">
        <f>IF(OR(D23="",D23="—"),"",IF(INDEX(corrientes,MATCH(D23,{"I1","I2","I3"},0))="","",INDEX(corrientes,MATCH(D23,{"I1","I2","I3"},0))))</f>
        <v/>
      </c>
      <c r="F23" s="18" t="str">
        <f t="shared" si="2"/>
        <v/>
      </c>
      <c r="G23" s="19" t="str">
        <f>IF(OR(F23="",F23="—"),"",IF(INDEX(corrientes,MATCH(F23,{"I1","I2","I3"},0))="","",INDEX(corrientes,MATCH(F23,{"I1","I2","I3"},0))))</f>
        <v/>
      </c>
      <c r="H23" s="18" t="str">
        <f t="shared" si="3"/>
        <v/>
      </c>
      <c r="I23" s="19" t="str">
        <f>IF(OR(H23="",H23="—"),"",IF(INDEX(corrientes,MATCH(H23,{"I1","I2","I3"},0))="","",INDEX(corrientes,MATCH(H23,{"I1","I2","I3"},0))))</f>
        <v/>
      </c>
      <c r="M23" s="28">
        <f>MOD(ABS(SIN(semilla*12.9898+18*78.233+1*37.719))*43758.5453,1)</f>
        <v>8.0390208577227895E-2</v>
      </c>
      <c r="N23" s="22" t="str">
        <f>"I"&amp;(MOD(18-1,3)+1)</f>
        <v>I3</v>
      </c>
      <c r="O23" s="22" t="str">
        <f t="shared" si="4"/>
        <v/>
      </c>
      <c r="P23" s="28">
        <f>MOD(ABS(SIN(semilla*12.9898+18*78.233+2*37.719))*43758.5453,1)</f>
        <v>0.95984055381086364</v>
      </c>
      <c r="Q23" s="22" t="str">
        <f>"I"&amp;(MOD(18-1,3)+1)</f>
        <v>I3</v>
      </c>
      <c r="R23" s="22" t="str">
        <f t="shared" si="5"/>
        <v/>
      </c>
      <c r="S23" s="28">
        <f>MOD(ABS(SIN(semilla*12.9898+18*78.233+3*37.719))*43758.5453,1)</f>
        <v>0.93326788518606918</v>
      </c>
      <c r="T23" s="22" t="str">
        <f>"I"&amp;(MOD(18-1,3)+1)</f>
        <v>I3</v>
      </c>
      <c r="U23" s="22" t="str">
        <f t="shared" si="6"/>
        <v/>
      </c>
      <c r="V23" s="28">
        <f>MOD(ABS(SIN(semilla*12.9898+18*78.233+4*37.719))*43758.5453,1)</f>
        <v>0.65894878346261976</v>
      </c>
      <c r="W23" s="22" t="str">
        <f>"I"&amp;(MOD(18-1,3)+1)</f>
        <v>I3</v>
      </c>
      <c r="X23" s="22" t="str">
        <f t="shared" si="7"/>
        <v/>
      </c>
    </row>
    <row r="24" spans="1:24" x14ac:dyDescent="0.3">
      <c r="A24" s="12" t="str">
        <f>IF(ISNUMBER(rpd),IF(19&lt;=3*rpd,19,""),"")</f>
        <v/>
      </c>
      <c r="B24" s="18" t="str">
        <f t="shared" si="0"/>
        <v/>
      </c>
      <c r="C24" s="19" t="str">
        <f>IF(OR(B24="",B24="—"),"",IF(INDEX(corrientes,MATCH(B24,{"I1","I2","I3"},0))="","",INDEX(corrientes,MATCH(B24,{"I1","I2","I3"},0))))</f>
        <v/>
      </c>
      <c r="D24" s="18" t="str">
        <f t="shared" si="1"/>
        <v/>
      </c>
      <c r="E24" s="19" t="str">
        <f>IF(OR(D24="",D24="—"),"",IF(INDEX(corrientes,MATCH(D24,{"I1","I2","I3"},0))="","",INDEX(corrientes,MATCH(D24,{"I1","I2","I3"},0))))</f>
        <v/>
      </c>
      <c r="F24" s="18" t="str">
        <f t="shared" si="2"/>
        <v/>
      </c>
      <c r="G24" s="19" t="str">
        <f>IF(OR(F24="",F24="—"),"",IF(INDEX(corrientes,MATCH(F24,{"I1","I2","I3"},0))="","",INDEX(corrientes,MATCH(F24,{"I1","I2","I3"},0))))</f>
        <v/>
      </c>
      <c r="H24" s="18" t="str">
        <f t="shared" si="3"/>
        <v/>
      </c>
      <c r="I24" s="19" t="str">
        <f>IF(OR(H24="",H24="—"),"",IF(INDEX(corrientes,MATCH(H24,{"I1","I2","I3"},0))="","",INDEX(corrientes,MATCH(H24,{"I1","I2","I3"},0))))</f>
        <v/>
      </c>
      <c r="M24" s="28">
        <f>MOD(ABS(SIN(semilla*12.9898+19*78.233+1*37.719))*43758.5453,1)</f>
        <v>0.67221445315590245</v>
      </c>
      <c r="N24" s="22" t="str">
        <f>"I"&amp;(MOD(19-1,3)+1)</f>
        <v>I1</v>
      </c>
      <c r="O24" s="22" t="str">
        <f t="shared" si="4"/>
        <v/>
      </c>
      <c r="P24" s="28">
        <f>MOD(ABS(SIN(semilla*12.9898+19*78.233+2*37.719))*43758.5453,1)</f>
        <v>0.88289976238957024</v>
      </c>
      <c r="Q24" s="22" t="str">
        <f>"I"&amp;(MOD(19-1,3)+1)</f>
        <v>I1</v>
      </c>
      <c r="R24" s="22" t="str">
        <f t="shared" si="5"/>
        <v/>
      </c>
      <c r="S24" s="28">
        <f>MOD(ABS(SIN(semilla*12.9898+19*78.233+3*37.719))*43758.5453,1)</f>
        <v>0.71505075709774246</v>
      </c>
      <c r="T24" s="22" t="str">
        <f>"I"&amp;(MOD(19-1,3)+1)</f>
        <v>I1</v>
      </c>
      <c r="U24" s="22" t="str">
        <f t="shared" si="6"/>
        <v/>
      </c>
      <c r="V24" s="28">
        <f>MOD(ABS(SIN(semilla*12.9898+19*78.233+4*37.719))*43758.5453,1)</f>
        <v>0.50690802968620119</v>
      </c>
      <c r="W24" s="22" t="str">
        <f>"I"&amp;(MOD(19-1,3)+1)</f>
        <v>I1</v>
      </c>
      <c r="X24" s="22" t="str">
        <f t="shared" si="7"/>
        <v/>
      </c>
    </row>
    <row r="25" spans="1:24" x14ac:dyDescent="0.3">
      <c r="A25" s="12" t="str">
        <f>IF(ISNUMBER(rpd),IF(20&lt;=3*rpd,20,""),"")</f>
        <v/>
      </c>
      <c r="B25" s="18" t="str">
        <f t="shared" si="0"/>
        <v/>
      </c>
      <c r="C25" s="19" t="str">
        <f>IF(OR(B25="",B25="—"),"",IF(INDEX(corrientes,MATCH(B25,{"I1","I2","I3"},0))="","",INDEX(corrientes,MATCH(B25,{"I1","I2","I3"},0))))</f>
        <v/>
      </c>
      <c r="D25" s="18" t="str">
        <f t="shared" si="1"/>
        <v/>
      </c>
      <c r="E25" s="19" t="str">
        <f>IF(OR(D25="",D25="—"),"",IF(INDEX(corrientes,MATCH(D25,{"I1","I2","I3"},0))="","",INDEX(corrientes,MATCH(D25,{"I1","I2","I3"},0))))</f>
        <v/>
      </c>
      <c r="F25" s="18" t="str">
        <f t="shared" si="2"/>
        <v/>
      </c>
      <c r="G25" s="19" t="str">
        <f>IF(OR(F25="",F25="—"),"",IF(INDEX(corrientes,MATCH(F25,{"I1","I2","I3"},0))="","",INDEX(corrientes,MATCH(F25,{"I1","I2","I3"},0))))</f>
        <v/>
      </c>
      <c r="H25" s="18" t="str">
        <f t="shared" si="3"/>
        <v/>
      </c>
      <c r="I25" s="19" t="str">
        <f>IF(OR(H25="",H25="—"),"",IF(INDEX(corrientes,MATCH(H25,{"I1","I2","I3"},0))="","",INDEX(corrientes,MATCH(H25,{"I1","I2","I3"},0))))</f>
        <v/>
      </c>
      <c r="M25" s="28">
        <f>MOD(ABS(SIN(semilla*12.9898+20*78.233+1*37.719))*43758.5453,1)</f>
        <v>5.480145784895285E-2</v>
      </c>
      <c r="N25" s="22" t="str">
        <f>"I"&amp;(MOD(20-1,3)+1)</f>
        <v>I2</v>
      </c>
      <c r="O25" s="22" t="str">
        <f t="shared" si="4"/>
        <v/>
      </c>
      <c r="P25" s="28">
        <f>MOD(ABS(SIN(semilla*12.9898+20*78.233+2*37.719))*43758.5453,1)</f>
        <v>0.91283806725550676</v>
      </c>
      <c r="Q25" s="22" t="str">
        <f>"I"&amp;(MOD(20-1,3)+1)</f>
        <v>I2</v>
      </c>
      <c r="R25" s="22" t="str">
        <f t="shared" si="5"/>
        <v/>
      </c>
      <c r="S25" s="28">
        <f>MOD(ABS(SIN(semilla*12.9898+20*78.233+3*37.719))*43758.5453,1)</f>
        <v>0.42333851019429858</v>
      </c>
      <c r="T25" s="22" t="str">
        <f>"I"&amp;(MOD(20-1,3)+1)</f>
        <v>I2</v>
      </c>
      <c r="U25" s="22" t="str">
        <f t="shared" si="6"/>
        <v/>
      </c>
      <c r="V25" s="28">
        <f>MOD(ABS(SIN(semilla*12.9898+20*78.233+4*37.719))*43758.5453,1)</f>
        <v>0.88946884372126078</v>
      </c>
      <c r="W25" s="22" t="str">
        <f>"I"&amp;(MOD(20-1,3)+1)</f>
        <v>I2</v>
      </c>
      <c r="X25" s="22" t="str">
        <f t="shared" si="7"/>
        <v/>
      </c>
    </row>
    <row r="26" spans="1:24" x14ac:dyDescent="0.3">
      <c r="A26" s="12" t="str">
        <f>IF(ISNUMBER(rpd),IF(21&lt;=3*rpd,21,""),"")</f>
        <v/>
      </c>
      <c r="B26" s="18" t="str">
        <f t="shared" si="0"/>
        <v/>
      </c>
      <c r="C26" s="19" t="str">
        <f>IF(OR(B26="",B26="—"),"",IF(INDEX(corrientes,MATCH(B26,{"I1","I2","I3"},0))="","",INDEX(corrientes,MATCH(B26,{"I1","I2","I3"},0))))</f>
        <v/>
      </c>
      <c r="D26" s="18" t="str">
        <f t="shared" si="1"/>
        <v/>
      </c>
      <c r="E26" s="19" t="str">
        <f>IF(OR(D26="",D26="—"),"",IF(INDEX(corrientes,MATCH(D26,{"I1","I2","I3"},0))="","",INDEX(corrientes,MATCH(D26,{"I1","I2","I3"},0))))</f>
        <v/>
      </c>
      <c r="F26" s="18" t="str">
        <f t="shared" si="2"/>
        <v/>
      </c>
      <c r="G26" s="19" t="str">
        <f>IF(OR(F26="",F26="—"),"",IF(INDEX(corrientes,MATCH(F26,{"I1","I2","I3"},0))="","",INDEX(corrientes,MATCH(F26,{"I1","I2","I3"},0))))</f>
        <v/>
      </c>
      <c r="H26" s="18" t="str">
        <f t="shared" si="3"/>
        <v/>
      </c>
      <c r="I26" s="19" t="str">
        <f>IF(OR(H26="",H26="—"),"",IF(INDEX(corrientes,MATCH(H26,{"I1","I2","I3"},0))="","",INDEX(corrientes,MATCH(H26,{"I1","I2","I3"},0))))</f>
        <v/>
      </c>
      <c r="M26" s="28">
        <f>MOD(ABS(SIN(semilla*12.9898+21*78.233+1*37.719))*43758.5453,1)</f>
        <v>0.42566618013370316</v>
      </c>
      <c r="N26" s="22" t="str">
        <f>"I"&amp;(MOD(21-1,3)+1)</f>
        <v>I3</v>
      </c>
      <c r="O26" s="22" t="str">
        <f t="shared" si="4"/>
        <v/>
      </c>
      <c r="P26" s="28">
        <f>MOD(ABS(SIN(semilla*12.9898+21*78.233+2*37.719))*43758.5453,1)</f>
        <v>0.74159682752724621</v>
      </c>
      <c r="Q26" s="22" t="str">
        <f>"I"&amp;(MOD(21-1,3)+1)</f>
        <v>I3</v>
      </c>
      <c r="R26" s="22" t="str">
        <f t="shared" si="5"/>
        <v/>
      </c>
      <c r="S26" s="28">
        <f>MOD(ABS(SIN(semilla*12.9898+21*78.233+3*37.719))*43758.5453,1)</f>
        <v>0.52065025226693251</v>
      </c>
      <c r="T26" s="22" t="str">
        <f>"I"&amp;(MOD(21-1,3)+1)</f>
        <v>I3</v>
      </c>
      <c r="U26" s="22" t="str">
        <f t="shared" si="6"/>
        <v/>
      </c>
      <c r="V26" s="28">
        <f>MOD(ABS(SIN(semilla*12.9898+21*78.233+4*37.719))*43758.5453,1)</f>
        <v>2.6022329911938868E-3</v>
      </c>
      <c r="W26" s="22" t="str">
        <f>"I"&amp;(MOD(21-1,3)+1)</f>
        <v>I3</v>
      </c>
      <c r="X26" s="22" t="str">
        <f t="shared" si="7"/>
        <v/>
      </c>
    </row>
    <row r="27" spans="1:24" x14ac:dyDescent="0.3">
      <c r="A27" s="12" t="str">
        <f>IF(ISNUMBER(rpd),IF(22&lt;=3*rpd,22,""),"")</f>
        <v/>
      </c>
      <c r="B27" s="18" t="str">
        <f t="shared" si="0"/>
        <v/>
      </c>
      <c r="C27" s="19" t="str">
        <f>IF(OR(B27="",B27="—"),"",IF(INDEX(corrientes,MATCH(B27,{"I1","I2","I3"},0))="","",INDEX(corrientes,MATCH(B27,{"I1","I2","I3"},0))))</f>
        <v/>
      </c>
      <c r="D27" s="18" t="str">
        <f t="shared" si="1"/>
        <v/>
      </c>
      <c r="E27" s="19" t="str">
        <f>IF(OR(D27="",D27="—"),"",IF(INDEX(corrientes,MATCH(D27,{"I1","I2","I3"},0))="","",INDEX(corrientes,MATCH(D27,{"I1","I2","I3"},0))))</f>
        <v/>
      </c>
      <c r="F27" s="18" t="str">
        <f t="shared" si="2"/>
        <v/>
      </c>
      <c r="G27" s="19" t="str">
        <f>IF(OR(F27="",F27="—"),"",IF(INDEX(corrientes,MATCH(F27,{"I1","I2","I3"},0))="","",INDEX(corrientes,MATCH(F27,{"I1","I2","I3"},0))))</f>
        <v/>
      </c>
      <c r="H27" s="18" t="str">
        <f t="shared" si="3"/>
        <v/>
      </c>
      <c r="I27" s="19" t="str">
        <f>IF(OR(H27="",H27="—"),"",IF(INDEX(corrientes,MATCH(H27,{"I1","I2","I3"},0))="","",INDEX(corrientes,MATCH(H27,{"I1","I2","I3"},0))))</f>
        <v/>
      </c>
      <c r="M27" s="28">
        <f>MOD(ABS(SIN(semilla*12.9898+22*78.233+1*37.719))*43758.5453,1)</f>
        <v>0.86722350734635256</v>
      </c>
      <c r="N27" s="22" t="str">
        <f>"I"&amp;(MOD(22-1,3)+1)</f>
        <v>I1</v>
      </c>
      <c r="O27" s="22" t="str">
        <f t="shared" si="4"/>
        <v/>
      </c>
      <c r="P27" s="28">
        <f>MOD(ABS(SIN(semilla*12.9898+22*78.233+2*37.719))*43758.5453,1)</f>
        <v>9.1205551078019198E-2</v>
      </c>
      <c r="Q27" s="22" t="str">
        <f>"I"&amp;(MOD(22-1,3)+1)</f>
        <v>I1</v>
      </c>
      <c r="R27" s="22" t="str">
        <f t="shared" si="5"/>
        <v/>
      </c>
      <c r="S27" s="28">
        <f>MOD(ABS(SIN(semilla*12.9898+22*78.233+3*37.719))*43758.5453,1)</f>
        <v>0.7599150269452366</v>
      </c>
      <c r="T27" s="22" t="str">
        <f>"I"&amp;(MOD(22-1,3)+1)</f>
        <v>I1</v>
      </c>
      <c r="U27" s="22" t="str">
        <f t="shared" si="6"/>
        <v/>
      </c>
      <c r="V27" s="28">
        <f>MOD(ABS(SIN(semilla*12.9898+22*78.233+4*37.719))*43758.5453,1)</f>
        <v>2.7342351058905479E-2</v>
      </c>
      <c r="W27" s="22" t="str">
        <f>"I"&amp;(MOD(22-1,3)+1)</f>
        <v>I1</v>
      </c>
      <c r="X27" s="22" t="str">
        <f t="shared" si="7"/>
        <v/>
      </c>
    </row>
    <row r="28" spans="1:24" x14ac:dyDescent="0.3">
      <c r="A28" s="12" t="str">
        <f>IF(ISNUMBER(rpd),IF(23&lt;=3*rpd,23,""),"")</f>
        <v/>
      </c>
      <c r="B28" s="18" t="str">
        <f t="shared" si="0"/>
        <v/>
      </c>
      <c r="C28" s="19" t="str">
        <f>IF(OR(B28="",B28="—"),"",IF(INDEX(corrientes,MATCH(B28,{"I1","I2","I3"},0))="","",INDEX(corrientes,MATCH(B28,{"I1","I2","I3"},0))))</f>
        <v/>
      </c>
      <c r="D28" s="18" t="str">
        <f t="shared" si="1"/>
        <v/>
      </c>
      <c r="E28" s="19" t="str">
        <f>IF(OR(D28="",D28="—"),"",IF(INDEX(corrientes,MATCH(D28,{"I1","I2","I3"},0))="","",INDEX(corrientes,MATCH(D28,{"I1","I2","I3"},0))))</f>
        <v/>
      </c>
      <c r="F28" s="18" t="str">
        <f t="shared" si="2"/>
        <v/>
      </c>
      <c r="G28" s="19" t="str">
        <f>IF(OR(F28="",F28="—"),"",IF(INDEX(corrientes,MATCH(F28,{"I1","I2","I3"},0))="","",INDEX(corrientes,MATCH(F28,{"I1","I2","I3"},0))))</f>
        <v/>
      </c>
      <c r="H28" s="18" t="str">
        <f t="shared" si="3"/>
        <v/>
      </c>
      <c r="I28" s="19" t="str">
        <f>IF(OR(H28="",H28="—"),"",IF(INDEX(corrientes,MATCH(H28,{"I1","I2","I3"},0))="","",INDEX(corrientes,MATCH(H28,{"I1","I2","I3"},0))))</f>
        <v/>
      </c>
      <c r="M28" s="28">
        <f>MOD(ABS(SIN(semilla*12.9898+23*78.233+1*37.719))*43758.5453,1)</f>
        <v>0.15001675398525549</v>
      </c>
      <c r="N28" s="22" t="str">
        <f>"I"&amp;(MOD(23-1,3)+1)</f>
        <v>I2</v>
      </c>
      <c r="O28" s="22" t="str">
        <f t="shared" si="4"/>
        <v/>
      </c>
      <c r="P28" s="28">
        <f>MOD(ABS(SIN(semilla*12.9898+23*78.233+2*37.719))*43758.5453,1)</f>
        <v>0.19277136294840602</v>
      </c>
      <c r="Q28" s="22" t="str">
        <f>"I"&amp;(MOD(23-1,3)+1)</f>
        <v>I2</v>
      </c>
      <c r="R28" s="22" t="str">
        <f t="shared" si="5"/>
        <v/>
      </c>
      <c r="S28" s="28">
        <f>MOD(ABS(SIN(semilla*12.9898+23*78.233+3*37.719))*43758.5453,1)</f>
        <v>0.11472222702286672</v>
      </c>
      <c r="T28" s="22" t="str">
        <f>"I"&amp;(MOD(23-1,3)+1)</f>
        <v>I2</v>
      </c>
      <c r="U28" s="22" t="str">
        <f t="shared" si="6"/>
        <v/>
      </c>
      <c r="V28" s="28">
        <f>MOD(ABS(SIN(semilla*12.9898+23*78.233+4*37.719))*43758.5453,1)</f>
        <v>0.96969167804491008</v>
      </c>
      <c r="W28" s="22" t="str">
        <f>"I"&amp;(MOD(23-1,3)+1)</f>
        <v>I2</v>
      </c>
      <c r="X28" s="22" t="str">
        <f t="shared" si="7"/>
        <v/>
      </c>
    </row>
    <row r="29" spans="1:24" x14ac:dyDescent="0.3">
      <c r="A29" s="12" t="str">
        <f>IF(ISNUMBER(rpd),IF(24&lt;=3*rpd,24,""),"")</f>
        <v/>
      </c>
      <c r="B29" s="18" t="str">
        <f t="shared" si="0"/>
        <v/>
      </c>
      <c r="C29" s="19" t="str">
        <f>IF(OR(B29="",B29="—"),"",IF(INDEX(corrientes,MATCH(B29,{"I1","I2","I3"},0))="","",INDEX(corrientes,MATCH(B29,{"I1","I2","I3"},0))))</f>
        <v/>
      </c>
      <c r="D29" s="18" t="str">
        <f t="shared" si="1"/>
        <v/>
      </c>
      <c r="E29" s="19" t="str">
        <f>IF(OR(D29="",D29="—"),"",IF(INDEX(corrientes,MATCH(D29,{"I1","I2","I3"},0))="","",INDEX(corrientes,MATCH(D29,{"I1","I2","I3"},0))))</f>
        <v/>
      </c>
      <c r="F29" s="18" t="str">
        <f t="shared" si="2"/>
        <v/>
      </c>
      <c r="G29" s="19" t="str">
        <f>IF(OR(F29="",F29="—"),"",IF(INDEX(corrientes,MATCH(F29,{"I1","I2","I3"},0))="","",INDEX(corrientes,MATCH(F29,{"I1","I2","I3"},0))))</f>
        <v/>
      </c>
      <c r="H29" s="18" t="str">
        <f t="shared" si="3"/>
        <v/>
      </c>
      <c r="I29" s="19" t="str">
        <f>IF(OR(H29="",H29="—"),"",IF(INDEX(corrientes,MATCH(H29,{"I1","I2","I3"},0))="","",INDEX(corrientes,MATCH(H29,{"I1","I2","I3"},0))))</f>
        <v/>
      </c>
      <c r="M29" s="28">
        <f>MOD(ABS(SIN(semilla*12.9898+24*78.233+1*37.719))*43758.5453,1)</f>
        <v>0.3870260725816479</v>
      </c>
      <c r="N29" s="22" t="str">
        <f>"I"&amp;(MOD(24-1,3)+1)</f>
        <v>I3</v>
      </c>
      <c r="O29" s="22" t="str">
        <f t="shared" si="4"/>
        <v/>
      </c>
      <c r="P29" s="28">
        <f>MOD(ABS(SIN(semilla*12.9898+24*78.233+2*37.719))*43758.5453,1)</f>
        <v>0.35917304554459406</v>
      </c>
      <c r="Q29" s="22" t="str">
        <f>"I"&amp;(MOD(24-1,3)+1)</f>
        <v>I3</v>
      </c>
      <c r="R29" s="22" t="str">
        <f t="shared" si="5"/>
        <v/>
      </c>
      <c r="S29" s="28">
        <f>MOD(ABS(SIN(semilla*12.9898+24*78.233+3*37.719))*43758.5453,1)</f>
        <v>0.2440700488150469</v>
      </c>
      <c r="T29" s="22" t="str">
        <f>"I"&amp;(MOD(24-1,3)+1)</f>
        <v>I3</v>
      </c>
      <c r="U29" s="22" t="str">
        <f t="shared" si="6"/>
        <v/>
      </c>
      <c r="V29" s="28">
        <f>MOD(ABS(SIN(semilla*12.9898+24*78.233+4*37.719))*43758.5453,1)</f>
        <v>0.99034431819018209</v>
      </c>
      <c r="W29" s="22" t="str">
        <f>"I"&amp;(MOD(24-1,3)+1)</f>
        <v>I3</v>
      </c>
      <c r="X29" s="22" t="str">
        <f t="shared" si="7"/>
        <v/>
      </c>
    </row>
    <row r="30" spans="1:24" x14ac:dyDescent="0.3">
      <c r="A30" s="12" t="str">
        <f>IF(ISNUMBER(rpd),IF(25&lt;=3*rpd,25,""),"")</f>
        <v/>
      </c>
      <c r="B30" s="18" t="str">
        <f t="shared" si="0"/>
        <v/>
      </c>
      <c r="C30" s="19" t="str">
        <f>IF(OR(B30="",B30="—"),"",IF(INDEX(corrientes,MATCH(B30,{"I1","I2","I3"},0))="","",INDEX(corrientes,MATCH(B30,{"I1","I2","I3"},0))))</f>
        <v/>
      </c>
      <c r="D30" s="18" t="str">
        <f t="shared" si="1"/>
        <v/>
      </c>
      <c r="E30" s="19" t="str">
        <f>IF(OR(D30="",D30="—"),"",IF(INDEX(corrientes,MATCH(D30,{"I1","I2","I3"},0))="","",INDEX(corrientes,MATCH(D30,{"I1","I2","I3"},0))))</f>
        <v/>
      </c>
      <c r="F30" s="18" t="str">
        <f t="shared" si="2"/>
        <v/>
      </c>
      <c r="G30" s="19" t="str">
        <f>IF(OR(F30="",F30="—"),"",IF(INDEX(corrientes,MATCH(F30,{"I1","I2","I3"},0))="","",INDEX(corrientes,MATCH(F30,{"I1","I2","I3"},0))))</f>
        <v/>
      </c>
      <c r="H30" s="18" t="str">
        <f t="shared" si="3"/>
        <v/>
      </c>
      <c r="I30" s="19" t="str">
        <f>IF(OR(H30="",H30="—"),"",IF(INDEX(corrientes,MATCH(H30,{"I1","I2","I3"},0))="","",INDEX(corrientes,MATCH(H30,{"I1","I2","I3"},0))))</f>
        <v/>
      </c>
      <c r="M30" s="28">
        <f>MOD(ABS(SIN(semilla*12.9898+25*78.233+1*37.719))*43758.5453,1)</f>
        <v>0.3395533588991384</v>
      </c>
      <c r="N30" s="22" t="str">
        <f>"I"&amp;(MOD(25-1,3)+1)</f>
        <v>I1</v>
      </c>
      <c r="O30" s="22" t="str">
        <f t="shared" si="4"/>
        <v/>
      </c>
      <c r="P30" s="28">
        <f>MOD(ABS(SIN(semilla*12.9898+25*78.233+2*37.719))*43758.5453,1)</f>
        <v>0.51387800911470549</v>
      </c>
      <c r="Q30" s="22" t="str">
        <f>"I"&amp;(MOD(25-1,3)+1)</f>
        <v>I1</v>
      </c>
      <c r="R30" s="22" t="str">
        <f t="shared" si="5"/>
        <v/>
      </c>
      <c r="S30" s="28">
        <f>MOD(ABS(SIN(semilla*12.9898+25*78.233+3*37.719))*43758.5453,1)</f>
        <v>0.23045749072480248</v>
      </c>
      <c r="T30" s="22" t="str">
        <f>"I"&amp;(MOD(25-1,3)+1)</f>
        <v>I1</v>
      </c>
      <c r="U30" s="22" t="str">
        <f t="shared" si="6"/>
        <v/>
      </c>
      <c r="V30" s="28">
        <f>MOD(ABS(SIN(semilla*12.9898+25*78.233+4*37.719))*43758.5453,1)</f>
        <v>0.33752216532593593</v>
      </c>
      <c r="W30" s="22" t="str">
        <f>"I"&amp;(MOD(25-1,3)+1)</f>
        <v>I1</v>
      </c>
      <c r="X30" s="22" t="str">
        <f t="shared" si="7"/>
        <v/>
      </c>
    </row>
    <row r="31" spans="1:24" x14ac:dyDescent="0.3">
      <c r="A31" s="12" t="str">
        <f>IF(ISNUMBER(rpd),IF(26&lt;=3*rpd,26,""),"")</f>
        <v/>
      </c>
      <c r="B31" s="18" t="str">
        <f t="shared" si="0"/>
        <v/>
      </c>
      <c r="C31" s="19" t="str">
        <f>IF(OR(B31="",B31="—"),"",IF(INDEX(corrientes,MATCH(B31,{"I1","I2","I3"},0))="","",INDEX(corrientes,MATCH(B31,{"I1","I2","I3"},0))))</f>
        <v/>
      </c>
      <c r="D31" s="18" t="str">
        <f t="shared" si="1"/>
        <v/>
      </c>
      <c r="E31" s="19" t="str">
        <f>IF(OR(D31="",D31="—"),"",IF(INDEX(corrientes,MATCH(D31,{"I1","I2","I3"},0))="","",INDEX(corrientes,MATCH(D31,{"I1","I2","I3"},0))))</f>
        <v/>
      </c>
      <c r="F31" s="18" t="str">
        <f t="shared" si="2"/>
        <v/>
      </c>
      <c r="G31" s="19" t="str">
        <f>IF(OR(F31="",F31="—"),"",IF(INDEX(corrientes,MATCH(F31,{"I1","I2","I3"},0))="","",INDEX(corrientes,MATCH(F31,{"I1","I2","I3"},0))))</f>
        <v/>
      </c>
      <c r="H31" s="18" t="str">
        <f t="shared" si="3"/>
        <v/>
      </c>
      <c r="I31" s="19" t="str">
        <f>IF(OR(H31="",H31="—"),"",IF(INDEX(corrientes,MATCH(H31,{"I1","I2","I3"},0))="","",INDEX(corrientes,MATCH(H31,{"I1","I2","I3"},0))))</f>
        <v/>
      </c>
      <c r="M31" s="28">
        <f>MOD(ABS(SIN(semilla*12.9898+26*78.233+1*37.719))*43758.5453,1)</f>
        <v>0.35731326768654981</v>
      </c>
      <c r="N31" s="22" t="str">
        <f>"I"&amp;(MOD(26-1,3)+1)</f>
        <v>I2</v>
      </c>
      <c r="O31" s="22" t="str">
        <f t="shared" si="4"/>
        <v/>
      </c>
      <c r="P31" s="28">
        <f>MOD(ABS(SIN(semilla*12.9898+26*78.233+2*37.719))*43758.5453,1)</f>
        <v>0.45088978391504497</v>
      </c>
      <c r="Q31" s="22" t="str">
        <f>"I"&amp;(MOD(26-1,3)+1)</f>
        <v>I2</v>
      </c>
      <c r="R31" s="22" t="str">
        <f t="shared" si="5"/>
        <v/>
      </c>
      <c r="S31" s="28">
        <f>MOD(ABS(SIN(semilla*12.9898+26*78.233+3*37.719))*43758.5453,1)</f>
        <v>0.1599810309271561</v>
      </c>
      <c r="T31" s="22" t="str">
        <f>"I"&amp;(MOD(26-1,3)+1)</f>
        <v>I2</v>
      </c>
      <c r="U31" s="22" t="str">
        <f t="shared" si="6"/>
        <v/>
      </c>
      <c r="V31" s="28">
        <f>MOD(ABS(SIN(semilla*12.9898+26*78.233+4*37.719))*43758.5453,1)</f>
        <v>0.24659579706349177</v>
      </c>
      <c r="W31" s="22" t="str">
        <f>"I"&amp;(MOD(26-1,3)+1)</f>
        <v>I2</v>
      </c>
      <c r="X31" s="22" t="str">
        <f t="shared" si="7"/>
        <v/>
      </c>
    </row>
    <row r="32" spans="1:24" x14ac:dyDescent="0.3">
      <c r="A32" s="12" t="str">
        <f>IF(ISNUMBER(rpd),IF(27&lt;=3*rpd,27,""),"")</f>
        <v/>
      </c>
      <c r="B32" s="18" t="str">
        <f t="shared" si="0"/>
        <v/>
      </c>
      <c r="C32" s="19" t="str">
        <f>IF(OR(B32="",B32="—"),"",IF(INDEX(corrientes,MATCH(B32,{"I1","I2","I3"},0))="","",INDEX(corrientes,MATCH(B32,{"I1","I2","I3"},0))))</f>
        <v/>
      </c>
      <c r="D32" s="18" t="str">
        <f t="shared" si="1"/>
        <v/>
      </c>
      <c r="E32" s="19" t="str">
        <f>IF(OR(D32="",D32="—"),"",IF(INDEX(corrientes,MATCH(D32,{"I1","I2","I3"},0))="","",INDEX(corrientes,MATCH(D32,{"I1","I2","I3"},0))))</f>
        <v/>
      </c>
      <c r="F32" s="18" t="str">
        <f t="shared" si="2"/>
        <v/>
      </c>
      <c r="G32" s="19" t="str">
        <f>IF(OR(F32="",F32="—"),"",IF(INDEX(corrientes,MATCH(F32,{"I1","I2","I3"},0))="","",INDEX(corrientes,MATCH(F32,{"I1","I2","I3"},0))))</f>
        <v/>
      </c>
      <c r="H32" s="18" t="str">
        <f t="shared" si="3"/>
        <v/>
      </c>
      <c r="I32" s="19" t="str">
        <f>IF(OR(H32="",H32="—"),"",IF(INDEX(corrientes,MATCH(H32,{"I1","I2","I3"},0))="","",INDEX(corrientes,MATCH(H32,{"I1","I2","I3"},0))))</f>
        <v/>
      </c>
      <c r="M32" s="28">
        <f>MOD(ABS(SIN(semilla*12.9898+27*78.233+1*37.719))*43758.5453,1)</f>
        <v>0.23852496618928853</v>
      </c>
      <c r="N32" s="22" t="str">
        <f>"I"&amp;(MOD(27-1,3)+1)</f>
        <v>I3</v>
      </c>
      <c r="O32" s="22" t="str">
        <f t="shared" si="4"/>
        <v/>
      </c>
      <c r="P32" s="28">
        <f>MOD(ABS(SIN(semilla*12.9898+27*78.233+2*37.719))*43758.5453,1)</f>
        <v>0.89494578268931946</v>
      </c>
      <c r="Q32" s="22" t="str">
        <f>"I"&amp;(MOD(27-1,3)+1)</f>
        <v>I3</v>
      </c>
      <c r="R32" s="22" t="str">
        <f t="shared" si="5"/>
        <v/>
      </c>
      <c r="S32" s="28">
        <f>MOD(ABS(SIN(semilla*12.9898+27*78.233+3*37.719))*43758.5453,1)</f>
        <v>0.39685351517982781</v>
      </c>
      <c r="T32" s="22" t="str">
        <f>"I"&amp;(MOD(27-1,3)+1)</f>
        <v>I3</v>
      </c>
      <c r="U32" s="22" t="str">
        <f t="shared" si="6"/>
        <v/>
      </c>
      <c r="V32" s="28">
        <f>MOD(ABS(SIN(semilla*12.9898+27*78.233+4*37.719))*43758.5453,1)</f>
        <v>0.44226378406892763</v>
      </c>
      <c r="W32" s="22" t="str">
        <f>"I"&amp;(MOD(27-1,3)+1)</f>
        <v>I3</v>
      </c>
      <c r="X32" s="22" t="str">
        <f t="shared" si="7"/>
        <v/>
      </c>
    </row>
    <row r="33" spans="1:24" x14ac:dyDescent="0.3">
      <c r="A33" s="12" t="str">
        <f>IF(ISNUMBER(rpd),IF(28&lt;=3*rpd,28,""),"")</f>
        <v/>
      </c>
      <c r="B33" s="18" t="str">
        <f t="shared" si="0"/>
        <v/>
      </c>
      <c r="C33" s="19" t="str">
        <f>IF(OR(B33="",B33="—"),"",IF(INDEX(corrientes,MATCH(B33,{"I1","I2","I3"},0))="","",INDEX(corrientes,MATCH(B33,{"I1","I2","I3"},0))))</f>
        <v/>
      </c>
      <c r="D33" s="18" t="str">
        <f t="shared" si="1"/>
        <v/>
      </c>
      <c r="E33" s="19" t="str">
        <f>IF(OR(D33="",D33="—"),"",IF(INDEX(corrientes,MATCH(D33,{"I1","I2","I3"},0))="","",INDEX(corrientes,MATCH(D33,{"I1","I2","I3"},0))))</f>
        <v/>
      </c>
      <c r="F33" s="18" t="str">
        <f t="shared" si="2"/>
        <v/>
      </c>
      <c r="G33" s="19" t="str">
        <f>IF(OR(F33="",F33="—"),"",IF(INDEX(corrientes,MATCH(F33,{"I1","I2","I3"},0))="","",INDEX(corrientes,MATCH(F33,{"I1","I2","I3"},0))))</f>
        <v/>
      </c>
      <c r="H33" s="18" t="str">
        <f t="shared" si="3"/>
        <v/>
      </c>
      <c r="I33" s="19" t="str">
        <f>IF(OR(H33="",H33="—"),"",IF(INDEX(corrientes,MATCH(H33,{"I1","I2","I3"},0))="","",INDEX(corrientes,MATCH(H33,{"I1","I2","I3"},0))))</f>
        <v/>
      </c>
      <c r="M33" s="28">
        <f>MOD(ABS(SIN(semilla*12.9898+28*78.233+1*37.719))*43758.5453,1)</f>
        <v>0.57227646396677301</v>
      </c>
      <c r="N33" s="22" t="str">
        <f>"I"&amp;(MOD(28-1,3)+1)</f>
        <v>I1</v>
      </c>
      <c r="O33" s="22" t="str">
        <f t="shared" si="4"/>
        <v/>
      </c>
      <c r="P33" s="28">
        <f>MOD(ABS(SIN(semilla*12.9898+28*78.233+2*37.719))*43758.5453,1)</f>
        <v>0.71874703344292357</v>
      </c>
      <c r="Q33" s="22" t="str">
        <f>"I"&amp;(MOD(28-1,3)+1)</f>
        <v>I1</v>
      </c>
      <c r="R33" s="22" t="str">
        <f t="shared" si="5"/>
        <v/>
      </c>
      <c r="S33" s="28">
        <f>MOD(ABS(SIN(semilla*12.9898+28*78.233+3*37.719))*43758.5453,1)</f>
        <v>0.70230912274746515</v>
      </c>
      <c r="T33" s="22" t="str">
        <f>"I"&amp;(MOD(28-1,3)+1)</f>
        <v>I1</v>
      </c>
      <c r="U33" s="22" t="str">
        <f t="shared" si="6"/>
        <v/>
      </c>
      <c r="V33" s="28">
        <f>MOD(ABS(SIN(semilla*12.9898+28*78.233+4*37.719))*43758.5453,1)</f>
        <v>0.18519055860087974</v>
      </c>
      <c r="W33" s="22" t="str">
        <f>"I"&amp;(MOD(28-1,3)+1)</f>
        <v>I1</v>
      </c>
      <c r="X33" s="22" t="str">
        <f t="shared" si="7"/>
        <v/>
      </c>
    </row>
    <row r="34" spans="1:24" x14ac:dyDescent="0.3">
      <c r="A34" s="12" t="str">
        <f>IF(ISNUMBER(rpd),IF(29&lt;=3*rpd,29,""),"")</f>
        <v/>
      </c>
      <c r="B34" s="18" t="str">
        <f t="shared" si="0"/>
        <v/>
      </c>
      <c r="C34" s="19" t="str">
        <f>IF(OR(B34="",B34="—"),"",IF(INDEX(corrientes,MATCH(B34,{"I1","I2","I3"},0))="","",INDEX(corrientes,MATCH(B34,{"I1","I2","I3"},0))))</f>
        <v/>
      </c>
      <c r="D34" s="18" t="str">
        <f t="shared" si="1"/>
        <v/>
      </c>
      <c r="E34" s="19" t="str">
        <f>IF(OR(D34="",D34="—"),"",IF(INDEX(corrientes,MATCH(D34,{"I1","I2","I3"},0))="","",INDEX(corrientes,MATCH(D34,{"I1","I2","I3"},0))))</f>
        <v/>
      </c>
      <c r="F34" s="18" t="str">
        <f t="shared" si="2"/>
        <v/>
      </c>
      <c r="G34" s="19" t="str">
        <f>IF(OR(F34="",F34="—"),"",IF(INDEX(corrientes,MATCH(F34,{"I1","I2","I3"},0))="","",INDEX(corrientes,MATCH(F34,{"I1","I2","I3"},0))))</f>
        <v/>
      </c>
      <c r="H34" s="18" t="str">
        <f t="shared" si="3"/>
        <v/>
      </c>
      <c r="I34" s="19" t="str">
        <f>IF(OR(H34="",H34="—"),"",IF(INDEX(corrientes,MATCH(H34,{"I1","I2","I3"},0))="","",INDEX(corrientes,MATCH(H34,{"I1","I2","I3"},0))))</f>
        <v/>
      </c>
      <c r="M34" s="28">
        <f>MOD(ABS(SIN(semilla*12.9898+29*78.233+1*37.719))*43758.5453,1)</f>
        <v>0.93080765052945935</v>
      </c>
      <c r="N34" s="22" t="str">
        <f>"I"&amp;(MOD(29-1,3)+1)</f>
        <v>I2</v>
      </c>
      <c r="O34" s="22" t="str">
        <f t="shared" si="4"/>
        <v/>
      </c>
      <c r="P34" s="28">
        <f>MOD(ABS(SIN(semilla*12.9898+29*78.233+2*37.719))*43758.5453,1)</f>
        <v>0.3518619218693857</v>
      </c>
      <c r="Q34" s="22" t="str">
        <f>"I"&amp;(MOD(29-1,3)+1)</f>
        <v>I2</v>
      </c>
      <c r="R34" s="22" t="str">
        <f t="shared" si="5"/>
        <v/>
      </c>
      <c r="S34" s="28">
        <f>MOD(ABS(SIN(semilla*12.9898+29*78.233+3*37.719))*43758.5453,1)</f>
        <v>0.64880406973679783</v>
      </c>
      <c r="T34" s="22" t="str">
        <f>"I"&amp;(MOD(29-1,3)+1)</f>
        <v>I2</v>
      </c>
      <c r="U34" s="22" t="str">
        <f t="shared" si="6"/>
        <v/>
      </c>
      <c r="V34" s="28">
        <f>MOD(ABS(SIN(semilla*12.9898+29*78.233+4*37.719))*43758.5453,1)</f>
        <v>0.16364610297296167</v>
      </c>
      <c r="W34" s="22" t="str">
        <f>"I"&amp;(MOD(29-1,3)+1)</f>
        <v>I2</v>
      </c>
      <c r="X34" s="22" t="str">
        <f t="shared" si="7"/>
        <v/>
      </c>
    </row>
    <row r="35" spans="1:24" x14ac:dyDescent="0.3">
      <c r="A35" s="12" t="str">
        <f>IF(ISNUMBER(rpd),IF(30&lt;=3*rpd,30,""),"")</f>
        <v/>
      </c>
      <c r="B35" s="18" t="str">
        <f t="shared" si="0"/>
        <v/>
      </c>
      <c r="C35" s="19" t="str">
        <f>IF(OR(B35="",B35="—"),"",IF(INDEX(corrientes,MATCH(B35,{"I1","I2","I3"},0))="","",INDEX(corrientes,MATCH(B35,{"I1","I2","I3"},0))))</f>
        <v/>
      </c>
      <c r="D35" s="18" t="str">
        <f t="shared" si="1"/>
        <v/>
      </c>
      <c r="E35" s="19" t="str">
        <f>IF(OR(D35="",D35="—"),"",IF(INDEX(corrientes,MATCH(D35,{"I1","I2","I3"},0))="","",INDEX(corrientes,MATCH(D35,{"I1","I2","I3"},0))))</f>
        <v/>
      </c>
      <c r="F35" s="18" t="str">
        <f t="shared" si="2"/>
        <v/>
      </c>
      <c r="G35" s="19" t="str">
        <f>IF(OR(F35="",F35="—"),"",IF(INDEX(corrientes,MATCH(F35,{"I1","I2","I3"},0))="","",INDEX(corrientes,MATCH(F35,{"I1","I2","I3"},0))))</f>
        <v/>
      </c>
      <c r="H35" s="18" t="str">
        <f t="shared" si="3"/>
        <v/>
      </c>
      <c r="I35" s="19" t="str">
        <f>IF(OR(H35="",H35="—"),"",IF(INDEX(corrientes,MATCH(H35,{"I1","I2","I3"},0))="","",INDEX(corrientes,MATCH(H35,{"I1","I2","I3"},0))))</f>
        <v/>
      </c>
      <c r="M35" s="28">
        <f>MOD(ABS(SIN(semilla*12.9898+30*78.233+1*37.719))*43758.5453,1)</f>
        <v>0.27746902446597232</v>
      </c>
      <c r="N35" s="22" t="str">
        <f>"I"&amp;(MOD(30-1,3)+1)</f>
        <v>I3</v>
      </c>
      <c r="O35" s="22" t="str">
        <f t="shared" si="4"/>
        <v/>
      </c>
      <c r="P35" s="28">
        <f>MOD(ABS(SIN(semilla*12.9898+30*78.233+2*37.719))*43758.5453,1)</f>
        <v>0.83101650757816969</v>
      </c>
      <c r="Q35" s="22" t="str">
        <f>"I"&amp;(MOD(30-1,3)+1)</f>
        <v>I3</v>
      </c>
      <c r="R35" s="22" t="str">
        <f t="shared" si="5"/>
        <v/>
      </c>
      <c r="S35" s="28">
        <f>MOD(ABS(SIN(semilla*12.9898+30*78.233+3*37.719))*43758.5453,1)</f>
        <v>0.17182356944977073</v>
      </c>
      <c r="T35" s="22" t="str">
        <f>"I"&amp;(MOD(30-1,3)+1)</f>
        <v>I3</v>
      </c>
      <c r="U35" s="22" t="str">
        <f t="shared" si="6"/>
        <v/>
      </c>
      <c r="V35" s="28">
        <f>MOD(ABS(SIN(semilla*12.9898+30*78.233+4*37.719))*43758.5453,1)</f>
        <v>0.61419809525250457</v>
      </c>
      <c r="W35" s="22" t="str">
        <f>"I"&amp;(MOD(30-1,3)+1)</f>
        <v>I3</v>
      </c>
      <c r="X35" s="22" t="str">
        <f t="shared" si="7"/>
        <v/>
      </c>
    </row>
    <row r="36" spans="1:24" x14ac:dyDescent="0.3">
      <c r="A36" s="12" t="str">
        <f>IF(ISNUMBER(rpd),IF(31&lt;=3*rpd,31,""),"")</f>
        <v/>
      </c>
      <c r="B36" s="18" t="str">
        <f t="shared" si="0"/>
        <v/>
      </c>
      <c r="C36" s="19" t="str">
        <f>IF(OR(B36="",B36="—"),"",IF(INDEX(corrientes,MATCH(B36,{"I1","I2","I3"},0))="","",INDEX(corrientes,MATCH(B36,{"I1","I2","I3"},0))))</f>
        <v/>
      </c>
      <c r="D36" s="18" t="str">
        <f t="shared" si="1"/>
        <v/>
      </c>
      <c r="E36" s="19" t="str">
        <f>IF(OR(D36="",D36="—"),"",IF(INDEX(corrientes,MATCH(D36,{"I1","I2","I3"},0))="","",INDEX(corrientes,MATCH(D36,{"I1","I2","I3"},0))))</f>
        <v/>
      </c>
      <c r="F36" s="18" t="str">
        <f t="shared" si="2"/>
        <v/>
      </c>
      <c r="G36" s="19" t="str">
        <f>IF(OR(F36="",F36="—"),"",IF(INDEX(corrientes,MATCH(F36,{"I1","I2","I3"},0))="","",INDEX(corrientes,MATCH(F36,{"I1","I2","I3"},0))))</f>
        <v/>
      </c>
      <c r="H36" s="18" t="str">
        <f t="shared" si="3"/>
        <v/>
      </c>
      <c r="I36" s="19" t="str">
        <f>IF(OR(H36="",H36="—"),"",IF(INDEX(corrientes,MATCH(H36,{"I1","I2","I3"},0))="","",INDEX(corrientes,MATCH(H36,{"I1","I2","I3"},0))))</f>
        <v/>
      </c>
      <c r="M36" s="28">
        <f>MOD(ABS(SIN(semilla*12.9898+31*78.233+1*37.719))*43758.5453,1)</f>
        <v>0.8479231966266525</v>
      </c>
      <c r="N36" s="22" t="str">
        <f>"I"&amp;(MOD(31-1,3)+1)</f>
        <v>I1</v>
      </c>
      <c r="O36" s="22" t="str">
        <f t="shared" si="4"/>
        <v/>
      </c>
      <c r="P36" s="28">
        <f>MOD(ABS(SIN(semilla*12.9898+31*78.233+2*37.719))*43758.5453,1)</f>
        <v>8.1549135731620481E-2</v>
      </c>
      <c r="Q36" s="22" t="str">
        <f>"I"&amp;(MOD(31-1,3)+1)</f>
        <v>I1</v>
      </c>
      <c r="R36" s="22" t="str">
        <f t="shared" si="5"/>
        <v/>
      </c>
      <c r="S36" s="28">
        <f>MOD(ABS(SIN(semilla*12.9898+31*78.233+3*37.719))*43758.5453,1)</f>
        <v>0.68747710419847863</v>
      </c>
      <c r="T36" s="22" t="str">
        <f>"I"&amp;(MOD(31-1,3)+1)</f>
        <v>I1</v>
      </c>
      <c r="U36" s="22" t="str">
        <f t="shared" si="6"/>
        <v/>
      </c>
      <c r="V36" s="28">
        <f>MOD(ABS(SIN(semilla*12.9898+31*78.233+4*37.719))*43758.5453,1)</f>
        <v>0.92295447251672158</v>
      </c>
      <c r="W36" s="22" t="str">
        <f>"I"&amp;(MOD(31-1,3)+1)</f>
        <v>I1</v>
      </c>
      <c r="X36" s="22" t="str">
        <f t="shared" si="7"/>
        <v/>
      </c>
    </row>
    <row r="37" spans="1:24" x14ac:dyDescent="0.3">
      <c r="A37" s="12" t="str">
        <f>IF(ISNUMBER(rpd),IF(32&lt;=3*rpd,32,""),"")</f>
        <v/>
      </c>
      <c r="B37" s="18" t="str">
        <f t="shared" si="0"/>
        <v/>
      </c>
      <c r="C37" s="19" t="str">
        <f>IF(OR(B37="",B37="—"),"",IF(INDEX(corrientes,MATCH(B37,{"I1","I2","I3"},0))="","",INDEX(corrientes,MATCH(B37,{"I1","I2","I3"},0))))</f>
        <v/>
      </c>
      <c r="D37" s="18" t="str">
        <f t="shared" si="1"/>
        <v/>
      </c>
      <c r="E37" s="19" t="str">
        <f>IF(OR(D37="",D37="—"),"",IF(INDEX(corrientes,MATCH(D37,{"I1","I2","I3"},0))="","",INDEX(corrientes,MATCH(D37,{"I1","I2","I3"},0))))</f>
        <v/>
      </c>
      <c r="F37" s="18" t="str">
        <f t="shared" si="2"/>
        <v/>
      </c>
      <c r="G37" s="19" t="str">
        <f>IF(OR(F37="",F37="—"),"",IF(INDEX(corrientes,MATCH(F37,{"I1","I2","I3"},0))="","",INDEX(corrientes,MATCH(F37,{"I1","I2","I3"},0))))</f>
        <v/>
      </c>
      <c r="H37" s="18" t="str">
        <f t="shared" si="3"/>
        <v/>
      </c>
      <c r="I37" s="19" t="str">
        <f>IF(OR(H37="",H37="—"),"",IF(INDEX(corrientes,MATCH(H37,{"I1","I2","I3"},0))="","",INDEX(corrientes,MATCH(H37,{"I1","I2","I3"},0))))</f>
        <v/>
      </c>
      <c r="M37" s="28">
        <f>MOD(ABS(SIN(semilla*12.9898+32*78.233+1*37.719))*43758.5453,1)</f>
        <v>0.9734788136483985</v>
      </c>
      <c r="N37" s="22" t="str">
        <f>"I"&amp;(MOD(32-1,3)+1)</f>
        <v>I2</v>
      </c>
      <c r="O37" s="22" t="str">
        <f t="shared" si="4"/>
        <v/>
      </c>
      <c r="P37" s="28">
        <f>MOD(ABS(SIN(semilla*12.9898+32*78.233+2*37.719))*43758.5453,1)</f>
        <v>0.54803277790051652</v>
      </c>
      <c r="Q37" s="22" t="str">
        <f>"I"&amp;(MOD(32-1,3)+1)</f>
        <v>I2</v>
      </c>
      <c r="R37" s="22" t="str">
        <f t="shared" si="5"/>
        <v/>
      </c>
      <c r="S37" s="28">
        <f>MOD(ABS(SIN(semilla*12.9898+32*78.233+3*37.719))*43758.5453,1)</f>
        <v>0.16595949105249019</v>
      </c>
      <c r="T37" s="22" t="str">
        <f>"I"&amp;(MOD(32-1,3)+1)</f>
        <v>I2</v>
      </c>
      <c r="U37" s="22" t="str">
        <f t="shared" si="6"/>
        <v/>
      </c>
      <c r="V37" s="28">
        <f>MOD(ABS(SIN(semilla*12.9898+32*78.233+4*37.719))*43758.5453,1)</f>
        <v>3.4188761783298105E-3</v>
      </c>
      <c r="W37" s="22" t="str">
        <f>"I"&amp;(MOD(32-1,3)+1)</f>
        <v>I2</v>
      </c>
      <c r="X37" s="22" t="str">
        <f t="shared" si="7"/>
        <v/>
      </c>
    </row>
    <row r="38" spans="1:24" x14ac:dyDescent="0.3">
      <c r="A38" s="12" t="str">
        <f>IF(ISNUMBER(rpd),IF(33&lt;=3*rpd,33,""),"")</f>
        <v/>
      </c>
      <c r="B38" s="18" t="str">
        <f t="shared" ref="B38:B65" si="8">IF(ISNUMBER($A38),IF(1&lt;=dias,IFERROR(INDEX($N$6:$N$65,MATCH($A38,$O$6:$O$65,0)),""),"—"),"")</f>
        <v/>
      </c>
      <c r="C38" s="19" t="str">
        <f>IF(OR(B38="",B38="—"),"",IF(INDEX(corrientes,MATCH(B38,{"I1","I2","I3"},0))="","",INDEX(corrientes,MATCH(B38,{"I1","I2","I3"},0))))</f>
        <v/>
      </c>
      <c r="D38" s="18" t="str">
        <f t="shared" ref="D38:D65" si="9">IF(ISNUMBER($A38),IF(2&lt;=dias,IFERROR(INDEX($Q$6:$Q$65,MATCH($A38,$R$6:$R$65,0)),""),"—"),"")</f>
        <v/>
      </c>
      <c r="E38" s="19" t="str">
        <f>IF(OR(D38="",D38="—"),"",IF(INDEX(corrientes,MATCH(D38,{"I1","I2","I3"},0))="","",INDEX(corrientes,MATCH(D38,{"I1","I2","I3"},0))))</f>
        <v/>
      </c>
      <c r="F38" s="18" t="str">
        <f t="shared" ref="F38:F65" si="10">IF(ISNUMBER($A38),IF(3&lt;=dias,IFERROR(INDEX($T$6:$T$65,MATCH($A38,$U$6:$U$65,0)),""),"—"),"")</f>
        <v/>
      </c>
      <c r="G38" s="19" t="str">
        <f>IF(OR(F38="",F38="—"),"",IF(INDEX(corrientes,MATCH(F38,{"I1","I2","I3"},0))="","",INDEX(corrientes,MATCH(F38,{"I1","I2","I3"},0))))</f>
        <v/>
      </c>
      <c r="H38" s="18" t="str">
        <f t="shared" ref="H38:H65" si="11">IF(ISNUMBER($A38),IF(4&lt;=dias,IFERROR(INDEX($W$6:$W$65,MATCH($A38,$X$6:$X$65,0)),""),"—"),"")</f>
        <v/>
      </c>
      <c r="I38" s="19" t="str">
        <f>IF(OR(H38="",H38="—"),"",IF(INDEX(corrientes,MATCH(H38,{"I1","I2","I3"},0))="","",INDEX(corrientes,MATCH(H38,{"I1","I2","I3"},0))))</f>
        <v/>
      </c>
      <c r="M38" s="28">
        <f>MOD(ABS(SIN(semilla*12.9898+33*78.233+1*37.719))*43758.5453,1)</f>
        <v>1.4306503733678255E-2</v>
      </c>
      <c r="N38" s="22" t="str">
        <f>"I"&amp;(MOD(33-1,3)+1)</f>
        <v>I3</v>
      </c>
      <c r="O38" s="22" t="str">
        <f t="shared" ref="O38:O65" si="12">IF(ISNUMBER($A38),IF(1&lt;=dias,COUNTIFS($M$6:$M$65,"&lt;"&amp;M38,$A$6:$A$65,"&gt;0")+1,""),"")</f>
        <v/>
      </c>
      <c r="P38" s="28">
        <f>MOD(ABS(SIN(semilla*12.9898+33*78.233+2*37.719))*43758.5453,1)</f>
        <v>0.1315724778251024</v>
      </c>
      <c r="Q38" s="22" t="str">
        <f>"I"&amp;(MOD(33-1,3)+1)</f>
        <v>I3</v>
      </c>
      <c r="R38" s="22" t="str">
        <f t="shared" ref="R38:R65" si="13">IF(ISNUMBER($A38),IF(2&lt;=dias,COUNTIFS($P$6:$P$65,"&lt;"&amp;P38,$A$6:$A$65,"&gt;0")+1,""),"")</f>
        <v/>
      </c>
      <c r="S38" s="28">
        <f>MOD(ABS(SIN(semilla*12.9898+33*78.233+3*37.719))*43758.5453,1)</f>
        <v>0.36023255006148247</v>
      </c>
      <c r="T38" s="22" t="str">
        <f>"I"&amp;(MOD(33-1,3)+1)</f>
        <v>I3</v>
      </c>
      <c r="U38" s="22" t="str">
        <f t="shared" ref="U38:U65" si="14">IF(ISNUMBER($A38),IF(3&lt;=dias,COUNTIFS($S$6:$S$65,"&lt;"&amp;S38,$A$6:$A$65,"&gt;0")+1,""),"")</f>
        <v/>
      </c>
      <c r="V38" s="28">
        <f>MOD(ABS(SIN(semilla*12.9898+33*78.233+4*37.719))*43758.5453,1)</f>
        <v>0.77890583995758789</v>
      </c>
      <c r="W38" s="22" t="str">
        <f>"I"&amp;(MOD(33-1,3)+1)</f>
        <v>I3</v>
      </c>
      <c r="X38" s="22" t="str">
        <f t="shared" ref="X38:X65" si="15">IF(ISNUMBER($A38),IF(4&lt;=dias,COUNTIFS($V$6:$V$65,"&lt;"&amp;V38,$A$6:$A$65,"&gt;0")+1,""),"")</f>
        <v/>
      </c>
    </row>
    <row r="39" spans="1:24" x14ac:dyDescent="0.3">
      <c r="A39" s="12" t="str">
        <f>IF(ISNUMBER(rpd),IF(34&lt;=3*rpd,34,""),"")</f>
        <v/>
      </c>
      <c r="B39" s="18" t="str">
        <f t="shared" si="8"/>
        <v/>
      </c>
      <c r="C39" s="19" t="str">
        <f>IF(OR(B39="",B39="—"),"",IF(INDEX(corrientes,MATCH(B39,{"I1","I2","I3"},0))="","",INDEX(corrientes,MATCH(B39,{"I1","I2","I3"},0))))</f>
        <v/>
      </c>
      <c r="D39" s="18" t="str">
        <f t="shared" si="9"/>
        <v/>
      </c>
      <c r="E39" s="19" t="str">
        <f>IF(OR(D39="",D39="—"),"",IF(INDEX(corrientes,MATCH(D39,{"I1","I2","I3"},0))="","",INDEX(corrientes,MATCH(D39,{"I1","I2","I3"},0))))</f>
        <v/>
      </c>
      <c r="F39" s="18" t="str">
        <f t="shared" si="10"/>
        <v/>
      </c>
      <c r="G39" s="19" t="str">
        <f>IF(OR(F39="",F39="—"),"",IF(INDEX(corrientes,MATCH(F39,{"I1","I2","I3"},0))="","",INDEX(corrientes,MATCH(F39,{"I1","I2","I3"},0))))</f>
        <v/>
      </c>
      <c r="H39" s="18" t="str">
        <f t="shared" si="11"/>
        <v/>
      </c>
      <c r="I39" s="19" t="str">
        <f>IF(OR(H39="",H39="—"),"",IF(INDEX(corrientes,MATCH(H39,{"I1","I2","I3"},0))="","",INDEX(corrientes,MATCH(H39,{"I1","I2","I3"},0))))</f>
        <v/>
      </c>
      <c r="M39" s="28">
        <f>MOD(ABS(SIN(semilla*12.9898+34*78.233+1*37.719))*43758.5453,1)</f>
        <v>0.96368323146452894</v>
      </c>
      <c r="N39" s="22" t="str">
        <f>"I"&amp;(MOD(34-1,3)+1)</f>
        <v>I1</v>
      </c>
      <c r="O39" s="22" t="str">
        <f t="shared" si="12"/>
        <v/>
      </c>
      <c r="P39" s="28">
        <f>MOD(ABS(SIN(semilla*12.9898+34*78.233+2*37.719))*43758.5453,1)</f>
        <v>0.61152857128763571</v>
      </c>
      <c r="Q39" s="22" t="str">
        <f>"I"&amp;(MOD(34-1,3)+1)</f>
        <v>I1</v>
      </c>
      <c r="R39" s="22" t="str">
        <f t="shared" si="13"/>
        <v/>
      </c>
      <c r="S39" s="28">
        <f>MOD(ABS(SIN(semilla*12.9898+34*78.233+3*37.719))*43758.5453,1)</f>
        <v>1.6187006629479583E-2</v>
      </c>
      <c r="T39" s="22" t="str">
        <f>"I"&amp;(MOD(34-1,3)+1)</f>
        <v>I1</v>
      </c>
      <c r="U39" s="22" t="str">
        <f t="shared" si="14"/>
        <v/>
      </c>
      <c r="V39" s="28">
        <f>MOD(ABS(SIN(semilla*12.9898+34*78.233+4*37.719))*43758.5453,1)</f>
        <v>0.15139381901099114</v>
      </c>
      <c r="W39" s="22" t="str">
        <f>"I"&amp;(MOD(34-1,3)+1)</f>
        <v>I1</v>
      </c>
      <c r="X39" s="22" t="str">
        <f t="shared" si="15"/>
        <v/>
      </c>
    </row>
    <row r="40" spans="1:24" x14ac:dyDescent="0.3">
      <c r="A40" s="12" t="str">
        <f>IF(ISNUMBER(rpd),IF(35&lt;=3*rpd,35,""),"")</f>
        <v/>
      </c>
      <c r="B40" s="18" t="str">
        <f t="shared" si="8"/>
        <v/>
      </c>
      <c r="C40" s="19" t="str">
        <f>IF(OR(B40="",B40="—"),"",IF(INDEX(corrientes,MATCH(B40,{"I1","I2","I3"},0))="","",INDEX(corrientes,MATCH(B40,{"I1","I2","I3"},0))))</f>
        <v/>
      </c>
      <c r="D40" s="18" t="str">
        <f t="shared" si="9"/>
        <v/>
      </c>
      <c r="E40" s="19" t="str">
        <f>IF(OR(D40="",D40="—"),"",IF(INDEX(corrientes,MATCH(D40,{"I1","I2","I3"},0))="","",INDEX(corrientes,MATCH(D40,{"I1","I2","I3"},0))))</f>
        <v/>
      </c>
      <c r="F40" s="18" t="str">
        <f t="shared" si="10"/>
        <v/>
      </c>
      <c r="G40" s="19" t="str">
        <f>IF(OR(F40="",F40="—"),"",IF(INDEX(corrientes,MATCH(F40,{"I1","I2","I3"},0))="","",INDEX(corrientes,MATCH(F40,{"I1","I2","I3"},0))))</f>
        <v/>
      </c>
      <c r="H40" s="18" t="str">
        <f t="shared" si="11"/>
        <v/>
      </c>
      <c r="I40" s="19" t="str">
        <f>IF(OR(H40="",H40="—"),"",IF(INDEX(corrientes,MATCH(H40,{"I1","I2","I3"},0))="","",INDEX(corrientes,MATCH(H40,{"I1","I2","I3"},0))))</f>
        <v/>
      </c>
      <c r="M40" s="28">
        <f>MOD(ABS(SIN(semilla*12.9898+35*78.233+1*37.719))*43758.5453,1)</f>
        <v>0.89086783806851599</v>
      </c>
      <c r="N40" s="22" t="str">
        <f>"I"&amp;(MOD(35-1,3)+1)</f>
        <v>I2</v>
      </c>
      <c r="O40" s="22" t="str">
        <f t="shared" si="12"/>
        <v/>
      </c>
      <c r="P40" s="28">
        <f>MOD(ABS(SIN(semilla*12.9898+35*78.233+2*37.719))*43758.5453,1)</f>
        <v>0.25657459186913911</v>
      </c>
      <c r="Q40" s="22" t="str">
        <f>"I"&amp;(MOD(35-1,3)+1)</f>
        <v>I2</v>
      </c>
      <c r="R40" s="22" t="str">
        <f t="shared" si="13"/>
        <v/>
      </c>
      <c r="S40" s="28">
        <f>MOD(ABS(SIN(semilla*12.9898+35*78.233+3*37.719))*43758.5453,1)</f>
        <v>0.63502899130253354</v>
      </c>
      <c r="T40" s="22" t="str">
        <f>"I"&amp;(MOD(35-1,3)+1)</f>
        <v>I2</v>
      </c>
      <c r="U40" s="22" t="str">
        <f t="shared" si="14"/>
        <v/>
      </c>
      <c r="V40" s="28">
        <f>MOD(ABS(SIN(semilla*12.9898+35*78.233+4*37.719))*43758.5453,1)</f>
        <v>0.89753560752433259</v>
      </c>
      <c r="W40" s="22" t="str">
        <f>"I"&amp;(MOD(35-1,3)+1)</f>
        <v>I2</v>
      </c>
      <c r="X40" s="22" t="str">
        <f t="shared" si="15"/>
        <v/>
      </c>
    </row>
    <row r="41" spans="1:24" x14ac:dyDescent="0.3">
      <c r="A41" s="12" t="str">
        <f>IF(ISNUMBER(rpd),IF(36&lt;=3*rpd,36,""),"")</f>
        <v/>
      </c>
      <c r="B41" s="18" t="str">
        <f t="shared" si="8"/>
        <v/>
      </c>
      <c r="C41" s="19" t="str">
        <f>IF(OR(B41="",B41="—"),"",IF(INDEX(corrientes,MATCH(B41,{"I1","I2","I3"},0))="","",INDEX(corrientes,MATCH(B41,{"I1","I2","I3"},0))))</f>
        <v/>
      </c>
      <c r="D41" s="18" t="str">
        <f t="shared" si="9"/>
        <v/>
      </c>
      <c r="E41" s="19" t="str">
        <f>IF(OR(D41="",D41="—"),"",IF(INDEX(corrientes,MATCH(D41,{"I1","I2","I3"},0))="","",INDEX(corrientes,MATCH(D41,{"I1","I2","I3"},0))))</f>
        <v/>
      </c>
      <c r="F41" s="18" t="str">
        <f t="shared" si="10"/>
        <v/>
      </c>
      <c r="G41" s="19" t="str">
        <f>IF(OR(F41="",F41="—"),"",IF(INDEX(corrientes,MATCH(F41,{"I1","I2","I3"},0))="","",INDEX(corrientes,MATCH(F41,{"I1","I2","I3"},0))))</f>
        <v/>
      </c>
      <c r="H41" s="18" t="str">
        <f t="shared" si="11"/>
        <v/>
      </c>
      <c r="I41" s="19" t="str">
        <f>IF(OR(H41="",H41="—"),"",IF(INDEX(corrientes,MATCH(H41,{"I1","I2","I3"},0))="","",INDEX(corrientes,MATCH(H41,{"I1","I2","I3"},0))))</f>
        <v/>
      </c>
      <c r="M41" s="28">
        <f>MOD(ABS(SIN(semilla*12.9898+36*78.233+1*37.719))*43758.5453,1)</f>
        <v>0.44523874503647676</v>
      </c>
      <c r="N41" s="22" t="str">
        <f>"I"&amp;(MOD(36-1,3)+1)</f>
        <v>I3</v>
      </c>
      <c r="O41" s="22" t="str">
        <f t="shared" si="12"/>
        <v/>
      </c>
      <c r="P41" s="28">
        <f>MOD(ABS(SIN(semilla*12.9898+36*78.233+2*37.719))*43758.5453,1)</f>
        <v>0.64521236910513835</v>
      </c>
      <c r="Q41" s="22" t="str">
        <f>"I"&amp;(MOD(36-1,3)+1)</f>
        <v>I3</v>
      </c>
      <c r="R41" s="22" t="str">
        <f t="shared" si="13"/>
        <v/>
      </c>
      <c r="S41" s="28">
        <f>MOD(ABS(SIN(semilla*12.9898+36*78.233+3*37.719))*43758.5453,1)</f>
        <v>0.60707931661454495</v>
      </c>
      <c r="T41" s="22" t="str">
        <f>"I"&amp;(MOD(36-1,3)+1)</f>
        <v>I3</v>
      </c>
      <c r="U41" s="22" t="str">
        <f t="shared" si="14"/>
        <v/>
      </c>
      <c r="V41" s="28">
        <f>MOD(ABS(SIN(semilla*12.9898+36*78.233+4*37.719))*43758.5453,1)</f>
        <v>0.11173361554392613</v>
      </c>
      <c r="W41" s="22" t="str">
        <f>"I"&amp;(MOD(36-1,3)+1)</f>
        <v>I3</v>
      </c>
      <c r="X41" s="22" t="str">
        <f t="shared" si="15"/>
        <v/>
      </c>
    </row>
    <row r="42" spans="1:24" x14ac:dyDescent="0.3">
      <c r="A42" s="12" t="str">
        <f>IF(ISNUMBER(rpd),IF(37&lt;=3*rpd,37,""),"")</f>
        <v/>
      </c>
      <c r="B42" s="18" t="str">
        <f t="shared" si="8"/>
        <v/>
      </c>
      <c r="C42" s="19" t="str">
        <f>IF(OR(B42="",B42="—"),"",IF(INDEX(corrientes,MATCH(B42,{"I1","I2","I3"},0))="","",INDEX(corrientes,MATCH(B42,{"I1","I2","I3"},0))))</f>
        <v/>
      </c>
      <c r="D42" s="18" t="str">
        <f t="shared" si="9"/>
        <v/>
      </c>
      <c r="E42" s="19" t="str">
        <f>IF(OR(D42="",D42="—"),"",IF(INDEX(corrientes,MATCH(D42,{"I1","I2","I3"},0))="","",INDEX(corrientes,MATCH(D42,{"I1","I2","I3"},0))))</f>
        <v/>
      </c>
      <c r="F42" s="18" t="str">
        <f t="shared" si="10"/>
        <v/>
      </c>
      <c r="G42" s="19" t="str">
        <f>IF(OR(F42="",F42="—"),"",IF(INDEX(corrientes,MATCH(F42,{"I1","I2","I3"},0))="","",INDEX(corrientes,MATCH(F42,{"I1","I2","I3"},0))))</f>
        <v/>
      </c>
      <c r="H42" s="18" t="str">
        <f t="shared" si="11"/>
        <v/>
      </c>
      <c r="I42" s="19" t="str">
        <f>IF(OR(H42="",H42="—"),"",IF(INDEX(corrientes,MATCH(H42,{"I1","I2","I3"},0))="","",INDEX(corrientes,MATCH(H42,{"I1","I2","I3"},0))))</f>
        <v/>
      </c>
      <c r="M42" s="28">
        <f>MOD(ABS(SIN(semilla*12.9898+37*78.233+1*37.719))*43758.5453,1)</f>
        <v>0.90760675439378247</v>
      </c>
      <c r="N42" s="22" t="str">
        <f>"I"&amp;(MOD(37-1,3)+1)</f>
        <v>I1</v>
      </c>
      <c r="O42" s="22" t="str">
        <f t="shared" si="12"/>
        <v/>
      </c>
      <c r="P42" s="28">
        <f>MOD(ABS(SIN(semilla*12.9898+37*78.233+2*37.719))*43758.5453,1)</f>
        <v>0.9653073490371753</v>
      </c>
      <c r="Q42" s="22" t="str">
        <f>"I"&amp;(MOD(37-1,3)+1)</f>
        <v>I1</v>
      </c>
      <c r="R42" s="22" t="str">
        <f t="shared" si="13"/>
        <v/>
      </c>
      <c r="S42" s="28">
        <f>MOD(ABS(SIN(semilla*12.9898+37*78.233+3*37.719))*43758.5453,1)</f>
        <v>0.77048756404474261</v>
      </c>
      <c r="T42" s="22" t="str">
        <f>"I"&amp;(MOD(37-1,3)+1)</f>
        <v>I1</v>
      </c>
      <c r="U42" s="22" t="str">
        <f t="shared" si="14"/>
        <v/>
      </c>
      <c r="V42" s="28">
        <f>MOD(ABS(SIN(semilla*12.9898+37*78.233+4*37.719))*43758.5453,1)</f>
        <v>3.4095406077540247E-2</v>
      </c>
      <c r="W42" s="22" t="str">
        <f>"I"&amp;(MOD(37-1,3)+1)</f>
        <v>I1</v>
      </c>
      <c r="X42" s="22" t="str">
        <f t="shared" si="15"/>
        <v/>
      </c>
    </row>
    <row r="43" spans="1:24" x14ac:dyDescent="0.3">
      <c r="A43" s="12" t="str">
        <f>IF(ISNUMBER(rpd),IF(38&lt;=3*rpd,38,""),"")</f>
        <v/>
      </c>
      <c r="B43" s="18" t="str">
        <f t="shared" si="8"/>
        <v/>
      </c>
      <c r="C43" s="19" t="str">
        <f>IF(OR(B43="",B43="—"),"",IF(INDEX(corrientes,MATCH(B43,{"I1","I2","I3"},0))="","",INDEX(corrientes,MATCH(B43,{"I1","I2","I3"},0))))</f>
        <v/>
      </c>
      <c r="D43" s="18" t="str">
        <f t="shared" si="9"/>
        <v/>
      </c>
      <c r="E43" s="19" t="str">
        <f>IF(OR(D43="",D43="—"),"",IF(INDEX(corrientes,MATCH(D43,{"I1","I2","I3"},0))="","",INDEX(corrientes,MATCH(D43,{"I1","I2","I3"},0))))</f>
        <v/>
      </c>
      <c r="F43" s="18" t="str">
        <f t="shared" si="10"/>
        <v/>
      </c>
      <c r="G43" s="19" t="str">
        <f>IF(OR(F43="",F43="—"),"",IF(INDEX(corrientes,MATCH(F43,{"I1","I2","I3"},0))="","",INDEX(corrientes,MATCH(F43,{"I1","I2","I3"},0))))</f>
        <v/>
      </c>
      <c r="H43" s="18" t="str">
        <f t="shared" si="11"/>
        <v/>
      </c>
      <c r="I43" s="19" t="str">
        <f>IF(OR(H43="",H43="—"),"",IF(INDEX(corrientes,MATCH(H43,{"I1","I2","I3"},0))="","",INDEX(corrientes,MATCH(H43,{"I1","I2","I3"},0))))</f>
        <v/>
      </c>
      <c r="M43" s="28">
        <f>MOD(ABS(SIN(semilla*12.9898+38*78.233+1*37.719))*43758.5453,1)</f>
        <v>0.58591362293373095</v>
      </c>
      <c r="N43" s="22" t="str">
        <f>"I"&amp;(MOD(38-1,3)+1)</f>
        <v>I2</v>
      </c>
      <c r="O43" s="22" t="str">
        <f t="shared" si="12"/>
        <v/>
      </c>
      <c r="P43" s="28">
        <f>MOD(ABS(SIN(semilla*12.9898+38*78.233+2*37.719))*43758.5453,1)</f>
        <v>0.37987058382896066</v>
      </c>
      <c r="Q43" s="22" t="str">
        <f>"I"&amp;(MOD(38-1,3)+1)</f>
        <v>I2</v>
      </c>
      <c r="R43" s="22" t="str">
        <f t="shared" si="13"/>
        <v/>
      </c>
      <c r="S43" s="28">
        <f>MOD(ABS(SIN(semilla*12.9898+38*78.233+3*37.719))*43758.5453,1)</f>
        <v>0.7710798827738472</v>
      </c>
      <c r="T43" s="22" t="str">
        <f>"I"&amp;(MOD(38-1,3)+1)</f>
        <v>I2</v>
      </c>
      <c r="U43" s="22" t="str">
        <f t="shared" si="14"/>
        <v/>
      </c>
      <c r="V43" s="28">
        <f>MOD(ABS(SIN(semilla*12.9898+38*78.233+4*37.719))*43758.5453,1)</f>
        <v>0.42754099308513105</v>
      </c>
      <c r="W43" s="22" t="str">
        <f>"I"&amp;(MOD(38-1,3)+1)</f>
        <v>I2</v>
      </c>
      <c r="X43" s="22" t="str">
        <f t="shared" si="15"/>
        <v/>
      </c>
    </row>
    <row r="44" spans="1:24" x14ac:dyDescent="0.3">
      <c r="A44" s="12" t="str">
        <f>IF(ISNUMBER(rpd),IF(39&lt;=3*rpd,39,""),"")</f>
        <v/>
      </c>
      <c r="B44" s="18" t="str">
        <f t="shared" si="8"/>
        <v/>
      </c>
      <c r="C44" s="19" t="str">
        <f>IF(OR(B44="",B44="—"),"",IF(INDEX(corrientes,MATCH(B44,{"I1","I2","I3"},0))="","",INDEX(corrientes,MATCH(B44,{"I1","I2","I3"},0))))</f>
        <v/>
      </c>
      <c r="D44" s="18" t="str">
        <f t="shared" si="9"/>
        <v/>
      </c>
      <c r="E44" s="19" t="str">
        <f>IF(OR(D44="",D44="—"),"",IF(INDEX(corrientes,MATCH(D44,{"I1","I2","I3"},0))="","",INDEX(corrientes,MATCH(D44,{"I1","I2","I3"},0))))</f>
        <v/>
      </c>
      <c r="F44" s="18" t="str">
        <f t="shared" si="10"/>
        <v/>
      </c>
      <c r="G44" s="19" t="str">
        <f>IF(OR(F44="",F44="—"),"",IF(INDEX(corrientes,MATCH(F44,{"I1","I2","I3"},0))="","",INDEX(corrientes,MATCH(F44,{"I1","I2","I3"},0))))</f>
        <v/>
      </c>
      <c r="H44" s="18" t="str">
        <f t="shared" si="11"/>
        <v/>
      </c>
      <c r="I44" s="19" t="str">
        <f>IF(OR(H44="",H44="—"),"",IF(INDEX(corrientes,MATCH(H44,{"I1","I2","I3"},0))="","",INDEX(corrientes,MATCH(H44,{"I1","I2","I3"},0))))</f>
        <v/>
      </c>
      <c r="M44" s="28">
        <f>MOD(ABS(SIN(semilla*12.9898+39*78.233+1*37.719))*43758.5453,1)</f>
        <v>0.59743495315751716</v>
      </c>
      <c r="N44" s="22" t="str">
        <f>"I"&amp;(MOD(39-1,3)+1)</f>
        <v>I3</v>
      </c>
      <c r="O44" s="22" t="str">
        <f t="shared" si="12"/>
        <v/>
      </c>
      <c r="P44" s="28">
        <f>MOD(ABS(SIN(semilla*12.9898+39*78.233+2*37.719))*43758.5453,1)</f>
        <v>0.87766998065762891</v>
      </c>
      <c r="Q44" s="22" t="str">
        <f>"I"&amp;(MOD(39-1,3)+1)</f>
        <v>I3</v>
      </c>
      <c r="R44" s="22" t="str">
        <f t="shared" si="13"/>
        <v/>
      </c>
      <c r="S44" s="28">
        <f>MOD(ABS(SIN(semilla*12.9898+39*78.233+3*37.719))*43758.5453,1)</f>
        <v>0.29966283672138161</v>
      </c>
      <c r="T44" s="22" t="str">
        <f>"I"&amp;(MOD(39-1,3)+1)</f>
        <v>I3</v>
      </c>
      <c r="U44" s="22" t="str">
        <f t="shared" si="14"/>
        <v/>
      </c>
      <c r="V44" s="28">
        <f>MOD(ABS(SIN(semilla*12.9898+39*78.233+4*37.719))*43758.5453,1)</f>
        <v>0.20735369567768203</v>
      </c>
      <c r="W44" s="22" t="str">
        <f>"I"&amp;(MOD(39-1,3)+1)</f>
        <v>I3</v>
      </c>
      <c r="X44" s="22" t="str">
        <f t="shared" si="15"/>
        <v/>
      </c>
    </row>
    <row r="45" spans="1:24" x14ac:dyDescent="0.3">
      <c r="A45" s="12" t="str">
        <f>IF(ISNUMBER(rpd),IF(40&lt;=3*rpd,40,""),"")</f>
        <v/>
      </c>
      <c r="B45" s="18" t="str">
        <f t="shared" si="8"/>
        <v/>
      </c>
      <c r="C45" s="19" t="str">
        <f>IF(OR(B45="",B45="—"),"",IF(INDEX(corrientes,MATCH(B45,{"I1","I2","I3"},0))="","",INDEX(corrientes,MATCH(B45,{"I1","I2","I3"},0))))</f>
        <v/>
      </c>
      <c r="D45" s="18" t="str">
        <f t="shared" si="9"/>
        <v/>
      </c>
      <c r="E45" s="19" t="str">
        <f>IF(OR(D45="",D45="—"),"",IF(INDEX(corrientes,MATCH(D45,{"I1","I2","I3"},0))="","",INDEX(corrientes,MATCH(D45,{"I1","I2","I3"},0))))</f>
        <v/>
      </c>
      <c r="F45" s="18" t="str">
        <f t="shared" si="10"/>
        <v/>
      </c>
      <c r="G45" s="19" t="str">
        <f>IF(OR(F45="",F45="—"),"",IF(INDEX(corrientes,MATCH(F45,{"I1","I2","I3"},0))="","",INDEX(corrientes,MATCH(F45,{"I1","I2","I3"},0))))</f>
        <v/>
      </c>
      <c r="H45" s="18" t="str">
        <f t="shared" si="11"/>
        <v/>
      </c>
      <c r="I45" s="19" t="str">
        <f>IF(OR(H45="",H45="—"),"",IF(INDEX(corrientes,MATCH(H45,{"I1","I2","I3"},0))="","",INDEX(corrientes,MATCH(H45,{"I1","I2","I3"},0))))</f>
        <v/>
      </c>
      <c r="M45" s="28">
        <f>MOD(ABS(SIN(semilla*12.9898+40*78.233+1*37.719))*43758.5453,1)</f>
        <v>0.97544901314540766</v>
      </c>
      <c r="N45" s="22" t="str">
        <f>"I"&amp;(MOD(40-1,3)+1)</f>
        <v>I1</v>
      </c>
      <c r="O45" s="22" t="str">
        <f t="shared" si="12"/>
        <v/>
      </c>
      <c r="P45" s="28">
        <f>MOD(ABS(SIN(semilla*12.9898+40*78.233+2*37.719))*43758.5453,1)</f>
        <v>0.46839759255271929</v>
      </c>
      <c r="Q45" s="22" t="str">
        <f>"I"&amp;(MOD(40-1,3)+1)</f>
        <v>I1</v>
      </c>
      <c r="R45" s="22" t="str">
        <f t="shared" si="13"/>
        <v/>
      </c>
      <c r="S45" s="28">
        <f>MOD(ABS(SIN(semilla*12.9898+40*78.233+3*37.719))*43758.5453,1)</f>
        <v>0.92227408030703373</v>
      </c>
      <c r="T45" s="22" t="str">
        <f>"I"&amp;(MOD(40-1,3)+1)</f>
        <v>I1</v>
      </c>
      <c r="U45" s="22" t="str">
        <f t="shared" si="14"/>
        <v/>
      </c>
      <c r="V45" s="28">
        <f>MOD(ABS(SIN(semilla*12.9898+40*78.233+4*37.719))*43758.5453,1)</f>
        <v>0.66083424829412252</v>
      </c>
      <c r="W45" s="22" t="str">
        <f>"I"&amp;(MOD(40-1,3)+1)</f>
        <v>I1</v>
      </c>
      <c r="X45" s="22" t="str">
        <f t="shared" si="15"/>
        <v/>
      </c>
    </row>
    <row r="46" spans="1:24" x14ac:dyDescent="0.3">
      <c r="A46" s="12" t="str">
        <f>IF(ISNUMBER(rpd),IF(41&lt;=3*rpd,41,""),"")</f>
        <v/>
      </c>
      <c r="B46" s="18" t="str">
        <f t="shared" si="8"/>
        <v/>
      </c>
      <c r="C46" s="19" t="str">
        <f>IF(OR(B46="",B46="—"),"",IF(INDEX(corrientes,MATCH(B46,{"I1","I2","I3"},0))="","",INDEX(corrientes,MATCH(B46,{"I1","I2","I3"},0))))</f>
        <v/>
      </c>
      <c r="D46" s="18" t="str">
        <f t="shared" si="9"/>
        <v/>
      </c>
      <c r="E46" s="19" t="str">
        <f>IF(OR(D46="",D46="—"),"",IF(INDEX(corrientes,MATCH(D46,{"I1","I2","I3"},0))="","",INDEX(corrientes,MATCH(D46,{"I1","I2","I3"},0))))</f>
        <v/>
      </c>
      <c r="F46" s="18" t="str">
        <f t="shared" si="10"/>
        <v/>
      </c>
      <c r="G46" s="19" t="str">
        <f>IF(OR(F46="",F46="—"),"",IF(INDEX(corrientes,MATCH(F46,{"I1","I2","I3"},0))="","",INDEX(corrientes,MATCH(F46,{"I1","I2","I3"},0))))</f>
        <v/>
      </c>
      <c r="H46" s="18" t="str">
        <f t="shared" si="11"/>
        <v/>
      </c>
      <c r="I46" s="19" t="str">
        <f>IF(OR(H46="",H46="—"),"",IF(INDEX(corrientes,MATCH(H46,{"I1","I2","I3"},0))="","",INDEX(corrientes,MATCH(H46,{"I1","I2","I3"},0))))</f>
        <v/>
      </c>
      <c r="M46" s="28">
        <f>MOD(ABS(SIN(semilla*12.9898+41*78.233+1*37.719))*43758.5453,1)</f>
        <v>0.38858804428673466</v>
      </c>
      <c r="N46" s="22" t="str">
        <f>"I"&amp;(MOD(41-1,3)+1)</f>
        <v>I2</v>
      </c>
      <c r="O46" s="22" t="str">
        <f t="shared" si="12"/>
        <v/>
      </c>
      <c r="P46" s="28">
        <f>MOD(ABS(SIN(semilla*12.9898+41*78.233+2*37.719))*43758.5453,1)</f>
        <v>0.98249811281493749</v>
      </c>
      <c r="Q46" s="22" t="str">
        <f>"I"&amp;(MOD(41-1,3)+1)</f>
        <v>I2</v>
      </c>
      <c r="R46" s="22" t="str">
        <f t="shared" si="13"/>
        <v/>
      </c>
      <c r="S46" s="28">
        <f>MOD(ABS(SIN(semilla*12.9898+41*78.233+3*37.719))*43758.5453,1)</f>
        <v>0.92055616683137487</v>
      </c>
      <c r="T46" s="22" t="str">
        <f>"I"&amp;(MOD(41-1,3)+1)</f>
        <v>I2</v>
      </c>
      <c r="U46" s="22" t="str">
        <f t="shared" si="14"/>
        <v/>
      </c>
      <c r="V46" s="28">
        <f>MOD(ABS(SIN(semilla*12.9898+41*78.233+4*37.719))*43758.5453,1)</f>
        <v>0.47609475107674371</v>
      </c>
      <c r="W46" s="22" t="str">
        <f>"I"&amp;(MOD(41-1,3)+1)</f>
        <v>I2</v>
      </c>
      <c r="X46" s="22" t="str">
        <f t="shared" si="15"/>
        <v/>
      </c>
    </row>
    <row r="47" spans="1:24" x14ac:dyDescent="0.3">
      <c r="A47" s="12" t="str">
        <f>IF(ISNUMBER(rpd),IF(42&lt;=3*rpd,42,""),"")</f>
        <v/>
      </c>
      <c r="B47" s="18" t="str">
        <f t="shared" si="8"/>
        <v/>
      </c>
      <c r="C47" s="19" t="str">
        <f>IF(OR(B47="",B47="—"),"",IF(INDEX(corrientes,MATCH(B47,{"I1","I2","I3"},0))="","",INDEX(corrientes,MATCH(B47,{"I1","I2","I3"},0))))</f>
        <v/>
      </c>
      <c r="D47" s="18" t="str">
        <f t="shared" si="9"/>
        <v/>
      </c>
      <c r="E47" s="19" t="str">
        <f>IF(OR(D47="",D47="—"),"",IF(INDEX(corrientes,MATCH(D47,{"I1","I2","I3"},0))="","",INDEX(corrientes,MATCH(D47,{"I1","I2","I3"},0))))</f>
        <v/>
      </c>
      <c r="F47" s="18" t="str">
        <f t="shared" si="10"/>
        <v/>
      </c>
      <c r="G47" s="19" t="str">
        <f>IF(OR(F47="",F47="—"),"",IF(INDEX(corrientes,MATCH(F47,{"I1","I2","I3"},0))="","",INDEX(corrientes,MATCH(F47,{"I1","I2","I3"},0))))</f>
        <v/>
      </c>
      <c r="H47" s="18" t="str">
        <f t="shared" si="11"/>
        <v/>
      </c>
      <c r="I47" s="19" t="str">
        <f>IF(OR(H47="",H47="—"),"",IF(INDEX(corrientes,MATCH(H47,{"I1","I2","I3"},0))="","",INDEX(corrientes,MATCH(H47,{"I1","I2","I3"},0))))</f>
        <v/>
      </c>
      <c r="M47" s="28">
        <f>MOD(ABS(SIN(semilla*12.9898+42*78.233+1*37.719))*43758.5453,1)</f>
        <v>0.96099600142770214</v>
      </c>
      <c r="N47" s="22" t="str">
        <f>"I"&amp;(MOD(42-1,3)+1)</f>
        <v>I3</v>
      </c>
      <c r="O47" s="22" t="str">
        <f t="shared" si="12"/>
        <v/>
      </c>
      <c r="P47" s="28">
        <f>MOD(ABS(SIN(semilla*12.9898+42*78.233+2*37.719))*43758.5453,1)</f>
        <v>0.20587116881506518</v>
      </c>
      <c r="Q47" s="22" t="str">
        <f>"I"&amp;(MOD(42-1,3)+1)</f>
        <v>I3</v>
      </c>
      <c r="R47" s="22" t="str">
        <f t="shared" si="13"/>
        <v/>
      </c>
      <c r="S47" s="28">
        <f>MOD(ABS(SIN(semilla*12.9898+42*78.233+3*37.719))*43758.5453,1)</f>
        <v>0.17337214857252548</v>
      </c>
      <c r="T47" s="22" t="str">
        <f>"I"&amp;(MOD(42-1,3)+1)</f>
        <v>I3</v>
      </c>
      <c r="U47" s="22" t="str">
        <f t="shared" si="14"/>
        <v/>
      </c>
      <c r="V47" s="28">
        <f>MOD(ABS(SIN(semilla*12.9898+42*78.233+4*37.719))*43758.5453,1)</f>
        <v>6.0878968593897298E-2</v>
      </c>
      <c r="W47" s="22" t="str">
        <f>"I"&amp;(MOD(42-1,3)+1)</f>
        <v>I3</v>
      </c>
      <c r="X47" s="22" t="str">
        <f t="shared" si="15"/>
        <v/>
      </c>
    </row>
    <row r="48" spans="1:24" x14ac:dyDescent="0.3">
      <c r="A48" s="12" t="str">
        <f>IF(ISNUMBER(rpd),IF(43&lt;=3*rpd,43,""),"")</f>
        <v/>
      </c>
      <c r="B48" s="18" t="str">
        <f t="shared" si="8"/>
        <v/>
      </c>
      <c r="C48" s="19" t="str">
        <f>IF(OR(B48="",B48="—"),"",IF(INDEX(corrientes,MATCH(B48,{"I1","I2","I3"},0))="","",INDEX(corrientes,MATCH(B48,{"I1","I2","I3"},0))))</f>
        <v/>
      </c>
      <c r="D48" s="18" t="str">
        <f t="shared" si="9"/>
        <v/>
      </c>
      <c r="E48" s="19" t="str">
        <f>IF(OR(D48="",D48="—"),"",IF(INDEX(corrientes,MATCH(D48,{"I1","I2","I3"},0))="","",INDEX(corrientes,MATCH(D48,{"I1","I2","I3"},0))))</f>
        <v/>
      </c>
      <c r="F48" s="18" t="str">
        <f t="shared" si="10"/>
        <v/>
      </c>
      <c r="G48" s="19" t="str">
        <f>IF(OR(F48="",F48="—"),"",IF(INDEX(corrientes,MATCH(F48,{"I1","I2","I3"},0))="","",INDEX(corrientes,MATCH(F48,{"I1","I2","I3"},0))))</f>
        <v/>
      </c>
      <c r="H48" s="18" t="str">
        <f t="shared" si="11"/>
        <v/>
      </c>
      <c r="I48" s="19" t="str">
        <f>IF(OR(H48="",H48="—"),"",IF(INDEX(corrientes,MATCH(H48,{"I1","I2","I3"},0))="","",INDEX(corrientes,MATCH(H48,{"I1","I2","I3"},0))))</f>
        <v/>
      </c>
      <c r="M48" s="28">
        <f>MOD(ABS(SIN(semilla*12.9898+43*78.233+1*37.719))*43758.5453,1)</f>
        <v>0.77422477326035732</v>
      </c>
      <c r="N48" s="22" t="str">
        <f>"I"&amp;(MOD(43-1,3)+1)</f>
        <v>I1</v>
      </c>
      <c r="O48" s="22" t="str">
        <f t="shared" si="12"/>
        <v/>
      </c>
      <c r="P48" s="28">
        <f>MOD(ABS(SIN(semilla*12.9898+43*78.233+2*37.719))*43758.5453,1)</f>
        <v>0.94624699731502915</v>
      </c>
      <c r="Q48" s="22" t="str">
        <f>"I"&amp;(MOD(43-1,3)+1)</f>
        <v>I1</v>
      </c>
      <c r="R48" s="22" t="str">
        <f t="shared" si="13"/>
        <v/>
      </c>
      <c r="S48" s="28">
        <f>MOD(ABS(SIN(semilla*12.9898+43*78.233+3*37.719))*43758.5453,1)</f>
        <v>0.55288117955933558</v>
      </c>
      <c r="T48" s="22" t="str">
        <f>"I"&amp;(MOD(43-1,3)+1)</f>
        <v>I1</v>
      </c>
      <c r="U48" s="22" t="str">
        <f t="shared" si="14"/>
        <v/>
      </c>
      <c r="V48" s="28">
        <f>MOD(ABS(SIN(semilla*12.9898+43*78.233+4*37.719))*43758.5453,1)</f>
        <v>0.69711951469071209</v>
      </c>
      <c r="W48" s="22" t="str">
        <f>"I"&amp;(MOD(43-1,3)+1)</f>
        <v>I1</v>
      </c>
      <c r="X48" s="22" t="str">
        <f t="shared" si="15"/>
        <v/>
      </c>
    </row>
    <row r="49" spans="1:24" x14ac:dyDescent="0.3">
      <c r="A49" s="12" t="str">
        <f>IF(ISNUMBER(rpd),IF(44&lt;=3*rpd,44,""),"")</f>
        <v/>
      </c>
      <c r="B49" s="18" t="str">
        <f t="shared" si="8"/>
        <v/>
      </c>
      <c r="C49" s="19" t="str">
        <f>IF(OR(B49="",B49="—"),"",IF(INDEX(corrientes,MATCH(B49,{"I1","I2","I3"},0))="","",INDEX(corrientes,MATCH(B49,{"I1","I2","I3"},0))))</f>
        <v/>
      </c>
      <c r="D49" s="18" t="str">
        <f t="shared" si="9"/>
        <v/>
      </c>
      <c r="E49" s="19" t="str">
        <f>IF(OR(D49="",D49="—"),"",IF(INDEX(corrientes,MATCH(D49,{"I1","I2","I3"},0))="","",INDEX(corrientes,MATCH(D49,{"I1","I2","I3"},0))))</f>
        <v/>
      </c>
      <c r="F49" s="18" t="str">
        <f t="shared" si="10"/>
        <v/>
      </c>
      <c r="G49" s="19" t="str">
        <f>IF(OR(F49="",F49="—"),"",IF(INDEX(corrientes,MATCH(F49,{"I1","I2","I3"},0))="","",INDEX(corrientes,MATCH(F49,{"I1","I2","I3"},0))))</f>
        <v/>
      </c>
      <c r="H49" s="18" t="str">
        <f t="shared" si="11"/>
        <v/>
      </c>
      <c r="I49" s="19" t="str">
        <f>IF(OR(H49="",H49="—"),"",IF(INDEX(corrientes,MATCH(H49,{"I1","I2","I3"},0))="","",INDEX(corrientes,MATCH(H49,{"I1","I2","I3"},0))))</f>
        <v/>
      </c>
      <c r="M49" s="28">
        <f>MOD(ABS(SIN(semilla*12.9898+44*78.233+1*37.719))*43758.5453,1)</f>
        <v>3.5509254434145987E-2</v>
      </c>
      <c r="N49" s="22" t="str">
        <f>"I"&amp;(MOD(44-1,3)+1)</f>
        <v>I2</v>
      </c>
      <c r="O49" s="22" t="str">
        <f t="shared" si="12"/>
        <v/>
      </c>
      <c r="P49" s="28">
        <f>MOD(ABS(SIN(semilla*12.9898+44*78.233+2*37.719))*43758.5453,1)</f>
        <v>0.90823846813873388</v>
      </c>
      <c r="Q49" s="22" t="str">
        <f>"I"&amp;(MOD(44-1,3)+1)</f>
        <v>I2</v>
      </c>
      <c r="R49" s="22" t="str">
        <f t="shared" si="13"/>
        <v/>
      </c>
      <c r="S49" s="28">
        <f>MOD(ABS(SIN(semilla*12.9898+44*78.233+3*37.719))*43758.5453,1)</f>
        <v>0.47477485029958189</v>
      </c>
      <c r="T49" s="22" t="str">
        <f>"I"&amp;(MOD(44-1,3)+1)</f>
        <v>I2</v>
      </c>
      <c r="U49" s="22" t="str">
        <f t="shared" si="14"/>
        <v/>
      </c>
      <c r="V49" s="28">
        <f>MOD(ABS(SIN(semilla*12.9898+44*78.233+4*37.719))*43758.5453,1)</f>
        <v>0.73410328012687387</v>
      </c>
      <c r="W49" s="22" t="str">
        <f>"I"&amp;(MOD(44-1,3)+1)</f>
        <v>I2</v>
      </c>
      <c r="X49" s="22" t="str">
        <f t="shared" si="15"/>
        <v/>
      </c>
    </row>
    <row r="50" spans="1:24" x14ac:dyDescent="0.3">
      <c r="A50" s="12" t="str">
        <f>IF(ISNUMBER(rpd),IF(45&lt;=3*rpd,45,""),"")</f>
        <v/>
      </c>
      <c r="B50" s="18" t="str">
        <f t="shared" si="8"/>
        <v/>
      </c>
      <c r="C50" s="19" t="str">
        <f>IF(OR(B50="",B50="—"),"",IF(INDEX(corrientes,MATCH(B50,{"I1","I2","I3"},0))="","",INDEX(corrientes,MATCH(B50,{"I1","I2","I3"},0))))</f>
        <v/>
      </c>
      <c r="D50" s="18" t="str">
        <f t="shared" si="9"/>
        <v/>
      </c>
      <c r="E50" s="19" t="str">
        <f>IF(OR(D50="",D50="—"),"",IF(INDEX(corrientes,MATCH(D50,{"I1","I2","I3"},0))="","",INDEX(corrientes,MATCH(D50,{"I1","I2","I3"},0))))</f>
        <v/>
      </c>
      <c r="F50" s="18" t="str">
        <f t="shared" si="10"/>
        <v/>
      </c>
      <c r="G50" s="19" t="str">
        <f>IF(OR(F50="",F50="—"),"",IF(INDEX(corrientes,MATCH(F50,{"I1","I2","I3"},0))="","",INDEX(corrientes,MATCH(F50,{"I1","I2","I3"},0))))</f>
        <v/>
      </c>
      <c r="H50" s="18" t="str">
        <f t="shared" si="11"/>
        <v/>
      </c>
      <c r="I50" s="19" t="str">
        <f>IF(OR(H50="",H50="—"),"",IF(INDEX(corrientes,MATCH(H50,{"I1","I2","I3"},0))="","",INDEX(corrientes,MATCH(H50,{"I1","I2","I3"},0))))</f>
        <v/>
      </c>
      <c r="M50" s="28">
        <f>MOD(ABS(SIN(semilla*12.9898+45*78.233+1*37.719))*43758.5453,1)</f>
        <v>0.43966853735764744</v>
      </c>
      <c r="N50" s="22" t="str">
        <f>"I"&amp;(MOD(45-1,3)+1)</f>
        <v>I3</v>
      </c>
      <c r="O50" s="22" t="str">
        <f t="shared" si="12"/>
        <v/>
      </c>
      <c r="P50" s="28">
        <f>MOD(ABS(SIN(semilla*12.9898+45*78.233+2*37.719))*43758.5453,1)</f>
        <v>0.15698964716284536</v>
      </c>
      <c r="Q50" s="22" t="str">
        <f>"I"&amp;(MOD(45-1,3)+1)</f>
        <v>I3</v>
      </c>
      <c r="R50" s="22" t="str">
        <f t="shared" si="13"/>
        <v/>
      </c>
      <c r="S50" s="28">
        <f>MOD(ABS(SIN(semilla*12.9898+45*78.233+3*37.719))*43758.5453,1)</f>
        <v>0.44371344895625953</v>
      </c>
      <c r="T50" s="22" t="str">
        <f>"I"&amp;(MOD(45-1,3)+1)</f>
        <v>I3</v>
      </c>
      <c r="U50" s="22" t="str">
        <f t="shared" si="14"/>
        <v/>
      </c>
      <c r="V50" s="28">
        <f>MOD(ABS(SIN(semilla*12.9898+45*78.233+4*37.719))*43758.5453,1)</f>
        <v>0.19491231884603621</v>
      </c>
      <c r="W50" s="22" t="str">
        <f>"I"&amp;(MOD(45-1,3)+1)</f>
        <v>I3</v>
      </c>
      <c r="X50" s="22" t="str">
        <f t="shared" si="15"/>
        <v/>
      </c>
    </row>
    <row r="51" spans="1:24" x14ac:dyDescent="0.3">
      <c r="A51" s="12" t="str">
        <f>IF(ISNUMBER(rpd),IF(46&lt;=3*rpd,46,""),"")</f>
        <v/>
      </c>
      <c r="B51" s="18" t="str">
        <f t="shared" si="8"/>
        <v/>
      </c>
      <c r="C51" s="19" t="str">
        <f>IF(OR(B51="",B51="—"),"",IF(INDEX(corrientes,MATCH(B51,{"I1","I2","I3"},0))="","",INDEX(corrientes,MATCH(B51,{"I1","I2","I3"},0))))</f>
        <v/>
      </c>
      <c r="D51" s="18" t="str">
        <f t="shared" si="9"/>
        <v/>
      </c>
      <c r="E51" s="19" t="str">
        <f>IF(OR(D51="",D51="—"),"",IF(INDEX(corrientes,MATCH(D51,{"I1","I2","I3"},0))="","",INDEX(corrientes,MATCH(D51,{"I1","I2","I3"},0))))</f>
        <v/>
      </c>
      <c r="F51" s="18" t="str">
        <f t="shared" si="10"/>
        <v/>
      </c>
      <c r="G51" s="19" t="str">
        <f>IF(OR(F51="",F51="—"),"",IF(INDEX(corrientes,MATCH(F51,{"I1","I2","I3"},0))="","",INDEX(corrientes,MATCH(F51,{"I1","I2","I3"},0))))</f>
        <v/>
      </c>
      <c r="H51" s="18" t="str">
        <f t="shared" si="11"/>
        <v/>
      </c>
      <c r="I51" s="19" t="str">
        <f>IF(OR(H51="",H51="—"),"",IF(INDEX(corrientes,MATCH(H51,{"I1","I2","I3"},0))="","",INDEX(corrientes,MATCH(H51,{"I1","I2","I3"},0))))</f>
        <v/>
      </c>
      <c r="M51" s="28">
        <f>MOD(ABS(SIN(semilla*12.9898+46*78.233+1*37.719))*43758.5453,1)</f>
        <v>0.20762633488629945</v>
      </c>
      <c r="N51" s="22" t="str">
        <f>"I"&amp;(MOD(46-1,3)+1)</f>
        <v>I1</v>
      </c>
      <c r="O51" s="22" t="str">
        <f t="shared" si="12"/>
        <v/>
      </c>
      <c r="P51" s="28">
        <f>MOD(ABS(SIN(semilla*12.9898+46*78.233+2*37.719))*43758.5453,1)</f>
        <v>0.45711057453445392</v>
      </c>
      <c r="Q51" s="22" t="str">
        <f>"I"&amp;(MOD(46-1,3)+1)</f>
        <v>I1</v>
      </c>
      <c r="R51" s="22" t="str">
        <f t="shared" si="13"/>
        <v/>
      </c>
      <c r="S51" s="28">
        <f>MOD(ABS(SIN(semilla*12.9898+46*78.233+3*37.719))*43758.5453,1)</f>
        <v>0.68621262479427969</v>
      </c>
      <c r="T51" s="22" t="str">
        <f>"I"&amp;(MOD(46-1,3)+1)</f>
        <v>I1</v>
      </c>
      <c r="U51" s="22" t="str">
        <f t="shared" si="14"/>
        <v/>
      </c>
      <c r="V51" s="28">
        <f>MOD(ABS(SIN(semilla*12.9898+46*78.233+4*37.719))*43758.5453,1)</f>
        <v>0.69589261030341731</v>
      </c>
      <c r="W51" s="22" t="str">
        <f>"I"&amp;(MOD(46-1,3)+1)</f>
        <v>I1</v>
      </c>
      <c r="X51" s="22" t="str">
        <f t="shared" si="15"/>
        <v/>
      </c>
    </row>
    <row r="52" spans="1:24" x14ac:dyDescent="0.3">
      <c r="A52" s="12" t="str">
        <f>IF(ISNUMBER(rpd),IF(47&lt;=3*rpd,47,""),"")</f>
        <v/>
      </c>
      <c r="B52" s="18" t="str">
        <f t="shared" si="8"/>
        <v/>
      </c>
      <c r="C52" s="19" t="str">
        <f>IF(OR(B52="",B52="—"),"",IF(INDEX(corrientes,MATCH(B52,{"I1","I2","I3"},0))="","",INDEX(corrientes,MATCH(B52,{"I1","I2","I3"},0))))</f>
        <v/>
      </c>
      <c r="D52" s="18" t="str">
        <f t="shared" si="9"/>
        <v/>
      </c>
      <c r="E52" s="19" t="str">
        <f>IF(OR(D52="",D52="—"),"",IF(INDEX(corrientes,MATCH(D52,{"I1","I2","I3"},0))="","",INDEX(corrientes,MATCH(D52,{"I1","I2","I3"},0))))</f>
        <v/>
      </c>
      <c r="F52" s="18" t="str">
        <f t="shared" si="10"/>
        <v/>
      </c>
      <c r="G52" s="19" t="str">
        <f>IF(OR(F52="",F52="—"),"",IF(INDEX(corrientes,MATCH(F52,{"I1","I2","I3"},0))="","",INDEX(corrientes,MATCH(F52,{"I1","I2","I3"},0))))</f>
        <v/>
      </c>
      <c r="H52" s="18" t="str">
        <f t="shared" si="11"/>
        <v/>
      </c>
      <c r="I52" s="19" t="str">
        <f>IF(OR(H52="",H52="—"),"",IF(INDEX(corrientes,MATCH(H52,{"I1","I2","I3"},0))="","",INDEX(corrientes,MATCH(H52,{"I1","I2","I3"},0))))</f>
        <v/>
      </c>
      <c r="M52" s="28">
        <f>MOD(ABS(SIN(semilla*12.9898+47*78.233+1*37.719))*43758.5453,1)</f>
        <v>0.49035128298055497</v>
      </c>
      <c r="N52" s="22" t="str">
        <f>"I"&amp;(MOD(47-1,3)+1)</f>
        <v>I2</v>
      </c>
      <c r="O52" s="22" t="str">
        <f t="shared" si="12"/>
        <v/>
      </c>
      <c r="P52" s="28">
        <f>MOD(ABS(SIN(semilla*12.9898+47*78.233+2*37.719))*43758.5453,1)</f>
        <v>0.96083995329536265</v>
      </c>
      <c r="Q52" s="22" t="str">
        <f>"I"&amp;(MOD(47-1,3)+1)</f>
        <v>I2</v>
      </c>
      <c r="R52" s="22" t="str">
        <f t="shared" si="13"/>
        <v/>
      </c>
      <c r="S52" s="28">
        <f>MOD(ABS(SIN(semilla*12.9898+47*78.233+3*37.719))*43758.5453,1)</f>
        <v>0.13066679087569355</v>
      </c>
      <c r="T52" s="22" t="str">
        <f>"I"&amp;(MOD(47-1,3)+1)</f>
        <v>I2</v>
      </c>
      <c r="U52" s="22" t="str">
        <f t="shared" si="14"/>
        <v/>
      </c>
      <c r="V52" s="28">
        <f>MOD(ABS(SIN(semilla*12.9898+47*78.233+4*37.719))*43758.5453,1)</f>
        <v>0.72527001511843991</v>
      </c>
      <c r="W52" s="22" t="str">
        <f>"I"&amp;(MOD(47-1,3)+1)</f>
        <v>I2</v>
      </c>
      <c r="X52" s="22" t="str">
        <f t="shared" si="15"/>
        <v/>
      </c>
    </row>
    <row r="53" spans="1:24" x14ac:dyDescent="0.3">
      <c r="A53" s="12" t="str">
        <f>IF(ISNUMBER(rpd),IF(48&lt;=3*rpd,48,""),"")</f>
        <v/>
      </c>
      <c r="B53" s="18" t="str">
        <f t="shared" si="8"/>
        <v/>
      </c>
      <c r="C53" s="19" t="str">
        <f>IF(OR(B53="",B53="—"),"",IF(INDEX(corrientes,MATCH(B53,{"I1","I2","I3"},0))="","",INDEX(corrientes,MATCH(B53,{"I1","I2","I3"},0))))</f>
        <v/>
      </c>
      <c r="D53" s="18" t="str">
        <f t="shared" si="9"/>
        <v/>
      </c>
      <c r="E53" s="19" t="str">
        <f>IF(OR(D53="",D53="—"),"",IF(INDEX(corrientes,MATCH(D53,{"I1","I2","I3"},0))="","",INDEX(corrientes,MATCH(D53,{"I1","I2","I3"},0))))</f>
        <v/>
      </c>
      <c r="F53" s="18" t="str">
        <f t="shared" si="10"/>
        <v/>
      </c>
      <c r="G53" s="19" t="str">
        <f>IF(OR(F53="",F53="—"),"",IF(INDEX(corrientes,MATCH(F53,{"I1","I2","I3"},0))="","",INDEX(corrientes,MATCH(F53,{"I1","I2","I3"},0))))</f>
        <v/>
      </c>
      <c r="H53" s="18" t="str">
        <f t="shared" si="11"/>
        <v/>
      </c>
      <c r="I53" s="19" t="str">
        <f>IF(OR(H53="",H53="—"),"",IF(INDEX(corrientes,MATCH(H53,{"I1","I2","I3"},0))="","",INDEX(corrientes,MATCH(H53,{"I1","I2","I3"},0))))</f>
        <v/>
      </c>
      <c r="M53" s="28">
        <f>MOD(ABS(SIN(semilla*12.9898+48*78.233+1*37.719))*43758.5453,1)</f>
        <v>0.15529147350935091</v>
      </c>
      <c r="N53" s="22" t="str">
        <f>"I"&amp;(MOD(48-1,3)+1)</f>
        <v>I3</v>
      </c>
      <c r="O53" s="22" t="str">
        <f t="shared" si="12"/>
        <v/>
      </c>
      <c r="P53" s="28">
        <f>MOD(ABS(SIN(semilla*12.9898+48*78.233+2*37.719))*43758.5453,1)</f>
        <v>4.9163476685862406E-2</v>
      </c>
      <c r="Q53" s="22" t="str">
        <f>"I"&amp;(MOD(48-1,3)+1)</f>
        <v>I3</v>
      </c>
      <c r="R53" s="22" t="str">
        <f t="shared" si="13"/>
        <v/>
      </c>
      <c r="S53" s="28">
        <f>MOD(ABS(SIN(semilla*12.9898+48*78.233+3*37.719))*43758.5453,1)</f>
        <v>0.32417695151161752</v>
      </c>
      <c r="T53" s="22" t="str">
        <f>"I"&amp;(MOD(48-1,3)+1)</f>
        <v>I3</v>
      </c>
      <c r="U53" s="22" t="str">
        <f t="shared" si="14"/>
        <v/>
      </c>
      <c r="V53" s="28">
        <f>MOD(ABS(SIN(semilla*12.9898+48*78.233+4*37.719))*43758.5453,1)</f>
        <v>0.65589231263402326</v>
      </c>
      <c r="W53" s="22" t="str">
        <f>"I"&amp;(MOD(48-1,3)+1)</f>
        <v>I3</v>
      </c>
      <c r="X53" s="22" t="str">
        <f t="shared" si="15"/>
        <v/>
      </c>
    </row>
    <row r="54" spans="1:24" x14ac:dyDescent="0.3">
      <c r="A54" s="12" t="str">
        <f>IF(ISNUMBER(rpd),IF(49&lt;=3*rpd,49,""),"")</f>
        <v/>
      </c>
      <c r="B54" s="18" t="str">
        <f t="shared" si="8"/>
        <v/>
      </c>
      <c r="C54" s="19" t="str">
        <f>IF(OR(B54="",B54="—"),"",IF(INDEX(corrientes,MATCH(B54,{"I1","I2","I3"},0))="","",INDEX(corrientes,MATCH(B54,{"I1","I2","I3"},0))))</f>
        <v/>
      </c>
      <c r="D54" s="18" t="str">
        <f t="shared" si="9"/>
        <v/>
      </c>
      <c r="E54" s="19" t="str">
        <f>IF(OR(D54="",D54="—"),"",IF(INDEX(corrientes,MATCH(D54,{"I1","I2","I3"},0))="","",INDEX(corrientes,MATCH(D54,{"I1","I2","I3"},0))))</f>
        <v/>
      </c>
      <c r="F54" s="18" t="str">
        <f t="shared" si="10"/>
        <v/>
      </c>
      <c r="G54" s="19" t="str">
        <f>IF(OR(F54="",F54="—"),"",IF(INDEX(corrientes,MATCH(F54,{"I1","I2","I3"},0))="","",INDEX(corrientes,MATCH(F54,{"I1","I2","I3"},0))))</f>
        <v/>
      </c>
      <c r="H54" s="18" t="str">
        <f t="shared" si="11"/>
        <v/>
      </c>
      <c r="I54" s="19" t="str">
        <f>IF(OR(H54="",H54="—"),"",IF(INDEX(corrientes,MATCH(H54,{"I1","I2","I3"},0))="","",INDEX(corrientes,MATCH(H54,{"I1","I2","I3"},0))))</f>
        <v/>
      </c>
      <c r="M54" s="28">
        <f>MOD(ABS(SIN(semilla*12.9898+49*78.233+1*37.719))*43758.5453,1)</f>
        <v>0.11225630251325924</v>
      </c>
      <c r="N54" s="22" t="str">
        <f>"I"&amp;(MOD(49-1,3)+1)</f>
        <v>I1</v>
      </c>
      <c r="O54" s="22" t="str">
        <f t="shared" si="12"/>
        <v/>
      </c>
      <c r="P54" s="28">
        <f>MOD(ABS(SIN(semilla*12.9898+49*78.233+2*37.719))*43758.5453,1)</f>
        <v>0.29093318705736237</v>
      </c>
      <c r="Q54" s="22" t="str">
        <f>"I"&amp;(MOD(49-1,3)+1)</f>
        <v>I1</v>
      </c>
      <c r="R54" s="22" t="str">
        <f t="shared" si="13"/>
        <v/>
      </c>
      <c r="S54" s="28">
        <f>MOD(ABS(SIN(semilla*12.9898+49*78.233+3*37.719))*43758.5453,1)</f>
        <v>5.7356851963959343E-2</v>
      </c>
      <c r="T54" s="22" t="str">
        <f>"I"&amp;(MOD(49-1,3)+1)</f>
        <v>I1</v>
      </c>
      <c r="U54" s="22" t="str">
        <f t="shared" si="14"/>
        <v/>
      </c>
      <c r="V54" s="28">
        <f>MOD(ABS(SIN(semilla*12.9898+49*78.233+4*37.719))*43758.5453,1)</f>
        <v>6.7512600083773577E-2</v>
      </c>
      <c r="W54" s="22" t="str">
        <f>"I"&amp;(MOD(49-1,3)+1)</f>
        <v>I1</v>
      </c>
      <c r="X54" s="22" t="str">
        <f t="shared" si="15"/>
        <v/>
      </c>
    </row>
    <row r="55" spans="1:24" x14ac:dyDescent="0.3">
      <c r="A55" s="12" t="str">
        <f>IF(ISNUMBER(rpd),IF(50&lt;=3*rpd,50,""),"")</f>
        <v/>
      </c>
      <c r="B55" s="18" t="str">
        <f t="shared" si="8"/>
        <v/>
      </c>
      <c r="C55" s="19" t="str">
        <f>IF(OR(B55="",B55="—"),"",IF(INDEX(corrientes,MATCH(B55,{"I1","I2","I3"},0))="","",INDEX(corrientes,MATCH(B55,{"I1","I2","I3"},0))))</f>
        <v/>
      </c>
      <c r="D55" s="18" t="str">
        <f t="shared" si="9"/>
        <v/>
      </c>
      <c r="E55" s="19" t="str">
        <f>IF(OR(D55="",D55="—"),"",IF(INDEX(corrientes,MATCH(D55,{"I1","I2","I3"},0))="","",INDEX(corrientes,MATCH(D55,{"I1","I2","I3"},0))))</f>
        <v/>
      </c>
      <c r="F55" s="18" t="str">
        <f t="shared" si="10"/>
        <v/>
      </c>
      <c r="G55" s="19" t="str">
        <f>IF(OR(F55="",F55="—"),"",IF(INDEX(corrientes,MATCH(F55,{"I1","I2","I3"},0))="","",INDEX(corrientes,MATCH(F55,{"I1","I2","I3"},0))))</f>
        <v/>
      </c>
      <c r="H55" s="18" t="str">
        <f t="shared" si="11"/>
        <v/>
      </c>
      <c r="I55" s="19" t="str">
        <f>IF(OR(H55="",H55="—"),"",IF(INDEX(corrientes,MATCH(H55,{"I1","I2","I3"},0))="","",INDEX(corrientes,MATCH(H55,{"I1","I2","I3"},0))))</f>
        <v/>
      </c>
      <c r="M55" s="28">
        <f>MOD(ABS(SIN(semilla*12.9898+50*78.233+1*37.719))*43758.5453,1)</f>
        <v>6.0825307482446078E-3</v>
      </c>
      <c r="N55" s="22" t="str">
        <f>"I"&amp;(MOD(50-1,3)+1)</f>
        <v>I2</v>
      </c>
      <c r="O55" s="22" t="str">
        <f t="shared" si="12"/>
        <v/>
      </c>
      <c r="P55" s="28">
        <f>MOD(ABS(SIN(semilla*12.9898+50*78.233+2*37.719))*43758.5453,1)</f>
        <v>0.81738486133872357</v>
      </c>
      <c r="Q55" s="22" t="str">
        <f>"I"&amp;(MOD(50-1,3)+1)</f>
        <v>I2</v>
      </c>
      <c r="R55" s="22" t="str">
        <f t="shared" si="13"/>
        <v/>
      </c>
      <c r="S55" s="28">
        <f>MOD(ABS(SIN(semilla*12.9898+50*78.233+3*37.719))*43758.5453,1)</f>
        <v>0.79583060680852213</v>
      </c>
      <c r="T55" s="22" t="str">
        <f>"I"&amp;(MOD(50-1,3)+1)</f>
        <v>I2</v>
      </c>
      <c r="U55" s="22" t="str">
        <f t="shared" si="14"/>
        <v/>
      </c>
      <c r="V55" s="28">
        <f>MOD(ABS(SIN(semilla*12.9898+50*78.233+4*37.719))*43758.5453,1)</f>
        <v>0.27287856557086343</v>
      </c>
      <c r="W55" s="22" t="str">
        <f>"I"&amp;(MOD(50-1,3)+1)</f>
        <v>I2</v>
      </c>
      <c r="X55" s="22" t="str">
        <f t="shared" si="15"/>
        <v/>
      </c>
    </row>
    <row r="56" spans="1:24" x14ac:dyDescent="0.3">
      <c r="A56" s="12" t="str">
        <f>IF(ISNUMBER(rpd),IF(51&lt;=3*rpd,51,""),"")</f>
        <v/>
      </c>
      <c r="B56" s="18" t="str">
        <f t="shared" si="8"/>
        <v/>
      </c>
      <c r="C56" s="19" t="str">
        <f>IF(OR(B56="",B56="—"),"",IF(INDEX(corrientes,MATCH(B56,{"I1","I2","I3"},0))="","",INDEX(corrientes,MATCH(B56,{"I1","I2","I3"},0))))</f>
        <v/>
      </c>
      <c r="D56" s="18" t="str">
        <f t="shared" si="9"/>
        <v/>
      </c>
      <c r="E56" s="19" t="str">
        <f>IF(OR(D56="",D56="—"),"",IF(INDEX(corrientes,MATCH(D56,{"I1","I2","I3"},0))="","",INDEX(corrientes,MATCH(D56,{"I1","I2","I3"},0))))</f>
        <v/>
      </c>
      <c r="F56" s="18" t="str">
        <f t="shared" si="10"/>
        <v/>
      </c>
      <c r="G56" s="19" t="str">
        <f>IF(OR(F56="",F56="—"),"",IF(INDEX(corrientes,MATCH(F56,{"I1","I2","I3"},0))="","",INDEX(corrientes,MATCH(F56,{"I1","I2","I3"},0))))</f>
        <v/>
      </c>
      <c r="H56" s="18" t="str">
        <f t="shared" si="11"/>
        <v/>
      </c>
      <c r="I56" s="19" t="str">
        <f>IF(OR(H56="",H56="—"),"",IF(INDEX(corrientes,MATCH(H56,{"I1","I2","I3"},0))="","",INDEX(corrientes,MATCH(H56,{"I1","I2","I3"},0))))</f>
        <v/>
      </c>
      <c r="M56" s="28">
        <f>MOD(ABS(SIN(semilla*12.9898+51*78.233+1*37.719))*43758.5453,1)</f>
        <v>6.5618197499134112E-2</v>
      </c>
      <c r="N56" s="22" t="str">
        <f>"I"&amp;(MOD(51-1,3)+1)</f>
        <v>I3</v>
      </c>
      <c r="O56" s="22" t="str">
        <f t="shared" si="12"/>
        <v/>
      </c>
      <c r="P56" s="28">
        <f>MOD(ABS(SIN(semilla*12.9898+51*78.233+2*37.719))*43758.5453,1)</f>
        <v>0.68681571400884422</v>
      </c>
      <c r="Q56" s="22" t="str">
        <f>"I"&amp;(MOD(51-1,3)+1)</f>
        <v>I3</v>
      </c>
      <c r="R56" s="22" t="str">
        <f t="shared" si="13"/>
        <v/>
      </c>
      <c r="S56" s="28">
        <f>MOD(ABS(SIN(semilla*12.9898+51*78.233+3*37.719))*43758.5453,1)</f>
        <v>0.68143617706300574</v>
      </c>
      <c r="T56" s="22" t="str">
        <f>"I"&amp;(MOD(51-1,3)+1)</f>
        <v>I3</v>
      </c>
      <c r="U56" s="22" t="str">
        <f t="shared" si="14"/>
        <v/>
      </c>
      <c r="V56" s="28">
        <f>MOD(ABS(SIN(semilla*12.9898+51*78.233+4*37.719))*43758.5453,1)</f>
        <v>0.33742419811460422</v>
      </c>
      <c r="W56" s="22" t="str">
        <f>"I"&amp;(MOD(51-1,3)+1)</f>
        <v>I3</v>
      </c>
      <c r="X56" s="22" t="str">
        <f t="shared" si="15"/>
        <v/>
      </c>
    </row>
    <row r="57" spans="1:24" x14ac:dyDescent="0.3">
      <c r="A57" s="12" t="str">
        <f>IF(ISNUMBER(rpd),IF(52&lt;=3*rpd,52,""),"")</f>
        <v/>
      </c>
      <c r="B57" s="18" t="str">
        <f t="shared" si="8"/>
        <v/>
      </c>
      <c r="C57" s="19" t="str">
        <f>IF(OR(B57="",B57="—"),"",IF(INDEX(corrientes,MATCH(B57,{"I1","I2","I3"},0))="","",INDEX(corrientes,MATCH(B57,{"I1","I2","I3"},0))))</f>
        <v/>
      </c>
      <c r="D57" s="18" t="str">
        <f t="shared" si="9"/>
        <v/>
      </c>
      <c r="E57" s="19" t="str">
        <f>IF(OR(D57="",D57="—"),"",IF(INDEX(corrientes,MATCH(D57,{"I1","I2","I3"},0))="","",INDEX(corrientes,MATCH(D57,{"I1","I2","I3"},0))))</f>
        <v/>
      </c>
      <c r="F57" s="18" t="str">
        <f t="shared" si="10"/>
        <v/>
      </c>
      <c r="G57" s="19" t="str">
        <f>IF(OR(F57="",F57="—"),"",IF(INDEX(corrientes,MATCH(F57,{"I1","I2","I3"},0))="","",INDEX(corrientes,MATCH(F57,{"I1","I2","I3"},0))))</f>
        <v/>
      </c>
      <c r="H57" s="18" t="str">
        <f t="shared" si="11"/>
        <v/>
      </c>
      <c r="I57" s="19" t="str">
        <f>IF(OR(H57="",H57="—"),"",IF(INDEX(corrientes,MATCH(H57,{"I1","I2","I3"},0))="","",INDEX(corrientes,MATCH(H57,{"I1","I2","I3"},0))))</f>
        <v/>
      </c>
      <c r="M57" s="28">
        <f>MOD(ABS(SIN(semilla*12.9898+52*78.233+1*37.719))*43758.5453,1)</f>
        <v>0.79247011929692235</v>
      </c>
      <c r="N57" s="22" t="str">
        <f>"I"&amp;(MOD(52-1,3)+1)</f>
        <v>I1</v>
      </c>
      <c r="O57" s="22" t="str">
        <f t="shared" si="12"/>
        <v/>
      </c>
      <c r="P57" s="28">
        <f>MOD(ABS(SIN(semilla*12.9898+52*78.233+2*37.719))*43758.5453,1)</f>
        <v>0.3202219588929438</v>
      </c>
      <c r="Q57" s="22" t="str">
        <f>"I"&amp;(MOD(52-1,3)+1)</f>
        <v>I1</v>
      </c>
      <c r="R57" s="22" t="str">
        <f t="shared" si="13"/>
        <v/>
      </c>
      <c r="S57" s="28">
        <f>MOD(ABS(SIN(semilla*12.9898+52*78.233+3*37.719))*43758.5453,1)</f>
        <v>0.32679963191185379</v>
      </c>
      <c r="T57" s="22" t="str">
        <f>"I"&amp;(MOD(52-1,3)+1)</f>
        <v>I1</v>
      </c>
      <c r="U57" s="22" t="str">
        <f t="shared" si="14"/>
        <v/>
      </c>
      <c r="V57" s="28">
        <f>MOD(ABS(SIN(semilla*12.9898+52*78.233+4*37.719))*43758.5453,1)</f>
        <v>2.9739504505414516E-2</v>
      </c>
      <c r="W57" s="22" t="str">
        <f>"I"&amp;(MOD(52-1,3)+1)</f>
        <v>I1</v>
      </c>
      <c r="X57" s="22" t="str">
        <f t="shared" si="15"/>
        <v/>
      </c>
    </row>
    <row r="58" spans="1:24" x14ac:dyDescent="0.3">
      <c r="A58" s="12" t="str">
        <f>IF(ISNUMBER(rpd),IF(53&lt;=3*rpd,53,""),"")</f>
        <v/>
      </c>
      <c r="B58" s="18" t="str">
        <f t="shared" si="8"/>
        <v/>
      </c>
      <c r="C58" s="19" t="str">
        <f>IF(OR(B58="",B58="—"),"",IF(INDEX(corrientes,MATCH(B58,{"I1","I2","I3"},0))="","",INDEX(corrientes,MATCH(B58,{"I1","I2","I3"},0))))</f>
        <v/>
      </c>
      <c r="D58" s="18" t="str">
        <f t="shared" si="9"/>
        <v/>
      </c>
      <c r="E58" s="19" t="str">
        <f>IF(OR(D58="",D58="—"),"",IF(INDEX(corrientes,MATCH(D58,{"I1","I2","I3"},0))="","",INDEX(corrientes,MATCH(D58,{"I1","I2","I3"},0))))</f>
        <v/>
      </c>
      <c r="F58" s="18" t="str">
        <f t="shared" si="10"/>
        <v/>
      </c>
      <c r="G58" s="19" t="str">
        <f>IF(OR(F58="",F58="—"),"",IF(INDEX(corrientes,MATCH(F58,{"I1","I2","I3"},0))="","",INDEX(corrientes,MATCH(F58,{"I1","I2","I3"},0))))</f>
        <v/>
      </c>
      <c r="H58" s="18" t="str">
        <f t="shared" si="11"/>
        <v/>
      </c>
      <c r="I58" s="19" t="str">
        <f>IF(OR(H58="",H58="—"),"",IF(INDEX(corrientes,MATCH(H58,{"I1","I2","I3"},0))="","",INDEX(corrientes,MATCH(H58,{"I1","I2","I3"},0))))</f>
        <v/>
      </c>
      <c r="M58" s="28">
        <f>MOD(ABS(SIN(semilla*12.9898+53*78.233+1*37.719))*43758.5453,1)</f>
        <v>0.50008769729174674</v>
      </c>
      <c r="N58" s="22" t="str">
        <f>"I"&amp;(MOD(53-1,3)+1)</f>
        <v>I2</v>
      </c>
      <c r="O58" s="22" t="str">
        <f t="shared" si="12"/>
        <v/>
      </c>
      <c r="P58" s="28">
        <f>MOD(ABS(SIN(semilla*12.9898+53*78.233+2*37.719))*43758.5453,1)</f>
        <v>4.0960822858323809E-2</v>
      </c>
      <c r="Q58" s="22" t="str">
        <f>"I"&amp;(MOD(53-1,3)+1)</f>
        <v>I2</v>
      </c>
      <c r="R58" s="22" t="str">
        <f t="shared" si="13"/>
        <v/>
      </c>
      <c r="S58" s="28">
        <f>MOD(ABS(SIN(semilla*12.9898+53*78.233+3*37.719))*43758.5453,1)</f>
        <v>0.42894182255258784</v>
      </c>
      <c r="T58" s="22" t="str">
        <f>"I"&amp;(MOD(53-1,3)+1)</f>
        <v>I2</v>
      </c>
      <c r="U58" s="22" t="str">
        <f t="shared" si="14"/>
        <v/>
      </c>
      <c r="V58" s="28">
        <f>MOD(ABS(SIN(semilla*12.9898+53*78.233+4*37.719))*43758.5453,1)</f>
        <v>0.79084089666139334</v>
      </c>
      <c r="W58" s="22" t="str">
        <f>"I"&amp;(MOD(53-1,3)+1)</f>
        <v>I2</v>
      </c>
      <c r="X58" s="22" t="str">
        <f t="shared" si="15"/>
        <v/>
      </c>
    </row>
    <row r="59" spans="1:24" x14ac:dyDescent="0.3">
      <c r="A59" s="12" t="str">
        <f>IF(ISNUMBER(rpd),IF(54&lt;=3*rpd,54,""),"")</f>
        <v/>
      </c>
      <c r="B59" s="18" t="str">
        <f t="shared" si="8"/>
        <v/>
      </c>
      <c r="C59" s="19" t="str">
        <f>IF(OR(B59="",B59="—"),"",IF(INDEX(corrientes,MATCH(B59,{"I1","I2","I3"},0))="","",INDEX(corrientes,MATCH(B59,{"I1","I2","I3"},0))))</f>
        <v/>
      </c>
      <c r="D59" s="18" t="str">
        <f t="shared" si="9"/>
        <v/>
      </c>
      <c r="E59" s="19" t="str">
        <f>IF(OR(D59="",D59="—"),"",IF(INDEX(corrientes,MATCH(D59,{"I1","I2","I3"},0))="","",INDEX(corrientes,MATCH(D59,{"I1","I2","I3"},0))))</f>
        <v/>
      </c>
      <c r="F59" s="18" t="str">
        <f t="shared" si="10"/>
        <v/>
      </c>
      <c r="G59" s="19" t="str">
        <f>IF(OR(F59="",F59="—"),"",IF(INDEX(corrientes,MATCH(F59,{"I1","I2","I3"},0))="","",INDEX(corrientes,MATCH(F59,{"I1","I2","I3"},0))))</f>
        <v/>
      </c>
      <c r="H59" s="18" t="str">
        <f t="shared" si="11"/>
        <v/>
      </c>
      <c r="I59" s="19" t="str">
        <f>IF(OR(H59="",H59="—"),"",IF(INDEX(corrientes,MATCH(H59,{"I1","I2","I3"},0))="","",INDEX(corrientes,MATCH(H59,{"I1","I2","I3"},0))))</f>
        <v/>
      </c>
      <c r="M59" s="28">
        <f>MOD(ABS(SIN(semilla*12.9898+54*78.233+1*37.719))*43758.5453,1)</f>
        <v>0.4002733878151048</v>
      </c>
      <c r="N59" s="22" t="str">
        <f>"I"&amp;(MOD(54-1,3)+1)</f>
        <v>I3</v>
      </c>
      <c r="O59" s="22" t="str">
        <f t="shared" si="12"/>
        <v/>
      </c>
      <c r="P59" s="28">
        <f>MOD(ABS(SIN(semilla*12.9898+54*78.233+2*37.719))*43758.5453,1)</f>
        <v>0.39078372448420851</v>
      </c>
      <c r="Q59" s="22" t="str">
        <f>"I"&amp;(MOD(54-1,3)+1)</f>
        <v>I3</v>
      </c>
      <c r="R59" s="22" t="str">
        <f t="shared" si="13"/>
        <v/>
      </c>
      <c r="S59" s="28">
        <f>MOD(ABS(SIN(semilla*12.9898+54*78.233+3*37.719))*43758.5453,1)</f>
        <v>0.10536587652313756</v>
      </c>
      <c r="T59" s="22" t="str">
        <f>"I"&amp;(MOD(54-1,3)+1)</f>
        <v>I3</v>
      </c>
      <c r="U59" s="22" t="str">
        <f t="shared" si="14"/>
        <v/>
      </c>
      <c r="V59" s="28">
        <f>MOD(ABS(SIN(semilla*12.9898+54*78.233+4*37.719))*43758.5453,1)</f>
        <v>0.56825979173299856</v>
      </c>
      <c r="W59" s="22" t="str">
        <f>"I"&amp;(MOD(54-1,3)+1)</f>
        <v>I3</v>
      </c>
      <c r="X59" s="22" t="str">
        <f t="shared" si="15"/>
        <v/>
      </c>
    </row>
    <row r="60" spans="1:24" x14ac:dyDescent="0.3">
      <c r="A60" s="12" t="str">
        <f>IF(ISNUMBER(rpd),IF(55&lt;=3*rpd,55,""),"")</f>
        <v/>
      </c>
      <c r="B60" s="18" t="str">
        <f t="shared" si="8"/>
        <v/>
      </c>
      <c r="C60" s="19" t="str">
        <f>IF(OR(B60="",B60="—"),"",IF(INDEX(corrientes,MATCH(B60,{"I1","I2","I3"},0))="","",INDEX(corrientes,MATCH(B60,{"I1","I2","I3"},0))))</f>
        <v/>
      </c>
      <c r="D60" s="18" t="str">
        <f t="shared" si="9"/>
        <v/>
      </c>
      <c r="E60" s="19" t="str">
        <f>IF(OR(D60="",D60="—"),"",IF(INDEX(corrientes,MATCH(D60,{"I1","I2","I3"},0))="","",INDEX(corrientes,MATCH(D60,{"I1","I2","I3"},0))))</f>
        <v/>
      </c>
      <c r="F60" s="18" t="str">
        <f t="shared" si="10"/>
        <v/>
      </c>
      <c r="G60" s="19" t="str">
        <f>IF(OR(F60="",F60="—"),"",IF(INDEX(corrientes,MATCH(F60,{"I1","I2","I3"},0))="","",INDEX(corrientes,MATCH(F60,{"I1","I2","I3"},0))))</f>
        <v/>
      </c>
      <c r="H60" s="18" t="str">
        <f t="shared" si="11"/>
        <v/>
      </c>
      <c r="I60" s="19" t="str">
        <f>IF(OR(H60="",H60="—"),"",IF(INDEX(corrientes,MATCH(H60,{"I1","I2","I3"},0))="","",INDEX(corrientes,MATCH(H60,{"I1","I2","I3"},0))))</f>
        <v/>
      </c>
      <c r="M60" s="28">
        <f>MOD(ABS(SIN(semilla*12.9898+55*78.233+1*37.719))*43758.5453,1)</f>
        <v>0.62346629926469177</v>
      </c>
      <c r="N60" s="22" t="str">
        <f>"I"&amp;(MOD(55-1,3)+1)</f>
        <v>I1</v>
      </c>
      <c r="O60" s="22" t="str">
        <f t="shared" si="12"/>
        <v/>
      </c>
      <c r="P60" s="28">
        <f>MOD(ABS(SIN(semilla*12.9898+55*78.233+2*37.719))*43758.5453,1)</f>
        <v>0.17410502040002029</v>
      </c>
      <c r="Q60" s="22" t="str">
        <f>"I"&amp;(MOD(55-1,3)+1)</f>
        <v>I1</v>
      </c>
      <c r="R60" s="22" t="str">
        <f t="shared" si="13"/>
        <v/>
      </c>
      <c r="S60" s="28">
        <f>MOD(ABS(SIN(semilla*12.9898+55*78.233+3*37.719))*43758.5453,1)</f>
        <v>0.93935309007065371</v>
      </c>
      <c r="T60" s="22" t="str">
        <f>"I"&amp;(MOD(55-1,3)+1)</f>
        <v>I1</v>
      </c>
      <c r="U60" s="22" t="str">
        <f t="shared" si="14"/>
        <v/>
      </c>
      <c r="V60" s="28">
        <f>MOD(ABS(SIN(semilla*12.9898+55*78.233+4*37.719))*43758.5453,1)</f>
        <v>0.83861618980154162</v>
      </c>
      <c r="W60" s="22" t="str">
        <f>"I"&amp;(MOD(55-1,3)+1)</f>
        <v>I1</v>
      </c>
      <c r="X60" s="22" t="str">
        <f t="shared" si="15"/>
        <v/>
      </c>
    </row>
    <row r="61" spans="1:24" x14ac:dyDescent="0.3">
      <c r="A61" s="12" t="str">
        <f>IF(ISNUMBER(rpd),IF(56&lt;=3*rpd,56,""),"")</f>
        <v/>
      </c>
      <c r="B61" s="18" t="str">
        <f t="shared" si="8"/>
        <v/>
      </c>
      <c r="C61" s="19" t="str">
        <f>IF(OR(B61="",B61="—"),"",IF(INDEX(corrientes,MATCH(B61,{"I1","I2","I3"},0))="","",INDEX(corrientes,MATCH(B61,{"I1","I2","I3"},0))))</f>
        <v/>
      </c>
      <c r="D61" s="18" t="str">
        <f t="shared" si="9"/>
        <v/>
      </c>
      <c r="E61" s="19" t="str">
        <f>IF(OR(D61="",D61="—"),"",IF(INDEX(corrientes,MATCH(D61,{"I1","I2","I3"},0))="","",INDEX(corrientes,MATCH(D61,{"I1","I2","I3"},0))))</f>
        <v/>
      </c>
      <c r="F61" s="18" t="str">
        <f t="shared" si="10"/>
        <v/>
      </c>
      <c r="G61" s="19" t="str">
        <f>IF(OR(F61="",F61="—"),"",IF(INDEX(corrientes,MATCH(F61,{"I1","I2","I3"},0))="","",INDEX(corrientes,MATCH(F61,{"I1","I2","I3"},0))))</f>
        <v/>
      </c>
      <c r="H61" s="18" t="str">
        <f t="shared" si="11"/>
        <v/>
      </c>
      <c r="I61" s="19" t="str">
        <f>IF(OR(H61="",H61="—"),"",IF(INDEX(corrientes,MATCH(H61,{"I1","I2","I3"},0))="","",INDEX(corrientes,MATCH(H61,{"I1","I2","I3"},0))))</f>
        <v/>
      </c>
      <c r="M61" s="28">
        <f>MOD(ABS(SIN(semilla*12.9898+56*78.233+1*37.719))*43758.5453,1)</f>
        <v>0.71598566278407816</v>
      </c>
      <c r="N61" s="22" t="str">
        <f>"I"&amp;(MOD(56-1,3)+1)</f>
        <v>I2</v>
      </c>
      <c r="O61" s="22" t="str">
        <f t="shared" si="12"/>
        <v/>
      </c>
      <c r="P61" s="28">
        <f>MOD(ABS(SIN(semilla*12.9898+56*78.233+2*37.719))*43758.5453,1)</f>
        <v>0.22729886245360831</v>
      </c>
      <c r="Q61" s="22" t="str">
        <f>"I"&amp;(MOD(56-1,3)+1)</f>
        <v>I2</v>
      </c>
      <c r="R61" s="22" t="str">
        <f t="shared" si="13"/>
        <v/>
      </c>
      <c r="S61" s="28">
        <f>MOD(ABS(SIN(semilla*12.9898+56*78.233+3*37.719))*43758.5453,1)</f>
        <v>1.1516276215843391E-2</v>
      </c>
      <c r="T61" s="22" t="str">
        <f>"I"&amp;(MOD(56-1,3)+1)</f>
        <v>I2</v>
      </c>
      <c r="U61" s="22" t="str">
        <f t="shared" si="14"/>
        <v/>
      </c>
      <c r="V61" s="28">
        <f>MOD(ABS(SIN(semilla*12.9898+56*78.233+4*37.719))*43758.5453,1)</f>
        <v>0.89073683751485078</v>
      </c>
      <c r="W61" s="22" t="str">
        <f>"I"&amp;(MOD(56-1,3)+1)</f>
        <v>I2</v>
      </c>
      <c r="X61" s="22" t="str">
        <f t="shared" si="15"/>
        <v/>
      </c>
    </row>
    <row r="62" spans="1:24" x14ac:dyDescent="0.3">
      <c r="A62" s="12" t="str">
        <f>IF(ISNUMBER(rpd),IF(57&lt;=3*rpd,57,""),"")</f>
        <v/>
      </c>
      <c r="B62" s="18" t="str">
        <f t="shared" si="8"/>
        <v/>
      </c>
      <c r="C62" s="19" t="str">
        <f>IF(OR(B62="",B62="—"),"",IF(INDEX(corrientes,MATCH(B62,{"I1","I2","I3"},0))="","",INDEX(corrientes,MATCH(B62,{"I1","I2","I3"},0))))</f>
        <v/>
      </c>
      <c r="D62" s="18" t="str">
        <f t="shared" si="9"/>
        <v/>
      </c>
      <c r="E62" s="19" t="str">
        <f>IF(OR(D62="",D62="—"),"",IF(INDEX(corrientes,MATCH(D62,{"I1","I2","I3"},0))="","",INDEX(corrientes,MATCH(D62,{"I1","I2","I3"},0))))</f>
        <v/>
      </c>
      <c r="F62" s="18" t="str">
        <f t="shared" si="10"/>
        <v/>
      </c>
      <c r="G62" s="19" t="str">
        <f>IF(OR(F62="",F62="—"),"",IF(INDEX(corrientes,MATCH(F62,{"I1","I2","I3"},0))="","",INDEX(corrientes,MATCH(F62,{"I1","I2","I3"},0))))</f>
        <v/>
      </c>
      <c r="H62" s="18" t="str">
        <f t="shared" si="11"/>
        <v/>
      </c>
      <c r="I62" s="19" t="str">
        <f>IF(OR(H62="",H62="—"),"",IF(INDEX(corrientes,MATCH(H62,{"I1","I2","I3"},0))="","",INDEX(corrientes,MATCH(H62,{"I1","I2","I3"},0))))</f>
        <v/>
      </c>
      <c r="M62" s="28">
        <f>MOD(ABS(SIN(semilla*12.9898+57*78.233+1*37.719))*43758.5453,1)</f>
        <v>0.51298916309679043</v>
      </c>
      <c r="N62" s="22" t="str">
        <f>"I"&amp;(MOD(57-1,3)+1)</f>
        <v>I3</v>
      </c>
      <c r="O62" s="22" t="str">
        <f t="shared" si="12"/>
        <v/>
      </c>
      <c r="P62" s="28">
        <f>MOD(ABS(SIN(semilla*12.9898+57*78.233+2*37.719))*43758.5453,1)</f>
        <v>0.59956911578774452</v>
      </c>
      <c r="Q62" s="22" t="str">
        <f>"I"&amp;(MOD(57-1,3)+1)</f>
        <v>I3</v>
      </c>
      <c r="R62" s="22" t="str">
        <f t="shared" si="13"/>
        <v/>
      </c>
      <c r="S62" s="28">
        <f>MOD(ABS(SIN(semilla*12.9898+57*78.233+3*37.719))*43758.5453,1)</f>
        <v>0.39286051375893294</v>
      </c>
      <c r="T62" s="22" t="str">
        <f>"I"&amp;(MOD(57-1,3)+1)</f>
        <v>I3</v>
      </c>
      <c r="U62" s="22" t="str">
        <f t="shared" si="14"/>
        <v/>
      </c>
      <c r="V62" s="28">
        <f>MOD(ABS(SIN(semilla*12.9898+57*78.233+4*37.719))*43758.5453,1)</f>
        <v>0.63427152156509692</v>
      </c>
      <c r="W62" s="22" t="str">
        <f>"I"&amp;(MOD(57-1,3)+1)</f>
        <v>I3</v>
      </c>
      <c r="X62" s="22" t="str">
        <f t="shared" si="15"/>
        <v/>
      </c>
    </row>
    <row r="63" spans="1:24" x14ac:dyDescent="0.3">
      <c r="A63" s="12" t="str">
        <f>IF(ISNUMBER(rpd),IF(58&lt;=3*rpd,58,""),"")</f>
        <v/>
      </c>
      <c r="B63" s="18" t="str">
        <f t="shared" si="8"/>
        <v/>
      </c>
      <c r="C63" s="19" t="str">
        <f>IF(OR(B63="",B63="—"),"",IF(INDEX(corrientes,MATCH(B63,{"I1","I2","I3"},0))="","",INDEX(corrientes,MATCH(B63,{"I1","I2","I3"},0))))</f>
        <v/>
      </c>
      <c r="D63" s="18" t="str">
        <f t="shared" si="9"/>
        <v/>
      </c>
      <c r="E63" s="19" t="str">
        <f>IF(OR(D63="",D63="—"),"",IF(INDEX(corrientes,MATCH(D63,{"I1","I2","I3"},0))="","",INDEX(corrientes,MATCH(D63,{"I1","I2","I3"},0))))</f>
        <v/>
      </c>
      <c r="F63" s="18" t="str">
        <f t="shared" si="10"/>
        <v/>
      </c>
      <c r="G63" s="19" t="str">
        <f>IF(OR(F63="",F63="—"),"",IF(INDEX(corrientes,MATCH(F63,{"I1","I2","I3"},0))="","",INDEX(corrientes,MATCH(F63,{"I1","I2","I3"},0))))</f>
        <v/>
      </c>
      <c r="H63" s="18" t="str">
        <f t="shared" si="11"/>
        <v/>
      </c>
      <c r="I63" s="19" t="str">
        <f>IF(OR(H63="",H63="—"),"",IF(INDEX(corrientes,MATCH(H63,{"I1","I2","I3"},0))="","",INDEX(corrientes,MATCH(H63,{"I1","I2","I3"},0))))</f>
        <v/>
      </c>
      <c r="M63" s="28">
        <f>MOD(ABS(SIN(semilla*12.9898+58*78.233+1*37.719))*43758.5453,1)</f>
        <v>0.61321326473625959</v>
      </c>
      <c r="N63" s="22" t="str">
        <f>"I"&amp;(MOD(58-1,3)+1)</f>
        <v>I1</v>
      </c>
      <c r="O63" s="22" t="str">
        <f t="shared" si="12"/>
        <v/>
      </c>
      <c r="P63" s="28">
        <f>MOD(ABS(SIN(semilla*12.9898+58*78.233+2*37.719))*43758.5453,1)</f>
        <v>0.15590027710277354</v>
      </c>
      <c r="Q63" s="22" t="str">
        <f>"I"&amp;(MOD(58-1,3)+1)</f>
        <v>I1</v>
      </c>
      <c r="R63" s="22" t="str">
        <f t="shared" si="13"/>
        <v/>
      </c>
      <c r="S63" s="28">
        <f>MOD(ABS(SIN(semilla*12.9898+58*78.233+3*37.719))*43758.5453,1)</f>
        <v>0.8939003586419858</v>
      </c>
      <c r="T63" s="22" t="str">
        <f>"I"&amp;(MOD(58-1,3)+1)</f>
        <v>I1</v>
      </c>
      <c r="U63" s="22" t="str">
        <f t="shared" si="14"/>
        <v/>
      </c>
      <c r="V63" s="28">
        <f>MOD(ABS(SIN(semilla*12.9898+58*78.233+4*37.719))*43758.5453,1)</f>
        <v>0.51208341086748987</v>
      </c>
      <c r="W63" s="22" t="str">
        <f>"I"&amp;(MOD(58-1,3)+1)</f>
        <v>I1</v>
      </c>
      <c r="X63" s="22" t="str">
        <f t="shared" si="15"/>
        <v/>
      </c>
    </row>
    <row r="64" spans="1:24" x14ac:dyDescent="0.3">
      <c r="A64" s="12" t="str">
        <f>IF(ISNUMBER(rpd),IF(59&lt;=3*rpd,59,""),"")</f>
        <v/>
      </c>
      <c r="B64" s="18" t="str">
        <f t="shared" si="8"/>
        <v/>
      </c>
      <c r="C64" s="19" t="str">
        <f>IF(OR(B64="",B64="—"),"",IF(INDEX(corrientes,MATCH(B64,{"I1","I2","I3"},0))="","",INDEX(corrientes,MATCH(B64,{"I1","I2","I3"},0))))</f>
        <v/>
      </c>
      <c r="D64" s="18" t="str">
        <f t="shared" si="9"/>
        <v/>
      </c>
      <c r="E64" s="19" t="str">
        <f>IF(OR(D64="",D64="—"),"",IF(INDEX(corrientes,MATCH(D64,{"I1","I2","I3"},0))="","",INDEX(corrientes,MATCH(D64,{"I1","I2","I3"},0))))</f>
        <v/>
      </c>
      <c r="F64" s="18" t="str">
        <f t="shared" si="10"/>
        <v/>
      </c>
      <c r="G64" s="19" t="str">
        <f>IF(OR(F64="",F64="—"),"",IF(INDEX(corrientes,MATCH(F64,{"I1","I2","I3"},0))="","",INDEX(corrientes,MATCH(F64,{"I1","I2","I3"},0))))</f>
        <v/>
      </c>
      <c r="H64" s="18" t="str">
        <f t="shared" si="11"/>
        <v/>
      </c>
      <c r="I64" s="19" t="str">
        <f>IF(OR(H64="",H64="—"),"",IF(INDEX(corrientes,MATCH(H64,{"I1","I2","I3"},0))="","",INDEX(corrientes,MATCH(H64,{"I1","I2","I3"},0))))</f>
        <v/>
      </c>
      <c r="M64" s="28">
        <f>MOD(ABS(SIN(semilla*12.9898+59*78.233+1*37.719))*43758.5453,1)</f>
        <v>0.89436001250396657</v>
      </c>
      <c r="N64" s="22" t="str">
        <f>"I"&amp;(MOD(59-1,3)+1)</f>
        <v>I2</v>
      </c>
      <c r="O64" s="22" t="str">
        <f t="shared" si="12"/>
        <v/>
      </c>
      <c r="P64" s="28">
        <f>MOD(ABS(SIN(semilla*12.9898+59*78.233+2*37.719))*43758.5453,1)</f>
        <v>0.84217876868569874</v>
      </c>
      <c r="Q64" s="22" t="str">
        <f>"I"&amp;(MOD(59-1,3)+1)</f>
        <v>I2</v>
      </c>
      <c r="R64" s="22" t="str">
        <f t="shared" si="13"/>
        <v/>
      </c>
      <c r="S64" s="28">
        <f>MOD(ABS(SIN(semilla*12.9898+59*78.233+3*37.719))*43758.5453,1)</f>
        <v>0.10947072543513059</v>
      </c>
      <c r="T64" s="22" t="str">
        <f>"I"&amp;(MOD(59-1,3)+1)</f>
        <v>I2</v>
      </c>
      <c r="U64" s="22" t="str">
        <f t="shared" si="14"/>
        <v/>
      </c>
      <c r="V64" s="28">
        <f>MOD(ABS(SIN(semilla*12.9898+59*78.233+4*37.719))*43758.5453,1)</f>
        <v>0.35400070708601561</v>
      </c>
      <c r="W64" s="22" t="str">
        <f>"I"&amp;(MOD(59-1,3)+1)</f>
        <v>I2</v>
      </c>
      <c r="X64" s="22" t="str">
        <f t="shared" si="15"/>
        <v/>
      </c>
    </row>
    <row r="65" spans="1:24" x14ac:dyDescent="0.3">
      <c r="A65" s="12" t="str">
        <f>IF(ISNUMBER(rpd),IF(60&lt;=3*rpd,60,""),"")</f>
        <v/>
      </c>
      <c r="B65" s="18" t="str">
        <f t="shared" si="8"/>
        <v/>
      </c>
      <c r="C65" s="19" t="str">
        <f>IF(OR(B65="",B65="—"),"",IF(INDEX(corrientes,MATCH(B65,{"I1","I2","I3"},0))="","",INDEX(corrientes,MATCH(B65,{"I1","I2","I3"},0))))</f>
        <v/>
      </c>
      <c r="D65" s="18" t="str">
        <f t="shared" si="9"/>
        <v/>
      </c>
      <c r="E65" s="19" t="str">
        <f>IF(OR(D65="",D65="—"),"",IF(INDEX(corrientes,MATCH(D65,{"I1","I2","I3"},0))="","",INDEX(corrientes,MATCH(D65,{"I1","I2","I3"},0))))</f>
        <v/>
      </c>
      <c r="F65" s="18" t="str">
        <f t="shared" si="10"/>
        <v/>
      </c>
      <c r="G65" s="19" t="str">
        <f>IF(OR(F65="",F65="—"),"",IF(INDEX(corrientes,MATCH(F65,{"I1","I2","I3"},0))="","",INDEX(corrientes,MATCH(F65,{"I1","I2","I3"},0))))</f>
        <v/>
      </c>
      <c r="H65" s="18" t="str">
        <f t="shared" si="11"/>
        <v/>
      </c>
      <c r="I65" s="19" t="str">
        <f>IF(OR(H65="",H65="—"),"",IF(INDEX(corrientes,MATCH(H65,{"I1","I2","I3"},0))="","",INDEX(corrientes,MATCH(H65,{"I1","I2","I3"},0))))</f>
        <v/>
      </c>
      <c r="M65" s="28">
        <f>MOD(ABS(SIN(semilla*12.9898+60*78.233+1*37.719))*43758.5453,1)</f>
        <v>0.69379830161051359</v>
      </c>
      <c r="N65" s="22" t="str">
        <f>"I"&amp;(MOD(60-1,3)+1)</f>
        <v>I3</v>
      </c>
      <c r="O65" s="22" t="str">
        <f t="shared" si="12"/>
        <v/>
      </c>
      <c r="P65" s="28">
        <f>MOD(ABS(SIN(semilla*12.9898+60*78.233+2*37.719))*43758.5453,1)</f>
        <v>0.3138693936944037</v>
      </c>
      <c r="Q65" s="22" t="str">
        <f>"I"&amp;(MOD(60-1,3)+1)</f>
        <v>I3</v>
      </c>
      <c r="R65" s="22" t="str">
        <f t="shared" si="13"/>
        <v/>
      </c>
      <c r="S65" s="28">
        <f>MOD(ABS(SIN(semilla*12.9898+60*78.233+3*37.719))*43758.5453,1)</f>
        <v>0.3333457659718988</v>
      </c>
      <c r="T65" s="22" t="str">
        <f>"I"&amp;(MOD(60-1,3)+1)</f>
        <v>I3</v>
      </c>
      <c r="U65" s="22" t="str">
        <f t="shared" si="14"/>
        <v/>
      </c>
      <c r="V65" s="28">
        <f>MOD(ABS(SIN(semilla*12.9898+60*78.233+4*37.719))*43758.5453,1)</f>
        <v>8.9602868262772972E-2</v>
      </c>
      <c r="W65" s="22" t="str">
        <f>"I"&amp;(MOD(60-1,3)+1)</f>
        <v>I3</v>
      </c>
      <c r="X65" s="22" t="str">
        <f t="shared" si="15"/>
        <v/>
      </c>
    </row>
  </sheetData>
  <mergeCells count="5">
    <mergeCell ref="A3:I3"/>
    <mergeCell ref="B4:C4"/>
    <mergeCell ref="D4:E4"/>
    <mergeCell ref="F4:G4"/>
    <mergeCell ref="H4:I4"/>
  </mergeCells>
  <conditionalFormatting sqref="B6:B65">
    <cfRule type="cellIs" dxfId="91" priority="1" operator="equal">
      <formula>"I1"</formula>
    </cfRule>
    <cfRule type="cellIs" dxfId="90" priority="2" operator="equal">
      <formula>"I2"</formula>
    </cfRule>
    <cfRule type="cellIs" dxfId="89" priority="3" operator="equal">
      <formula>"I3"</formula>
    </cfRule>
  </conditionalFormatting>
  <conditionalFormatting sqref="D6:D65">
    <cfRule type="cellIs" dxfId="88" priority="4" operator="equal">
      <formula>"I1"</formula>
    </cfRule>
    <cfRule type="cellIs" dxfId="87" priority="5" operator="equal">
      <formula>"I2"</formula>
    </cfRule>
    <cfRule type="cellIs" dxfId="86" priority="6" operator="equal">
      <formula>"I3"</formula>
    </cfRule>
  </conditionalFormatting>
  <conditionalFormatting sqref="F6:F65">
    <cfRule type="cellIs" dxfId="85" priority="7" operator="equal">
      <formula>"I1"</formula>
    </cfRule>
    <cfRule type="cellIs" dxfId="84" priority="8" operator="equal">
      <formula>"I2"</formula>
    </cfRule>
    <cfRule type="cellIs" dxfId="83" priority="9" operator="equal">
      <formula>"I3"</formula>
    </cfRule>
  </conditionalFormatting>
  <conditionalFormatting sqref="H6:H65">
    <cfRule type="cellIs" dxfId="82" priority="10" operator="equal">
      <formula>"I1"</formula>
    </cfRule>
    <cfRule type="cellIs" dxfId="81" priority="11" operator="equal">
      <formula>"I2"</formula>
    </cfRule>
    <cfRule type="cellIs" dxfId="80" priority="12" operator="equal">
      <formula>"I3"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01"/>
  <sheetViews>
    <sheetView workbookViewId="0">
      <pane ySplit="1" topLeftCell="A34" activePane="bottomLeft" state="frozen"/>
      <selection pane="bottomLeft" activeCell="A20" sqref="A20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114</v>
      </c>
      <c r="M1" s="6" t="str">
        <f>"Corriente "&amp;IFERROR(INDEX('Registro piloto'!$C$5:$C$19,1),"")</f>
        <v>Corriente I2</v>
      </c>
    </row>
    <row r="2" spans="1:13" x14ac:dyDescent="0.3">
      <c r="A2" s="11">
        <v>0</v>
      </c>
      <c r="B2" s="32">
        <v>9.9999999999999995E-7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9.9999999999999995E-7</v>
      </c>
      <c r="E2" s="28">
        <f t="shared" ref="E2:E65" si="1">IF(AND(ISNUMBER(D2),ISNUMBER($M$4)),(D2-$M$4)/($M$5-$M$4),"")</f>
        <v>0.13423387780478155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-395.20309049566214</v>
      </c>
      <c r="J2" s="28">
        <f t="shared" ref="J2:J65" si="4">IF(ISNUMBER(E2),E2,NA())</f>
        <v>0.13423387780478155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18</v>
      </c>
    </row>
    <row r="3" spans="1:13" x14ac:dyDescent="0.3">
      <c r="A3" s="11">
        <v>10</v>
      </c>
      <c r="B3" s="32">
        <v>9.9999999999999995E-7</v>
      </c>
      <c r="C3" s="22">
        <f t="shared" si="0"/>
        <v>66.712819039630403</v>
      </c>
      <c r="D3" s="28">
        <f>IF(ISNUMBER(B3),AVERAGE(INDEX($B$2:$B$301,MAX(1,2-semi)):INDEX($B$2:$B$301,MIN($M$2,2+semi))),"")</f>
        <v>9.9999999999999995E-7</v>
      </c>
      <c r="E3" s="28">
        <f t="shared" si="1"/>
        <v>0.13423387780478155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-328.49027145603173</v>
      </c>
      <c r="J3" s="28">
        <f t="shared" si="4"/>
        <v>0.13423387780478155</v>
      </c>
      <c r="K3" s="22">
        <f t="shared" si="5"/>
        <v>1</v>
      </c>
      <c r="L3" s="8" t="s">
        <v>97</v>
      </c>
      <c r="M3" s="12">
        <f>COUNT($B$2:$B$301)</f>
        <v>18</v>
      </c>
    </row>
    <row r="4" spans="1:13" x14ac:dyDescent="0.3">
      <c r="A4" s="11">
        <v>20</v>
      </c>
      <c r="B4" s="32">
        <v>9.9999999999999995E-7</v>
      </c>
      <c r="C4" s="22">
        <f t="shared" si="0"/>
        <v>133.42563807926081</v>
      </c>
      <c r="D4" s="28">
        <f>IF(ISNUMBER(B4),AVERAGE(INDEX($B$2:$B$301,MAX(1,3-semi)):INDEX($B$2:$B$301,MIN($M$2,3+semi))),"")</f>
        <v>9.9999999999999995E-7</v>
      </c>
      <c r="E4" s="28">
        <f t="shared" si="1"/>
        <v>0.13423387780478155</v>
      </c>
      <c r="F4" s="22">
        <f>IF(AND(ISNUMBER(E4),ISNUMBER(E5),ISNUMBER($M$6)),IF(AND(4&lt;$M$6,E4&lt;0.5,E5&gt;=0.5),4,""),"")</f>
        <v>4</v>
      </c>
      <c r="G4" s="22" t="str">
        <f>IF(AND(ISNUMBER(E4),ISNUMBER(E5),ISNUMBER($M$6)),IF(AND(4&gt;=$M$6,E4&gt;=0.5,E5&lt;0.5),4,""),"")</f>
        <v/>
      </c>
      <c r="H4" s="22">
        <f t="shared" si="2"/>
        <v>162.20777197359203</v>
      </c>
      <c r="I4" s="22">
        <f t="shared" si="3"/>
        <v>-261.77745241640133</v>
      </c>
      <c r="J4" s="28">
        <f t="shared" si="4"/>
        <v>0.13423387780478155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5.2499999999999995E-7</v>
      </c>
    </row>
    <row r="5" spans="1:13" x14ac:dyDescent="0.3">
      <c r="A5" s="11">
        <v>30</v>
      </c>
      <c r="B5" s="32">
        <v>3.9999999999999998E-6</v>
      </c>
      <c r="C5" s="22">
        <f t="shared" si="0"/>
        <v>200.13845711889124</v>
      </c>
      <c r="D5" s="28">
        <f>IF(ISNUMBER(B5),AVERAGE(INDEX($B$2:$B$301,MAX(1,4-semi)):INDEX($B$2:$B$301,MIN($M$2,4+semi))),"")</f>
        <v>3.9999999999999998E-6</v>
      </c>
      <c r="E5" s="28">
        <f t="shared" si="1"/>
        <v>0.98202679025603334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-195.0646333767709</v>
      </c>
      <c r="J5" s="28">
        <f t="shared" si="4"/>
        <v>0.98202679025603334</v>
      </c>
      <c r="K5" s="22">
        <f t="shared" si="5"/>
        <v>1</v>
      </c>
      <c r="L5" s="8" t="s">
        <v>99</v>
      </c>
      <c r="M5" s="19">
        <f>IF($M$2&lt;2*n_fondo,"",MAX($D$2:$D$301))</f>
        <v>4.0636000000000004E-6</v>
      </c>
    </row>
    <row r="6" spans="1:13" x14ac:dyDescent="0.3">
      <c r="A6" s="11">
        <v>40</v>
      </c>
      <c r="B6" s="32">
        <v>1.1193E-6</v>
      </c>
      <c r="C6" s="22">
        <f t="shared" si="0"/>
        <v>266.85127615852161</v>
      </c>
      <c r="D6" s="28">
        <f>IF(ISNUMBER(B6),AVERAGE(INDEX($B$2:$B$301,MAX(1,5-semi)):INDEX($B$2:$B$301,MIN($M$2,5+semi))),"")</f>
        <v>1.1193E-6</v>
      </c>
      <c r="E6" s="28">
        <f t="shared" si="1"/>
        <v>0.16794777595659302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-128.35181433714052</v>
      </c>
      <c r="J6" s="28">
        <f t="shared" si="4"/>
        <v>0.16794777595659302</v>
      </c>
      <c r="K6" s="22">
        <f t="shared" si="5"/>
        <v>1</v>
      </c>
      <c r="L6" s="8" t="s">
        <v>100</v>
      </c>
      <c r="M6" s="12">
        <f>IFERROR(MATCH($M$5,$D$2:$D$301,0)+1,"")</f>
        <v>8</v>
      </c>
    </row>
    <row r="7" spans="1:13" x14ac:dyDescent="0.3">
      <c r="A7" s="11">
        <v>50</v>
      </c>
      <c r="B7" s="32">
        <v>1.9622999999999998E-6</v>
      </c>
      <c r="C7" s="22">
        <f t="shared" si="0"/>
        <v>333.56409519815202</v>
      </c>
      <c r="D7" s="28">
        <f>IF(ISNUMBER(B7),AVERAGE(INDEX($B$2:$B$301,MAX(1,6-semi)):INDEX($B$2:$B$301,MIN($M$2,6+semi))),"")</f>
        <v>1.9622999999999998E-6</v>
      </c>
      <c r="E7" s="28">
        <f t="shared" si="1"/>
        <v>0.40617758435539469</v>
      </c>
      <c r="F7" s="22">
        <f>IF(AND(ISNUMBER(E7),ISNUMBER(E8),ISNUMBER($M$6)),IF(AND(7&lt;$M$6,E7&lt;0.5,E8&gt;=0.5),7,""),"")</f>
        <v>7</v>
      </c>
      <c r="G7" s="22" t="str">
        <f>IF(AND(ISNUMBER(E7),ISNUMBER(E8),ISNUMBER($M$6)),IF(AND(7&gt;=$M$6,E7&gt;=0.5,E8&lt;0.5),7,""),"")</f>
        <v/>
      </c>
      <c r="H7" s="22">
        <f t="shared" si="2"/>
        <v>344.10454916529488</v>
      </c>
      <c r="I7" s="22">
        <f t="shared" si="3"/>
        <v>-61.638995297510121</v>
      </c>
      <c r="J7" s="28">
        <f t="shared" si="4"/>
        <v>0.40617758435539469</v>
      </c>
      <c r="K7" s="22">
        <f t="shared" si="5"/>
        <v>1</v>
      </c>
      <c r="L7" s="8" t="s">
        <v>101</v>
      </c>
      <c r="M7" s="17">
        <f>IFERROR(INDEX($C$1:$C$301,$M$6),"")</f>
        <v>400.27691423778248</v>
      </c>
    </row>
    <row r="8" spans="1:13" x14ac:dyDescent="0.3">
      <c r="A8" s="11">
        <v>60</v>
      </c>
      <c r="B8" s="32">
        <v>4.0636000000000004E-6</v>
      </c>
      <c r="C8" s="22">
        <f t="shared" si="0"/>
        <v>400.27691423778248</v>
      </c>
      <c r="D8" s="28">
        <f>IF(ISNUMBER(B8),AVERAGE(INDEX($B$2:$B$301,MAX(1,7-semi)):INDEX($B$2:$B$301,MIN($M$2,7+semi))),"")</f>
        <v>4.0636000000000004E-6</v>
      </c>
      <c r="E8" s="28">
        <f t="shared" si="1"/>
        <v>1</v>
      </c>
      <c r="F8" s="22" t="str">
        <f>IF(AND(ISNUMBER(E8),ISNUMBER(E9),ISNUMBER($M$6)),IF(AND(8&lt;$M$6,E8&lt;0.5,E9&gt;=0.5),8,""),"")</f>
        <v/>
      </c>
      <c r="G8" s="22">
        <f>IF(AND(ISNUMBER(E8),ISNUMBER(E9),ISNUMBER($M$6)),IF(AND(8&gt;=$M$6,E8&gt;=0.5,E9&lt;0.5),8,""),"")</f>
        <v>8</v>
      </c>
      <c r="H8" s="22">
        <f t="shared" si="2"/>
        <v>446.30163182602939</v>
      </c>
      <c r="I8" s="22">
        <f t="shared" si="3"/>
        <v>5.0738237421203394</v>
      </c>
      <c r="J8" s="28">
        <f t="shared" si="4"/>
        <v>1</v>
      </c>
      <c r="K8" s="22">
        <f t="shared" si="5"/>
        <v>1</v>
      </c>
      <c r="L8" s="8" t="s">
        <v>102</v>
      </c>
      <c r="M8" s="12">
        <f>MAX($F$2:$F$301)</f>
        <v>7</v>
      </c>
    </row>
    <row r="9" spans="1:13" x14ac:dyDescent="0.3">
      <c r="A9" s="11">
        <v>70</v>
      </c>
      <c r="B9" s="32">
        <v>1.499E-6</v>
      </c>
      <c r="C9" s="22">
        <f t="shared" si="0"/>
        <v>466.98973327741288</v>
      </c>
      <c r="D9" s="28">
        <f>IF(ISNUMBER(B9),AVERAGE(INDEX($B$2:$B$301,MAX(1,8-semi)):INDEX($B$2:$B$301,MIN($M$2,8+semi))),"")</f>
        <v>1.499E-6</v>
      </c>
      <c r="E9" s="28">
        <f t="shared" si="1"/>
        <v>0.27525009890917307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71.786642781750743</v>
      </c>
      <c r="J9" s="28">
        <f t="shared" si="4"/>
        <v>0.27525009890917307</v>
      </c>
      <c r="K9" s="22">
        <f t="shared" si="5"/>
        <v>1</v>
      </c>
      <c r="L9" s="8" t="s">
        <v>103</v>
      </c>
      <c r="M9" s="12">
        <f>MIN($G$2:$G$301)</f>
        <v>8</v>
      </c>
    </row>
    <row r="10" spans="1:13" x14ac:dyDescent="0.3">
      <c r="A10" s="11">
        <v>80</v>
      </c>
      <c r="B10" s="32">
        <v>2.4679999999999999E-6</v>
      </c>
      <c r="C10" s="22">
        <f t="shared" si="0"/>
        <v>533.70255231704323</v>
      </c>
      <c r="D10" s="28">
        <f>IF(ISNUMBER(B10),AVERAGE(INDEX($B$2:$B$301,MAX(1,9-semi)):INDEX($B$2:$B$301,MIN($M$2,9+semi))),"")</f>
        <v>2.4679999999999999E-6</v>
      </c>
      <c r="E10" s="28">
        <f t="shared" si="1"/>
        <v>0.54908720963092739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138.49946182138109</v>
      </c>
      <c r="J10" s="28">
        <f t="shared" si="4"/>
        <v>0.54908720963092739</v>
      </c>
      <c r="K10" s="22">
        <f t="shared" si="5"/>
        <v>1</v>
      </c>
      <c r="L10" s="8" t="s">
        <v>104</v>
      </c>
      <c r="M10" s="17">
        <f>IF($M$8&gt;0,INDEX($H$1:$H$301,$M$8),"")</f>
        <v>344.10454916529488</v>
      </c>
    </row>
    <row r="11" spans="1:13" x14ac:dyDescent="0.3">
      <c r="A11" s="11">
        <v>90</v>
      </c>
      <c r="B11" s="32">
        <v>2.9009999999999998E-6</v>
      </c>
      <c r="C11" s="22">
        <f t="shared" si="0"/>
        <v>600.41537135667363</v>
      </c>
      <c r="D11" s="28">
        <f>IF(ISNUMBER(B11),AVERAGE(INDEX($B$2:$B$301,MAX(1,10-semi)):INDEX($B$2:$B$301,MIN($M$2,10+semi))),"")</f>
        <v>2.9009999999999998E-6</v>
      </c>
      <c r="E11" s="28">
        <f t="shared" si="1"/>
        <v>0.67145198666139139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655.93617699637696</v>
      </c>
      <c r="I11" s="22">
        <f t="shared" si="3"/>
        <v>205.21228086101149</v>
      </c>
      <c r="J11" s="28">
        <f t="shared" si="4"/>
        <v>0.67145198666139139</v>
      </c>
      <c r="K11" s="22">
        <f t="shared" si="5"/>
        <v>1</v>
      </c>
      <c r="L11" s="8" t="s">
        <v>105</v>
      </c>
      <c r="M11" s="17">
        <f>IF($M$9&gt;0,INDEX($H$1:$H$301,$M$9),"")</f>
        <v>446.30163182602939</v>
      </c>
    </row>
    <row r="12" spans="1:13" ht="15.6" x14ac:dyDescent="0.3">
      <c r="A12" s="11">
        <v>100</v>
      </c>
      <c r="B12" s="32">
        <v>2.1720000000000001E-6</v>
      </c>
      <c r="C12" s="22">
        <f t="shared" si="0"/>
        <v>667.12819039630403</v>
      </c>
      <c r="D12" s="28">
        <f>IF(ISNUMBER(B12),AVERAGE(INDEX($B$2:$B$301,MAX(1,11-semi)):INDEX($B$2:$B$301,MIN($M$2,11+semi))),"")</f>
        <v>2.1720000000000001E-6</v>
      </c>
      <c r="E12" s="28">
        <f t="shared" si="1"/>
        <v>0.46543830893573729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271.9250999006419</v>
      </c>
      <c r="J12" s="28">
        <f t="shared" si="4"/>
        <v>0.46543830893573729</v>
      </c>
      <c r="K12" s="22">
        <f t="shared" si="5"/>
        <v>1</v>
      </c>
      <c r="L12" s="8" t="s">
        <v>106</v>
      </c>
      <c r="M12" s="23">
        <f>IF(AND($M$8&gt;0,$M$9&gt;0),ABS($M$11-$M$10),"")</f>
        <v>102.19708266073451</v>
      </c>
    </row>
    <row r="13" spans="1:13" ht="15.6" x14ac:dyDescent="0.3">
      <c r="A13" s="11">
        <v>110</v>
      </c>
      <c r="B13" s="32">
        <v>1.065E-6</v>
      </c>
      <c r="C13" s="22">
        <f t="shared" si="0"/>
        <v>733.84100943593455</v>
      </c>
      <c r="D13" s="28">
        <f>IF(ISNUMBER(B13),AVERAGE(INDEX($B$2:$B$301,MAX(1,12-semi)):INDEX($B$2:$B$301,MIN($M$2,12+semi))),"")</f>
        <v>1.065E-6</v>
      </c>
      <c r="E13" s="28">
        <f t="shared" si="1"/>
        <v>0.15260272424122534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338.63791894027241</v>
      </c>
      <c r="J13" s="28">
        <f t="shared" si="4"/>
        <v>0.15260272424122534</v>
      </c>
      <c r="K13" s="22">
        <f t="shared" si="5"/>
        <v>1</v>
      </c>
      <c r="L13" s="8" t="s">
        <v>107</v>
      </c>
      <c r="M13" s="23">
        <f>IF(ISNUMBER($M$12),factor_forma*$M$12,"")</f>
        <v>66.428103729477428</v>
      </c>
    </row>
    <row r="14" spans="1:13" x14ac:dyDescent="0.3">
      <c r="A14" s="11">
        <v>120</v>
      </c>
      <c r="B14" s="32">
        <v>3.5039999999999998E-6</v>
      </c>
      <c r="C14" s="22">
        <f t="shared" si="0"/>
        <v>800.55382847556496</v>
      </c>
      <c r="D14" s="28">
        <f>IF(ISNUMBER(B14),AVERAGE(INDEX($B$2:$B$301,MAX(1,13-semi)):INDEX($B$2:$B$301,MIN($M$2,13+semi))),"")</f>
        <v>3.5039999999999998E-6</v>
      </c>
      <c r="E14" s="28">
        <f t="shared" si="1"/>
        <v>0.84185836206409304</v>
      </c>
      <c r="F14" s="22" t="str">
        <f>IF(AND(ISNUMBER(E14),ISNUMBER(E15),ISNUMBER($M$6)),IF(AND(14&lt;$M$6,E14&lt;0.5,E15&gt;=0.5),14,""),"")</f>
        <v/>
      </c>
      <c r="G14" s="22">
        <f>IF(AND(ISNUMBER(E14),ISNUMBER(E15),ISNUMBER($M$6)),IF(AND(14&gt;=$M$6,E14&gt;=0.5,E15&lt;0.5),14,""),"")</f>
        <v>14</v>
      </c>
      <c r="H14" s="22">
        <f t="shared" si="2"/>
        <v>856.44198442587026</v>
      </c>
      <c r="I14" s="22">
        <f t="shared" si="3"/>
        <v>405.35073797990282</v>
      </c>
      <c r="J14" s="28">
        <f t="shared" si="4"/>
        <v>0.84185836206409304</v>
      </c>
      <c r="K14" s="22">
        <f t="shared" si="5"/>
        <v>1</v>
      </c>
      <c r="L14" s="8" t="s">
        <v>108</v>
      </c>
      <c r="M14" s="17">
        <f>IF(ISNUMBER($M$12),0.7071*$M$12,"")</f>
        <v>72.263557149405372</v>
      </c>
    </row>
    <row r="15" spans="1:13" x14ac:dyDescent="0.3">
      <c r="A15" s="11">
        <v>130</v>
      </c>
      <c r="B15" s="32">
        <v>2.0600000000000002E-6</v>
      </c>
      <c r="C15" s="22">
        <f t="shared" si="0"/>
        <v>867.26664751519536</v>
      </c>
      <c r="D15" s="28">
        <f>IF(ISNUMBER(B15),AVERAGE(INDEX($B$2:$B$301,MAX(1,14-semi)):INDEX($B$2:$B$301,MIN($M$2,14+semi))),"")</f>
        <v>2.0600000000000002E-6</v>
      </c>
      <c r="E15" s="28">
        <f t="shared" si="1"/>
        <v>0.4337873735375572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472.06355701953322</v>
      </c>
      <c r="J15" s="28">
        <f t="shared" si="4"/>
        <v>0.4337873735375572</v>
      </c>
      <c r="K15" s="22">
        <f t="shared" si="5"/>
        <v>1</v>
      </c>
      <c r="L15" s="8" t="s">
        <v>109</v>
      </c>
      <c r="M15" s="17">
        <f>IF(ISNUMBER($M$12),($M$10+$M$11)/2,$M$7)</f>
        <v>395.20309049566214</v>
      </c>
    </row>
    <row r="16" spans="1:13" x14ac:dyDescent="0.3">
      <c r="A16" s="11">
        <v>140</v>
      </c>
      <c r="B16" s="32">
        <v>8.6600000000000005E-7</v>
      </c>
      <c r="C16" s="22">
        <f t="shared" si="0"/>
        <v>933.97946655482576</v>
      </c>
      <c r="D16" s="28">
        <f>IF(ISNUMBER(B16),AVERAGE(INDEX($B$2:$B$301,MAX(1,15-semi)):INDEX($B$2:$B$301,MIN($M$2,15+semi))),"")</f>
        <v>8.6600000000000005E-7</v>
      </c>
      <c r="E16" s="28">
        <f t="shared" si="1"/>
        <v>9.6365794381958983E-2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538.77637605916357</v>
      </c>
      <c r="J16" s="28">
        <f t="shared" si="4"/>
        <v>9.6365794381958983E-2</v>
      </c>
      <c r="K16" s="22">
        <f t="shared" si="5"/>
        <v>1</v>
      </c>
      <c r="L16" s="8" t="s">
        <v>79</v>
      </c>
      <c r="M16" s="12">
        <f>COUNTIF($E$2:$E$301,"&gt;=0.5")</f>
        <v>5</v>
      </c>
    </row>
    <row r="17" spans="1:13" x14ac:dyDescent="0.3">
      <c r="A17" s="11">
        <v>150</v>
      </c>
      <c r="B17" s="32">
        <v>2.7959999999999999E-7</v>
      </c>
      <c r="C17" s="22">
        <f t="shared" si="0"/>
        <v>1000.6922855944562</v>
      </c>
      <c r="D17" s="28">
        <f>IF(ISNUMBER(B17),AVERAGE(INDEX($B$2:$B$301,MAX(1,16-semi)):INDEX($B$2:$B$301,MIN($M$2,16+semi))),"")</f>
        <v>2.7959999999999999E-7</v>
      </c>
      <c r="E17" s="28">
        <f t="shared" si="1"/>
        <v>-6.9349460238512392E-2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605.48919509879397</v>
      </c>
      <c r="J17" s="28">
        <f t="shared" si="4"/>
        <v>-6.9349460238512392E-2</v>
      </c>
      <c r="K17" s="22">
        <f t="shared" si="5"/>
        <v>1</v>
      </c>
      <c r="L17" s="8" t="s">
        <v>110</v>
      </c>
      <c r="M17" s="17">
        <f>IFERROR($M$15-MIN($C$2:$C$301),"")</f>
        <v>395.20309049566214</v>
      </c>
    </row>
    <row r="18" spans="1:13" x14ac:dyDescent="0.3">
      <c r="A18" s="11">
        <v>160</v>
      </c>
      <c r="B18" s="32">
        <v>9.9999999999999995E-8</v>
      </c>
      <c r="C18" s="22">
        <f t="shared" si="0"/>
        <v>1067.4051046340865</v>
      </c>
      <c r="D18" s="28">
        <f>IF(ISNUMBER(B18),AVERAGE(INDEX($B$2:$B$301,MAX(1,17-semi)):INDEX($B$2:$B$301,MIN($M$2,17+semi))),"")</f>
        <v>9.9999999999999995E-8</v>
      </c>
      <c r="E18" s="28">
        <f t="shared" si="1"/>
        <v>-0.120103995930594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672.20201413842437</v>
      </c>
      <c r="J18" s="28">
        <f t="shared" si="4"/>
        <v>-0.120103995930594</v>
      </c>
      <c r="K18" s="22">
        <f t="shared" si="5"/>
        <v>1</v>
      </c>
      <c r="L18" s="8" t="s">
        <v>111</v>
      </c>
      <c r="M18" s="17">
        <f>IFERROR(MAX($C$2:$C$301)-$M$15,"")</f>
        <v>738.91483317805478</v>
      </c>
    </row>
    <row r="19" spans="1:13" x14ac:dyDescent="0.3">
      <c r="A19" s="11">
        <v>170</v>
      </c>
      <c r="B19" s="11">
        <v>0</v>
      </c>
      <c r="C19" s="22">
        <f t="shared" si="0"/>
        <v>1134.1179236737169</v>
      </c>
      <c r="D19" s="28">
        <f>IF(ISNUMBER(B19),AVERAGE(INDEX($B$2:$B$301,MAX(1,18-semi)):INDEX($B$2:$B$301,MIN($M$2,18+semi))),"")</f>
        <v>0</v>
      </c>
      <c r="E19" s="28">
        <f t="shared" si="1"/>
        <v>-0.14836375967896906</v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>
        <f t="shared" si="3"/>
        <v>738.91483317805478</v>
      </c>
      <c r="J19" s="28">
        <f t="shared" si="4"/>
        <v>-0.14836375967896906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OK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-51.098541330367254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51.098541330367254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79" priority="4">
      <formula>ISERROR(I2)</formula>
    </cfRule>
  </conditionalFormatting>
  <conditionalFormatting sqref="L23:M24">
    <cfRule type="containsErrors" dxfId="78" priority="5">
      <formula>ISERROR(L23)</formula>
    </cfRule>
  </conditionalFormatting>
  <conditionalFormatting sqref="M20">
    <cfRule type="cellIs" dxfId="77" priority="1" operator="equal">
      <formula>"OK"</formula>
    </cfRule>
    <cfRule type="beginsWith" dxfId="76" priority="2" operator="beginsWith" text="Aviso">
      <formula>LEFT(M20,5)="Aviso"</formula>
    </cfRule>
    <cfRule type="beginsWith" dxfId="7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01"/>
  <sheetViews>
    <sheetView workbookViewId="0">
      <pane ySplit="1" topLeftCell="A37" activePane="bottomLeft" state="frozen"/>
      <selection pane="bottomLeft" activeCell="I19" sqref="I19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117</v>
      </c>
      <c r="M1" s="6" t="str">
        <f>"Corriente "&amp;IFERROR(INDEX('Registro piloto'!$C$5:$C$19,2),"")</f>
        <v>Corriente I3</v>
      </c>
    </row>
    <row r="2" spans="1:13" x14ac:dyDescent="0.3">
      <c r="A2" s="11">
        <v>0</v>
      </c>
      <c r="B2" s="11">
        <v>0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0</v>
      </c>
      <c r="E2" s="28">
        <f t="shared" ref="E2:E65" si="1">IF(AND(ISNUMBER(D2),ISNUMBER($M$4)),(D2-$M$4)/($M$5-$M$4),"")</f>
        <v>2.6890555439361798E-4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-508.15857375146174</v>
      </c>
      <c r="J2" s="28">
        <f t="shared" ref="J2:J65" si="4">IF(ISNUMBER(E2),E2,NA())</f>
        <v>2.6890555439361798E-4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1.9969999999999999E-8</v>
      </c>
      <c r="C3" s="22">
        <f t="shared" si="0"/>
        <v>66.712819039630403</v>
      </c>
      <c r="D3" s="28">
        <f>IF(ISNUMBER(B3),AVERAGE(INDEX($B$2:$B$301,MAX(1,2-semi)):INDEX($B$2:$B$301,MIN($M$2,2+semi))),"")</f>
        <v>1.9969999999999999E-8</v>
      </c>
      <c r="E3" s="28">
        <f t="shared" si="1"/>
        <v>8.6557710119812364E-4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-441.44575471183134</v>
      </c>
      <c r="J3" s="28">
        <f t="shared" si="4"/>
        <v>8.6557710119812364E-4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2.0970000000000001E-7</v>
      </c>
      <c r="C4" s="22">
        <f t="shared" si="0"/>
        <v>133.42563807926081</v>
      </c>
      <c r="D4" s="28">
        <f>IF(ISNUMBER(B4),AVERAGE(INDEX($B$2:$B$301,MAX(1,3-semi)):INDEX($B$2:$B$301,MIN($M$2,3+semi))),"")</f>
        <v>2.0970000000000001E-7</v>
      </c>
      <c r="E4" s="28">
        <f t="shared" si="1"/>
        <v>6.5344049717649174E-3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-374.73293567220094</v>
      </c>
      <c r="J4" s="28">
        <f t="shared" si="4"/>
        <v>6.5344049717649174E-3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-9.0000000000000012E-9</v>
      </c>
    </row>
    <row r="5" spans="1:13" x14ac:dyDescent="0.3">
      <c r="A5" s="11">
        <v>30</v>
      </c>
      <c r="B5" s="32">
        <v>1.359E-6</v>
      </c>
      <c r="C5" s="22">
        <f t="shared" si="0"/>
        <v>200.13845711889124</v>
      </c>
      <c r="D5" s="28">
        <f>IF(ISNUMBER(B5),AVERAGE(INDEX($B$2:$B$301,MAX(1,4-semi)):INDEX($B$2:$B$301,MIN($M$2,4+semi))),"")</f>
        <v>1.359E-6</v>
      </c>
      <c r="E5" s="28">
        <f t="shared" si="1"/>
        <v>4.0873644267829932E-2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-308.02011663257053</v>
      </c>
      <c r="J5" s="28">
        <f t="shared" si="4"/>
        <v>4.0873644267829932E-2</v>
      </c>
      <c r="K5" s="22">
        <f t="shared" si="5"/>
        <v>1</v>
      </c>
      <c r="L5" s="8" t="s">
        <v>99</v>
      </c>
      <c r="M5" s="19">
        <f>IF($M$2&lt;2*n_fondo,"",MAX($D$2:$D$301))</f>
        <v>3.3460000000000002E-5</v>
      </c>
    </row>
    <row r="6" spans="1:13" x14ac:dyDescent="0.3">
      <c r="A6" s="11">
        <v>40</v>
      </c>
      <c r="B6" s="32">
        <v>3.8680000000000001E-6</v>
      </c>
      <c r="C6" s="22">
        <f t="shared" si="0"/>
        <v>266.85127615852161</v>
      </c>
      <c r="D6" s="28">
        <f>IF(ISNUMBER(B6),AVERAGE(INDEX($B$2:$B$301,MAX(1,5-semi)):INDEX($B$2:$B$301,MIN($M$2,5+semi))),"")</f>
        <v>3.8680000000000001E-6</v>
      </c>
      <c r="E6" s="28">
        <f t="shared" si="1"/>
        <v>0.1158385371537841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-241.30729759294013</v>
      </c>
      <c r="J6" s="28">
        <f t="shared" si="4"/>
        <v>0.1158385371537841</v>
      </c>
      <c r="K6" s="22">
        <f t="shared" si="5"/>
        <v>1</v>
      </c>
      <c r="L6" s="8" t="s">
        <v>100</v>
      </c>
      <c r="M6" s="12">
        <f>IFERROR(MATCH($M$5,$D$2:$D$301,0)+1,"")</f>
        <v>10</v>
      </c>
    </row>
    <row r="7" spans="1:13" x14ac:dyDescent="0.3">
      <c r="A7" s="11">
        <v>50</v>
      </c>
      <c r="B7" s="32">
        <v>9.4879999999999996E-6</v>
      </c>
      <c r="C7" s="22">
        <f t="shared" si="0"/>
        <v>333.56409519815202</v>
      </c>
      <c r="D7" s="28">
        <f>IF(ISNUMBER(B7),AVERAGE(INDEX($B$2:$B$301,MAX(1,6-semi)):INDEX($B$2:$B$301,MIN($M$2,6+semi))),"")</f>
        <v>9.4879999999999996E-6</v>
      </c>
      <c r="E7" s="28">
        <f t="shared" si="1"/>
        <v>0.2837551166751322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-174.59447855330973</v>
      </c>
      <c r="J7" s="28">
        <f t="shared" si="4"/>
        <v>0.2837551166751322</v>
      </c>
      <c r="K7" s="22">
        <f t="shared" si="5"/>
        <v>1</v>
      </c>
      <c r="L7" s="8" t="s">
        <v>101</v>
      </c>
      <c r="M7" s="17">
        <f>IFERROR(INDEX($C$1:$C$301,$M$6),"")</f>
        <v>533.70255231704323</v>
      </c>
    </row>
    <row r="8" spans="1:13" x14ac:dyDescent="0.3">
      <c r="A8" s="11">
        <v>60</v>
      </c>
      <c r="B8" s="32">
        <v>1.502E-5</v>
      </c>
      <c r="C8" s="22">
        <f t="shared" si="0"/>
        <v>400.27691423778248</v>
      </c>
      <c r="D8" s="28">
        <f>IF(ISNUMBER(B8),AVERAGE(INDEX($B$2:$B$301,MAX(1,7-semi)):INDEX($B$2:$B$301,MIN($M$2,7+semi))),"")</f>
        <v>1.502E-5</v>
      </c>
      <c r="E8" s="28">
        <f t="shared" si="1"/>
        <v>0.44904239744240937</v>
      </c>
      <c r="F8" s="22">
        <f>IF(AND(ISNUMBER(E8),ISNUMBER(E9),ISNUMBER($M$6)),IF(AND(8&lt;$M$6,E8&lt;0.5,E9&gt;=0.5),8,""),"")</f>
        <v>8</v>
      </c>
      <c r="G8" s="22" t="str">
        <f>IF(AND(ISNUMBER(E8),ISNUMBER(E9),ISNUMBER($M$6)),IF(AND(8&gt;=$M$6,E8&gt;=0.5,E9&lt;0.5),8,""),"")</f>
        <v/>
      </c>
      <c r="H8" s="22">
        <f t="shared" si="2"/>
        <v>409.05613591001162</v>
      </c>
      <c r="I8" s="22">
        <f t="shared" si="3"/>
        <v>-107.88165951367927</v>
      </c>
      <c r="J8" s="28">
        <f t="shared" si="4"/>
        <v>0.44904239744240937</v>
      </c>
      <c r="K8" s="22">
        <f t="shared" si="5"/>
        <v>1</v>
      </c>
      <c r="L8" s="8" t="s">
        <v>102</v>
      </c>
      <c r="M8" s="12">
        <f>MAX($F$2:$F$301)</f>
        <v>8</v>
      </c>
    </row>
    <row r="9" spans="1:13" x14ac:dyDescent="0.3">
      <c r="A9" s="11">
        <v>70</v>
      </c>
      <c r="B9" s="32">
        <v>2.798E-5</v>
      </c>
      <c r="C9" s="22">
        <f t="shared" si="0"/>
        <v>466.98973327741288</v>
      </c>
      <c r="D9" s="28">
        <f>IF(ISNUMBER(B9),AVERAGE(INDEX($B$2:$B$301,MAX(1,8-semi)):INDEX($B$2:$B$301,MIN($M$2,8+semi))),"")</f>
        <v>2.798E-5</v>
      </c>
      <c r="E9" s="28">
        <f t="shared" si="1"/>
        <v>0.83626639576921924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-41.168840474048864</v>
      </c>
      <c r="J9" s="28">
        <f t="shared" si="4"/>
        <v>0.83626639576921924</v>
      </c>
      <c r="K9" s="22">
        <f t="shared" si="5"/>
        <v>1</v>
      </c>
      <c r="L9" s="8" t="s">
        <v>103</v>
      </c>
      <c r="M9" s="12">
        <f>MIN($G$2:$G$301)</f>
        <v>11</v>
      </c>
    </row>
    <row r="10" spans="1:13" x14ac:dyDescent="0.3">
      <c r="A10" s="11">
        <v>80</v>
      </c>
      <c r="B10" s="32">
        <v>3.3460000000000002E-5</v>
      </c>
      <c r="C10" s="22">
        <f t="shared" si="0"/>
        <v>533.70255231704323</v>
      </c>
      <c r="D10" s="28">
        <f>IF(ISNUMBER(B10),AVERAGE(INDEX($B$2:$B$301,MAX(1,9-semi)):INDEX($B$2:$B$301,MIN($M$2,9+semi))),"")</f>
        <v>3.3460000000000002E-5</v>
      </c>
      <c r="E10" s="28">
        <f t="shared" si="1"/>
        <v>1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25.543978565581483</v>
      </c>
      <c r="J10" s="28">
        <f t="shared" si="4"/>
        <v>1</v>
      </c>
      <c r="K10" s="22">
        <f t="shared" si="5"/>
        <v>1</v>
      </c>
      <c r="L10" s="8" t="s">
        <v>104</v>
      </c>
      <c r="M10" s="17">
        <f>IF($M$8&gt;0,INDEX($H$1:$H$301,$M$8),"")</f>
        <v>409.05613591001162</v>
      </c>
    </row>
    <row r="11" spans="1:13" x14ac:dyDescent="0.3">
      <c r="A11" s="11">
        <v>90</v>
      </c>
      <c r="B11" s="32">
        <v>1.755E-5</v>
      </c>
      <c r="C11" s="22">
        <f t="shared" si="0"/>
        <v>600.41537135667363</v>
      </c>
      <c r="D11" s="28">
        <f>IF(ISNUMBER(B11),AVERAGE(INDEX($B$2:$B$301,MAX(1,10-semi)):INDEX($B$2:$B$301,MIN($M$2,10+semi))),"")</f>
        <v>1.755E-5</v>
      </c>
      <c r="E11" s="28">
        <f t="shared" si="1"/>
        <v>0.52463473662194859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607.26101159291193</v>
      </c>
      <c r="I11" s="22">
        <f t="shared" si="3"/>
        <v>92.256797605211887</v>
      </c>
      <c r="J11" s="28">
        <f t="shared" si="4"/>
        <v>0.52463473662194859</v>
      </c>
      <c r="K11" s="22">
        <f t="shared" si="5"/>
        <v>1</v>
      </c>
      <c r="L11" s="8" t="s">
        <v>105</v>
      </c>
      <c r="M11" s="17">
        <f>IF($M$9&gt;0,INDEX($H$1:$H$301,$M$9),"")</f>
        <v>607.26101159291193</v>
      </c>
    </row>
    <row r="12" spans="1:13" ht="15.6" x14ac:dyDescent="0.3">
      <c r="A12" s="11">
        <v>100</v>
      </c>
      <c r="B12" s="32">
        <v>9.5149999999999995E-6</v>
      </c>
      <c r="C12" s="22">
        <f t="shared" si="0"/>
        <v>667.12819039630403</v>
      </c>
      <c r="D12" s="28">
        <f>IF(ISNUMBER(B12),AVERAGE(INDEX($B$2:$B$301,MAX(1,11-semi)):INDEX($B$2:$B$301,MIN($M$2,11+semi))),"")</f>
        <v>9.5149999999999995E-6</v>
      </c>
      <c r="E12" s="28">
        <f t="shared" si="1"/>
        <v>0.28456183333831303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158.96961664484229</v>
      </c>
      <c r="J12" s="28">
        <f t="shared" si="4"/>
        <v>0.28456183333831303</v>
      </c>
      <c r="K12" s="22">
        <f t="shared" si="5"/>
        <v>1</v>
      </c>
      <c r="L12" s="8" t="s">
        <v>106</v>
      </c>
      <c r="M12" s="23">
        <f>IF(AND($M$8&gt;0,$M$9&gt;0),ABS($M$11-$M$10),"")</f>
        <v>198.20487568290031</v>
      </c>
    </row>
    <row r="13" spans="1:13" ht="15.6" x14ac:dyDescent="0.3">
      <c r="A13" s="11">
        <v>110</v>
      </c>
      <c r="B13" s="32">
        <v>2.604E-6</v>
      </c>
      <c r="C13" s="22">
        <f t="shared" si="0"/>
        <v>733.84100943593455</v>
      </c>
      <c r="D13" s="28">
        <f>IF(ISNUMBER(B13),AVERAGE(INDEX($B$2:$B$301,MAX(1,12-semi)):INDEX($B$2:$B$301,MIN($M$2,12+semi))),"")</f>
        <v>2.604E-6</v>
      </c>
      <c r="E13" s="28">
        <f t="shared" si="1"/>
        <v>7.8072245958947073E-2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225.68243568447281</v>
      </c>
      <c r="J13" s="28">
        <f t="shared" si="4"/>
        <v>7.8072245958947073E-2</v>
      </c>
      <c r="K13" s="22">
        <f t="shared" si="5"/>
        <v>1</v>
      </c>
      <c r="L13" s="8" t="s">
        <v>107</v>
      </c>
      <c r="M13" s="23">
        <f>IF(ISNUMBER($M$12),factor_forma*$M$12,"")</f>
        <v>128.8331691938852</v>
      </c>
    </row>
    <row r="14" spans="1:13" x14ac:dyDescent="0.3">
      <c r="A14" s="11">
        <v>120</v>
      </c>
      <c r="B14" s="32">
        <v>1.3979999999999999E-7</v>
      </c>
      <c r="C14" s="22">
        <f t="shared" si="0"/>
        <v>800.55382847556496</v>
      </c>
      <c r="D14" s="28">
        <f>IF(ISNUMBER(B14),AVERAGE(INDEX($B$2:$B$301,MAX(1,13-semi)):INDEX($B$2:$B$301,MIN($M$2,13+semi))),"")</f>
        <v>1.3979999999999999E-7</v>
      </c>
      <c r="E14" s="28">
        <f t="shared" si="1"/>
        <v>4.4459051659744842E-3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292.39525472410321</v>
      </c>
      <c r="J14" s="28">
        <f t="shared" si="4"/>
        <v>4.4459051659744842E-3</v>
      </c>
      <c r="K14" s="22">
        <f t="shared" si="5"/>
        <v>1</v>
      </c>
      <c r="L14" s="8" t="s">
        <v>108</v>
      </c>
      <c r="M14" s="17">
        <f>IF(ISNUMBER($M$12),0.7071*$M$12,"")</f>
        <v>140.15066759537879</v>
      </c>
    </row>
    <row r="15" spans="1:13" x14ac:dyDescent="0.3">
      <c r="A15" s="11">
        <v>130</v>
      </c>
      <c r="B15" s="32">
        <v>-1.3979999999999999E-7</v>
      </c>
      <c r="C15" s="22">
        <f t="shared" si="0"/>
        <v>867.26664751519536</v>
      </c>
      <c r="D15" s="28">
        <f>IF(ISNUMBER(B15),AVERAGE(INDEX($B$2:$B$301,MAX(1,14-semi)):INDEX($B$2:$B$301,MIN($M$2,14+semi))),"")</f>
        <v>-1.3979999999999999E-7</v>
      </c>
      <c r="E15" s="28">
        <f t="shared" si="1"/>
        <v>-3.9080940571872471E-3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359.10807376373361</v>
      </c>
      <c r="J15" s="28">
        <f t="shared" si="4"/>
        <v>-3.9080940571872471E-3</v>
      </c>
      <c r="K15" s="22">
        <f t="shared" si="5"/>
        <v>1</v>
      </c>
      <c r="L15" s="8" t="s">
        <v>109</v>
      </c>
      <c r="M15" s="17">
        <f>IF(ISNUMBER($M$12),($M$10+$M$11)/2,$M$7)</f>
        <v>508.15857375146174</v>
      </c>
    </row>
    <row r="16" spans="1:13" x14ac:dyDescent="0.3">
      <c r="A16" s="11">
        <v>140</v>
      </c>
      <c r="B16" s="32">
        <v>-1.3979999999999999E-7</v>
      </c>
      <c r="C16" s="22">
        <f t="shared" si="0"/>
        <v>933.97946655482576</v>
      </c>
      <c r="D16" s="28">
        <f>IF(ISNUMBER(B16),AVERAGE(INDEX($B$2:$B$301,MAX(1,15-semi)):INDEX($B$2:$B$301,MIN($M$2,15+semi))),"")</f>
        <v>-1.3979999999999999E-7</v>
      </c>
      <c r="E16" s="28">
        <f t="shared" si="1"/>
        <v>-3.9080940571872471E-3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425.82089280336402</v>
      </c>
      <c r="J16" s="28">
        <f t="shared" si="4"/>
        <v>-3.9080940571872471E-3</v>
      </c>
      <c r="K16" s="22">
        <f t="shared" si="5"/>
        <v>1</v>
      </c>
      <c r="L16" s="8" t="s">
        <v>79</v>
      </c>
      <c r="M16" s="12">
        <f>COUNTIF($E$2:$E$301,"&gt;=0.5")</f>
        <v>3</v>
      </c>
    </row>
    <row r="17" spans="1:13" x14ac:dyDescent="0.3">
      <c r="A17" s="11">
        <v>150</v>
      </c>
      <c r="B17" s="32">
        <v>-1.119E-7</v>
      </c>
      <c r="C17" s="22">
        <f t="shared" si="0"/>
        <v>1000.6922855944562</v>
      </c>
      <c r="D17" s="28">
        <f>IF(ISNUMBER(B17),AVERAGE(INDEX($B$2:$B$301,MAX(1,16-semi)):INDEX($B$2:$B$301,MIN($M$2,16+semi))),"")</f>
        <v>-1.119E-7</v>
      </c>
      <c r="E17" s="28">
        <f t="shared" si="1"/>
        <v>-3.0744868385670322E-3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492.53371184299442</v>
      </c>
      <c r="J17" s="28">
        <f t="shared" si="4"/>
        <v>-3.0744868385670322E-3</v>
      </c>
      <c r="K17" s="22">
        <f t="shared" si="5"/>
        <v>1</v>
      </c>
      <c r="L17" s="8" t="s">
        <v>110</v>
      </c>
      <c r="M17" s="17">
        <f>IFERROR($M$15-MIN($C$2:$C$301),"")</f>
        <v>508.15857375146174</v>
      </c>
    </row>
    <row r="18" spans="1:13" x14ac:dyDescent="0.3">
      <c r="A18" s="11">
        <v>160</v>
      </c>
      <c r="B18" s="32">
        <v>5.5929999999999999E-8</v>
      </c>
      <c r="C18" s="22">
        <f t="shared" si="0"/>
        <v>1067.4051046340865</v>
      </c>
      <c r="D18" s="28">
        <f>IF(ISNUMBER(B18),AVERAGE(INDEX($B$2:$B$301,MAX(1,17-semi)):INDEX($B$2:$B$301,MIN($M$2,17+semi))),"")</f>
        <v>5.5929999999999999E-8</v>
      </c>
      <c r="E18" s="28">
        <f t="shared" si="1"/>
        <v>1.9400041829752905E-3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559.24653088262471</v>
      </c>
      <c r="J18" s="28">
        <f t="shared" si="4"/>
        <v>1.9400041829752905E-3</v>
      </c>
      <c r="K18" s="22" t="str">
        <f t="shared" si="5"/>
        <v/>
      </c>
      <c r="L18" s="8" t="s">
        <v>111</v>
      </c>
      <c r="M18" s="17">
        <f>IFERROR(MAX($C$2:$C$301)-$M$15,"")</f>
        <v>559.24653088262471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-99.102437841450126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99.102437841450183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74" priority="4">
      <formula>ISERROR(I2)</formula>
    </cfRule>
  </conditionalFormatting>
  <conditionalFormatting sqref="L23:M24">
    <cfRule type="containsErrors" dxfId="73" priority="5">
      <formula>ISERROR(L23)</formula>
    </cfRule>
  </conditionalFormatting>
  <conditionalFormatting sqref="M20">
    <cfRule type="cellIs" dxfId="72" priority="1" operator="equal">
      <formula>"OK"</formula>
    </cfRule>
    <cfRule type="beginsWith" dxfId="71" priority="2" operator="beginsWith" text="Aviso">
      <formula>LEFT(M20,5)="Aviso"</formula>
    </cfRule>
    <cfRule type="beginsWith" dxfId="7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A2" sqref="A2:A18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118</v>
      </c>
      <c r="M1" s="6" t="str">
        <f>"Corriente "&amp;IFERROR(INDEX('Registro piloto'!$C$5:$C$19,3),"")</f>
        <v>Corriente I3</v>
      </c>
    </row>
    <row r="2" spans="1:13" x14ac:dyDescent="0.3">
      <c r="A2" s="11">
        <v>0</v>
      </c>
      <c r="B2" s="11">
        <v>0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0</v>
      </c>
      <c r="E2" s="28">
        <f t="shared" ref="E2:E65" si="1">IF(AND(ISNUMBER(D2),ISNUMBER($M$4)),(D2-$M$4)/($M$5-$M$4),"")</f>
        <v>4.1282490654436415E-3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-485.84749633929374</v>
      </c>
      <c r="J2" s="28">
        <f t="shared" ref="J2:J65" si="4">IF(ISNUMBER(E2),E2,NA())</f>
        <v>4.1282490654436415E-3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-8.3890000000000005E-8</v>
      </c>
      <c r="C3" s="22">
        <f t="shared" si="0"/>
        <v>66.712819039630403</v>
      </c>
      <c r="D3" s="28">
        <f>IF(ISNUMBER(B3),AVERAGE(INDEX($B$2:$B$301,MAX(1,2-semi)):INDEX($B$2:$B$301,MIN($M$2,2+semi))),"")</f>
        <v>-8.3890000000000005E-8</v>
      </c>
      <c r="E3" s="28">
        <f t="shared" si="1"/>
        <v>1.7365032542240614E-3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-419.13467729966334</v>
      </c>
      <c r="J3" s="28">
        <f t="shared" si="4"/>
        <v>1.7365032542240614E-3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1.258E-7</v>
      </c>
      <c r="C4" s="22">
        <f t="shared" si="0"/>
        <v>133.42563807926081</v>
      </c>
      <c r="D4" s="28">
        <f>IF(ISNUMBER(B4),AVERAGE(INDEX($B$2:$B$301,MAX(1,3-semi)):INDEX($B$2:$B$301,MIN($M$2,3+semi))),"")</f>
        <v>1.258E-7</v>
      </c>
      <c r="E4" s="28">
        <f t="shared" si="1"/>
        <v>7.7148699147871055E-3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-352.42185826003293</v>
      </c>
      <c r="J4" s="28">
        <f t="shared" si="4"/>
        <v>7.7148699147871055E-3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-1.4479749999999998E-7</v>
      </c>
    </row>
    <row r="5" spans="1:13" x14ac:dyDescent="0.3">
      <c r="A5" s="11">
        <v>30</v>
      </c>
      <c r="B5" s="32">
        <v>1.372E-6</v>
      </c>
      <c r="C5" s="22">
        <f t="shared" si="0"/>
        <v>200.13845711889124</v>
      </c>
      <c r="D5" s="28">
        <f>IF(ISNUMBER(B5),AVERAGE(INDEX($B$2:$B$301,MAX(1,4-semi)):INDEX($B$2:$B$301,MIN($M$2,4+semi))),"")</f>
        <v>1.372E-6</v>
      </c>
      <c r="E5" s="28">
        <f t="shared" si="1"/>
        <v>4.3244654512973303E-2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-285.70903922040247</v>
      </c>
      <c r="J5" s="28">
        <f t="shared" si="4"/>
        <v>4.3244654512973303E-2</v>
      </c>
      <c r="K5" s="22">
        <f t="shared" si="5"/>
        <v>1</v>
      </c>
      <c r="L5" s="8" t="s">
        <v>99</v>
      </c>
      <c r="M5" s="19">
        <f>IF($M$2&lt;2*n_fondo,"",MAX($D$2:$D$301))</f>
        <v>3.4929999999999999E-5</v>
      </c>
    </row>
    <row r="6" spans="1:13" x14ac:dyDescent="0.3">
      <c r="A6" s="11">
        <v>40</v>
      </c>
      <c r="B6" s="32">
        <v>3.5870000000000001E-6</v>
      </c>
      <c r="C6" s="22">
        <f t="shared" si="0"/>
        <v>266.85127615852161</v>
      </c>
      <c r="D6" s="28">
        <f>IF(ISNUMBER(B6),AVERAGE(INDEX($B$2:$B$301,MAX(1,5-semi)):INDEX($B$2:$B$301,MIN($M$2,5+semi))),"")</f>
        <v>3.5870000000000001E-6</v>
      </c>
      <c r="E6" s="28">
        <f t="shared" si="1"/>
        <v>0.10639541112104782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-218.99622018077213</v>
      </c>
      <c r="J6" s="28">
        <f t="shared" si="4"/>
        <v>0.10639541112104782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1.186E-5</v>
      </c>
      <c r="C7" s="22">
        <f t="shared" si="0"/>
        <v>333.56409519815202</v>
      </c>
      <c r="D7" s="28">
        <f>IF(ISNUMBER(B7),AVERAGE(INDEX($B$2:$B$301,MAX(1,6-semi)):INDEX($B$2:$B$301,MIN($M$2,6+semi))),"")</f>
        <v>1.186E-5</v>
      </c>
      <c r="E7" s="28">
        <f t="shared" si="1"/>
        <v>0.34226277428971613</v>
      </c>
      <c r="F7" s="22">
        <f>IF(AND(ISNUMBER(E7),ISNUMBER(E8),ISNUMBER($M$6)),IF(AND(7&lt;$M$6,E7&lt;0.5,E8&gt;=0.5),7,""),"")</f>
        <v>7</v>
      </c>
      <c r="G7" s="22" t="str">
        <f>IF(AND(ISNUMBER(E7),ISNUMBER(E8),ISNUMBER($M$6)),IF(AND(7&gt;=$M$6,E7&gt;=0.5,E8&lt;0.5),7,""),"")</f>
        <v/>
      </c>
      <c r="H7" s="22">
        <f t="shared" si="2"/>
        <v>358.98389037788229</v>
      </c>
      <c r="I7" s="22">
        <f t="shared" si="3"/>
        <v>-152.28340114114172</v>
      </c>
      <c r="J7" s="28">
        <f t="shared" si="4"/>
        <v>0.34226277428971613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2.6380000000000002E-5</v>
      </c>
      <c r="C8" s="22">
        <f t="shared" si="0"/>
        <v>400.27691423778248</v>
      </c>
      <c r="D8" s="28">
        <f>IF(ISNUMBER(B8),AVERAGE(INDEX($B$2:$B$301,MAX(1,7-semi)):INDEX($B$2:$B$301,MIN($M$2,7+semi))),"")</f>
        <v>2.6380000000000002E-5</v>
      </c>
      <c r="E8" s="28">
        <f t="shared" si="1"/>
        <v>0.75623522844287272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-85.570582101511263</v>
      </c>
      <c r="J8" s="28">
        <f t="shared" si="4"/>
        <v>0.75623522844287272</v>
      </c>
      <c r="K8" s="22">
        <f t="shared" si="5"/>
        <v>1</v>
      </c>
      <c r="L8" s="8" t="s">
        <v>102</v>
      </c>
      <c r="M8" s="12">
        <f>MAX($F$2:$F$301)</f>
        <v>7</v>
      </c>
    </row>
    <row r="9" spans="1:13" x14ac:dyDescent="0.3">
      <c r="A9" s="11">
        <v>70</v>
      </c>
      <c r="B9" s="32">
        <v>3.4929999999999999E-5</v>
      </c>
      <c r="C9" s="22">
        <f t="shared" si="0"/>
        <v>466.98973327741288</v>
      </c>
      <c r="D9" s="28">
        <f>IF(ISNUMBER(B9),AVERAGE(INDEX($B$2:$B$301,MAX(1,8-semi)):INDEX($B$2:$B$301,MIN($M$2,8+semi))),"")</f>
        <v>3.4929999999999999E-5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-18.85776306188086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11</v>
      </c>
    </row>
    <row r="10" spans="1:13" x14ac:dyDescent="0.3">
      <c r="A10" s="11">
        <v>80</v>
      </c>
      <c r="B10" s="32">
        <v>3.2709999999999997E-5</v>
      </c>
      <c r="C10" s="22">
        <f t="shared" si="0"/>
        <v>533.70255231704323</v>
      </c>
      <c r="D10" s="28">
        <f>IF(ISNUMBER(B10),AVERAGE(INDEX($B$2:$B$301,MAX(1,9-semi)):INDEX($B$2:$B$301,MIN($M$2,9+semi))),"")</f>
        <v>3.2709999999999997E-5</v>
      </c>
      <c r="E10" s="28">
        <f t="shared" si="1"/>
        <v>0.93670669089393876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47.855055977749487</v>
      </c>
      <c r="J10" s="28">
        <f t="shared" si="4"/>
        <v>0.93670669089393876</v>
      </c>
      <c r="K10" s="22">
        <f t="shared" si="5"/>
        <v>1</v>
      </c>
      <c r="L10" s="8" t="s">
        <v>104</v>
      </c>
      <c r="M10" s="17">
        <f>IF($M$8&gt;0,INDEX($H$1:$H$301,$M$8),"")</f>
        <v>358.98389037788229</v>
      </c>
    </row>
    <row r="11" spans="1:13" x14ac:dyDescent="0.3">
      <c r="A11" s="11">
        <v>90</v>
      </c>
      <c r="B11" s="32">
        <v>1.9729999999999999E-5</v>
      </c>
      <c r="C11" s="22">
        <f t="shared" si="0"/>
        <v>600.41537135667363</v>
      </c>
      <c r="D11" s="28">
        <f>IF(ISNUMBER(B11),AVERAGE(INDEX($B$2:$B$301,MAX(1,10-semi)):INDEX($B$2:$B$301,MIN($M$2,10+semi))),"")</f>
        <v>1.9729999999999999E-5</v>
      </c>
      <c r="E11" s="28">
        <f t="shared" si="1"/>
        <v>0.56664040612066247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612.71110230070519</v>
      </c>
      <c r="I11" s="22">
        <f t="shared" si="3"/>
        <v>114.56787501737989</v>
      </c>
      <c r="J11" s="28">
        <f t="shared" si="4"/>
        <v>0.56664040612066247</v>
      </c>
      <c r="K11" s="22">
        <f t="shared" si="5"/>
        <v>1</v>
      </c>
      <c r="L11" s="8" t="s">
        <v>105</v>
      </c>
      <c r="M11" s="17">
        <f>IF($M$9&gt;0,INDEX($H$1:$H$301,$M$9),"")</f>
        <v>612.71110230070519</v>
      </c>
    </row>
    <row r="12" spans="1:13" ht="15.6" x14ac:dyDescent="0.3">
      <c r="A12" s="11">
        <v>100</v>
      </c>
      <c r="B12" s="32">
        <v>7.0480000000000001E-6</v>
      </c>
      <c r="C12" s="22">
        <f t="shared" si="0"/>
        <v>667.12819039630403</v>
      </c>
      <c r="D12" s="28">
        <f>IF(ISNUMBER(B12),AVERAGE(INDEX($B$2:$B$301,MAX(1,11-semi)):INDEX($B$2:$B$301,MIN($M$2,11+semi))),"")</f>
        <v>7.0480000000000001E-6</v>
      </c>
      <c r="E12" s="28">
        <f t="shared" si="1"/>
        <v>0.20507025022738903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181.28069405701029</v>
      </c>
      <c r="J12" s="28">
        <f t="shared" si="4"/>
        <v>0.20507025022738903</v>
      </c>
      <c r="K12" s="22">
        <f t="shared" si="5"/>
        <v>1</v>
      </c>
      <c r="L12" s="8" t="s">
        <v>106</v>
      </c>
      <c r="M12" s="23">
        <f>IF(AND($M$8&gt;0,$M$9&gt;0),ABS($M$11-$M$10),"")</f>
        <v>253.7272119228229</v>
      </c>
    </row>
    <row r="13" spans="1:13" ht="15.6" x14ac:dyDescent="0.3">
      <c r="A13" s="11">
        <v>110</v>
      </c>
      <c r="B13" s="32">
        <v>8.3890000000000003E-7</v>
      </c>
      <c r="C13" s="22">
        <f t="shared" si="0"/>
        <v>733.84100943593455</v>
      </c>
      <c r="D13" s="28">
        <f>IF(ISNUMBER(B13),AVERAGE(INDEX($B$2:$B$301,MAX(1,12-semi)):INDEX($B$2:$B$301,MIN($M$2,12+semi))),"")</f>
        <v>8.3890000000000003E-7</v>
      </c>
      <c r="E13" s="28">
        <f t="shared" si="1"/>
        <v>2.8045707177639444E-2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247.99351309664081</v>
      </c>
      <c r="J13" s="28">
        <f t="shared" si="4"/>
        <v>2.8045707177639444E-2</v>
      </c>
      <c r="K13" s="22">
        <f t="shared" si="5"/>
        <v>1</v>
      </c>
      <c r="L13" s="8" t="s">
        <v>107</v>
      </c>
      <c r="M13" s="23">
        <f>IF(ISNUMBER($M$12),factor_forma*$M$12,"")</f>
        <v>164.92268774983489</v>
      </c>
    </row>
    <row r="14" spans="1:13" x14ac:dyDescent="0.3">
      <c r="A14" s="11">
        <v>120</v>
      </c>
      <c r="B14" s="11">
        <v>0</v>
      </c>
      <c r="C14" s="22">
        <f t="shared" si="0"/>
        <v>800.55382847556496</v>
      </c>
      <c r="D14" s="28">
        <f>IF(ISNUMBER(B14),AVERAGE(INDEX($B$2:$B$301,MAX(1,13-semi)):INDEX($B$2:$B$301,MIN($M$2,13+semi))),"")</f>
        <v>0</v>
      </c>
      <c r="E14" s="28">
        <f t="shared" si="1"/>
        <v>4.1282490654436415E-3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314.70633213627121</v>
      </c>
      <c r="J14" s="28">
        <f t="shared" si="4"/>
        <v>4.1282490654436415E-3</v>
      </c>
      <c r="K14" s="22">
        <f t="shared" si="5"/>
        <v>1</v>
      </c>
      <c r="L14" s="8" t="s">
        <v>108</v>
      </c>
      <c r="M14" s="17">
        <f>IF(ISNUMBER($M$12),0.7071*$M$12,"")</f>
        <v>179.41051155062806</v>
      </c>
    </row>
    <row r="15" spans="1:13" x14ac:dyDescent="0.3">
      <c r="A15" s="11">
        <v>130</v>
      </c>
      <c r="B15" s="32">
        <v>-1.275E-7</v>
      </c>
      <c r="C15" s="22">
        <f t="shared" si="0"/>
        <v>867.26664751519536</v>
      </c>
      <c r="D15" s="28">
        <f>IF(ISNUMBER(B15),AVERAGE(INDEX($B$2:$B$301,MAX(1,14-semi)):INDEX($B$2:$B$301,MIN($M$2,14+semi))),"")</f>
        <v>-1.275E-7</v>
      </c>
      <c r="E15" s="28">
        <f t="shared" si="1"/>
        <v>4.9316036678472583E-4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381.41915117590162</v>
      </c>
      <c r="J15" s="28">
        <f t="shared" si="4"/>
        <v>4.9316036678472583E-4</v>
      </c>
      <c r="K15" s="22">
        <f t="shared" si="5"/>
        <v>1</v>
      </c>
      <c r="L15" s="8" t="s">
        <v>109</v>
      </c>
      <c r="M15" s="17">
        <f>IF(ISNUMBER($M$12),($M$10+$M$11)/2,$M$7)</f>
        <v>485.84749633929374</v>
      </c>
    </row>
    <row r="16" spans="1:13" x14ac:dyDescent="0.3">
      <c r="A16" s="11">
        <v>140</v>
      </c>
      <c r="B16" s="32">
        <v>-3.8169999999999998E-7</v>
      </c>
      <c r="C16" s="22">
        <f t="shared" si="0"/>
        <v>933.97946655482576</v>
      </c>
      <c r="D16" s="28">
        <f>IF(ISNUMBER(B16),AVERAGE(INDEX($B$2:$B$301,MAX(1,15-semi)):INDEX($B$2:$B$301,MIN($M$2,15+semi))),"")</f>
        <v>-3.8169999999999998E-7</v>
      </c>
      <c r="E16" s="28">
        <f t="shared" si="1"/>
        <v>-6.7542086308552459E-3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448.13197021553202</v>
      </c>
      <c r="J16" s="28">
        <f t="shared" si="4"/>
        <v>-6.7542086308552459E-3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-3.5339999999999997E-7</v>
      </c>
      <c r="C17" s="22">
        <f t="shared" si="0"/>
        <v>1000.6922855944562</v>
      </c>
      <c r="D17" s="28">
        <f>IF(ISNUMBER(B17),AVERAGE(INDEX($B$2:$B$301,MAX(1,16-semi)):INDEX($B$2:$B$301,MIN($M$2,16+semi))),"")</f>
        <v>-3.5339999999999997E-7</v>
      </c>
      <c r="E17" s="28">
        <f t="shared" si="1"/>
        <v>-5.9473614922509526E-3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514.84478925516237</v>
      </c>
      <c r="J17" s="28">
        <f t="shared" si="4"/>
        <v>-5.9473614922509526E-3</v>
      </c>
      <c r="K17" s="22">
        <f t="shared" si="5"/>
        <v>1</v>
      </c>
      <c r="L17" s="8" t="s">
        <v>110</v>
      </c>
      <c r="M17" s="17">
        <f>IFERROR($M$15-MIN($C$2:$C$301),"")</f>
        <v>485.84749633929374</v>
      </c>
    </row>
    <row r="18" spans="1:13" x14ac:dyDescent="0.3">
      <c r="A18" s="11">
        <v>160</v>
      </c>
      <c r="B18" s="32">
        <v>-1.4189999999999999E-7</v>
      </c>
      <c r="C18" s="22">
        <f t="shared" si="0"/>
        <v>1067.4051046340865</v>
      </c>
      <c r="D18" s="28">
        <f>IF(ISNUMBER(B18),AVERAGE(INDEX($B$2:$B$301,MAX(1,17-semi)):INDEX($B$2:$B$301,MIN($M$2,17+semi))),"")</f>
        <v>-1.4189999999999999E-7</v>
      </c>
      <c r="E18" s="28">
        <f t="shared" si="1"/>
        <v>8.2609172583248414E-5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581.55760829479277</v>
      </c>
      <c r="J18" s="28">
        <f t="shared" si="4"/>
        <v>8.2609172583248414E-5</v>
      </c>
      <c r="K18" s="22" t="str">
        <f t="shared" si="5"/>
        <v/>
      </c>
      <c r="L18" s="8" t="s">
        <v>111</v>
      </c>
      <c r="M18" s="17">
        <f>IFERROR(MAX($C$2:$C$301)-$M$15,"")</f>
        <v>581.55760829479277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-126.86360596141145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126.86360596141145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69" priority="4">
      <formula>ISERROR(I2)</formula>
    </cfRule>
  </conditionalFormatting>
  <conditionalFormatting sqref="L23:M24">
    <cfRule type="containsErrors" dxfId="68" priority="5">
      <formula>ISERROR(L23)</formula>
    </cfRule>
  </conditionalFormatting>
  <conditionalFormatting sqref="M20">
    <cfRule type="cellIs" dxfId="67" priority="1" operator="equal">
      <formula>"OK"</formula>
    </cfRule>
    <cfRule type="beginsWith" dxfId="66" priority="2" operator="beginsWith" text="Aviso">
      <formula>LEFT(M20,5)="Aviso"</formula>
    </cfRule>
    <cfRule type="beginsWith" dxfId="6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A2" sqref="A2:A18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119</v>
      </c>
      <c r="M1" s="6" t="str">
        <f>"Corriente "&amp;IFERROR(INDEX('Registro piloto'!$C$5:$C$19,4),"")</f>
        <v>Corriente I2</v>
      </c>
    </row>
    <row r="2" spans="1:13" x14ac:dyDescent="0.3">
      <c r="A2" s="11">
        <v>0</v>
      </c>
      <c r="B2" s="11">
        <v>0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0</v>
      </c>
      <c r="E2" s="28">
        <f t="shared" ref="E2:E65" si="1">IF(AND(ISNUMBER(D2),ISNUMBER($M$4)),(D2-$M$4)/($M$5-$M$4),"")</f>
        <v>2.0839707607570219E-4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-487.59086166946554</v>
      </c>
      <c r="J2" s="28">
        <f t="shared" ref="J2:J65" si="4">IF(ISNUMBER(E2),E2,NA())</f>
        <v>2.0839707607570219E-4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1.4189999999999999E-7</v>
      </c>
      <c r="C3" s="22">
        <f t="shared" si="0"/>
        <v>66.712819039630403</v>
      </c>
      <c r="D3" s="28">
        <f>IF(ISNUMBER(B3),AVERAGE(INDEX($B$2:$B$301,MAX(1,2-semi)):INDEX($B$2:$B$301,MIN($M$2,2+semi))),"")</f>
        <v>1.4189999999999999E-7</v>
      </c>
      <c r="E3" s="28">
        <f t="shared" si="1"/>
        <v>4.7701471871658902E-3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-420.87804262983514</v>
      </c>
      <c r="J3" s="28">
        <f t="shared" si="4"/>
        <v>4.7701471871658902E-3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6.1939999999999995E-7</v>
      </c>
      <c r="C4" s="22">
        <f t="shared" si="0"/>
        <v>133.42563807926081</v>
      </c>
      <c r="D4" s="28">
        <f>IF(ISNUMBER(B4),AVERAGE(INDEX($B$2:$B$301,MAX(1,3-semi)):INDEX($B$2:$B$301,MIN($M$2,3+semi))),"")</f>
        <v>6.1939999999999995E-7</v>
      </c>
      <c r="E4" s="28">
        <f t="shared" si="1"/>
        <v>2.0120645270644149E-2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-354.16522359020473</v>
      </c>
      <c r="J4" s="28">
        <f t="shared" si="4"/>
        <v>2.0120645270644149E-2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-6.4824999999999987E-9</v>
      </c>
    </row>
    <row r="5" spans="1:13" x14ac:dyDescent="0.3">
      <c r="A5" s="11">
        <v>30</v>
      </c>
      <c r="B5" s="32">
        <v>1.502E-6</v>
      </c>
      <c r="C5" s="22">
        <f t="shared" si="0"/>
        <v>200.13845711889124</v>
      </c>
      <c r="D5" s="28">
        <f>IF(ISNUMBER(B5),AVERAGE(INDEX($B$2:$B$301,MAX(1,4-semi)):INDEX($B$2:$B$301,MIN($M$2,4+semi))),"")</f>
        <v>1.502E-6</v>
      </c>
      <c r="E5" s="28">
        <f t="shared" si="1"/>
        <v>4.8494152304105739E-2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-287.45240455057433</v>
      </c>
      <c r="J5" s="28">
        <f t="shared" si="4"/>
        <v>4.8494152304105739E-2</v>
      </c>
      <c r="K5" s="22">
        <f t="shared" si="5"/>
        <v>1</v>
      </c>
      <c r="L5" s="8" t="s">
        <v>99</v>
      </c>
      <c r="M5" s="19">
        <f>IF($M$2&lt;2*n_fondo,"",MAX($D$2:$D$301))</f>
        <v>3.1099999999999997E-5</v>
      </c>
    </row>
    <row r="6" spans="1:13" x14ac:dyDescent="0.3">
      <c r="A6" s="11">
        <v>40</v>
      </c>
      <c r="B6" s="32">
        <v>3.129E-6</v>
      </c>
      <c r="C6" s="22">
        <f t="shared" si="0"/>
        <v>266.85127615852161</v>
      </c>
      <c r="D6" s="28">
        <f>IF(ISNUMBER(B6),AVERAGE(INDEX($B$2:$B$301,MAX(1,5-semi)):INDEX($B$2:$B$301,MIN($M$2,5+semi))),"")</f>
        <v>3.129E-6</v>
      </c>
      <c r="E6" s="28">
        <f t="shared" si="1"/>
        <v>0.10079836252781071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-220.73958551094393</v>
      </c>
      <c r="J6" s="28">
        <f t="shared" si="4"/>
        <v>0.10079836252781071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1.168E-5</v>
      </c>
      <c r="C7" s="22">
        <f t="shared" si="0"/>
        <v>333.56409519815202</v>
      </c>
      <c r="D7" s="28">
        <f>IF(ISNUMBER(B7),AVERAGE(INDEX($B$2:$B$301,MAX(1,6-semi)):INDEX($B$2:$B$301,MIN($M$2,6+semi))),"")</f>
        <v>1.168E-5</v>
      </c>
      <c r="E7" s="28">
        <f t="shared" si="1"/>
        <v>0.3756928318719418</v>
      </c>
      <c r="F7" s="22">
        <f>IF(AND(ISNUMBER(E7),ISNUMBER(E8),ISNUMBER($M$6)),IF(AND(7&lt;$M$6,E7&lt;0.5,E8&gt;=0.5),7,""),"")</f>
        <v>7</v>
      </c>
      <c r="G7" s="22" t="str">
        <f>IF(AND(ISNUMBER(E7),ISNUMBER(E8),ISNUMBER($M$6)),IF(AND(7&gt;=$M$6,E7&gt;=0.5,E8&lt;0.5),7,""),"")</f>
        <v/>
      </c>
      <c r="H7" s="22">
        <f t="shared" si="2"/>
        <v>362.74535953736671</v>
      </c>
      <c r="I7" s="22">
        <f t="shared" si="3"/>
        <v>-154.02676647131352</v>
      </c>
      <c r="J7" s="28">
        <f t="shared" si="4"/>
        <v>0.3756928318719418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2.052E-5</v>
      </c>
      <c r="C8" s="22">
        <f t="shared" si="0"/>
        <v>400.27691423778248</v>
      </c>
      <c r="D8" s="28">
        <f>IF(ISNUMBER(B8),AVERAGE(INDEX($B$2:$B$301,MAX(1,7-semi)):INDEX($B$2:$B$301,MIN($M$2,7+semi))),"")</f>
        <v>2.052E-5</v>
      </c>
      <c r="E8" s="28">
        <f t="shared" si="1"/>
        <v>0.65987796916607333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-87.313947431683061</v>
      </c>
      <c r="J8" s="28">
        <f t="shared" si="4"/>
        <v>0.65987796916607333</v>
      </c>
      <c r="K8" s="22">
        <f t="shared" si="5"/>
        <v>1</v>
      </c>
      <c r="L8" s="8" t="s">
        <v>102</v>
      </c>
      <c r="M8" s="12">
        <f>MAX($F$2:$F$301)</f>
        <v>7</v>
      </c>
    </row>
    <row r="9" spans="1:13" x14ac:dyDescent="0.3">
      <c r="A9" s="11">
        <v>70</v>
      </c>
      <c r="B9" s="32">
        <v>3.1099999999999997E-5</v>
      </c>
      <c r="C9" s="22">
        <f t="shared" si="0"/>
        <v>466.98973327741288</v>
      </c>
      <c r="D9" s="28">
        <f>IF(ISNUMBER(B9),AVERAGE(INDEX($B$2:$B$301,MAX(1,8-semi)):INDEX($B$2:$B$301,MIN($M$2,8+semi))),"")</f>
        <v>3.1099999999999997E-5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-20.601128392052658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11</v>
      </c>
    </row>
    <row r="10" spans="1:13" x14ac:dyDescent="0.3">
      <c r="A10" s="11">
        <v>80</v>
      </c>
      <c r="B10" s="32">
        <v>2.8690000000000001E-5</v>
      </c>
      <c r="C10" s="22">
        <f t="shared" si="0"/>
        <v>533.70255231704323</v>
      </c>
      <c r="D10" s="28">
        <f>IF(ISNUMBER(B10),AVERAGE(INDEX($B$2:$B$301,MAX(1,9-semi)):INDEX($B$2:$B$301,MIN($M$2,9+semi))),"")</f>
        <v>2.8690000000000001E-5</v>
      </c>
      <c r="E10" s="28">
        <f t="shared" si="1"/>
        <v>0.92252418768338729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46.111690647577689</v>
      </c>
      <c r="J10" s="28">
        <f t="shared" si="4"/>
        <v>0.92252418768338729</v>
      </c>
      <c r="K10" s="22">
        <f t="shared" si="5"/>
        <v>1</v>
      </c>
      <c r="L10" s="8" t="s">
        <v>104</v>
      </c>
      <c r="M10" s="17">
        <f>IF($M$8&gt;0,INDEX($H$1:$H$301,$M$8),"")</f>
        <v>362.74535953736671</v>
      </c>
    </row>
    <row r="11" spans="1:13" x14ac:dyDescent="0.3">
      <c r="A11" s="11">
        <v>90</v>
      </c>
      <c r="B11" s="32">
        <v>1.7139999999999999E-5</v>
      </c>
      <c r="C11" s="22">
        <f t="shared" si="0"/>
        <v>600.41537135667363</v>
      </c>
      <c r="D11" s="28">
        <f>IF(ISNUMBER(B11),AVERAGE(INDEX($B$2:$B$301,MAX(1,10-semi)):INDEX($B$2:$B$301,MIN($M$2,10+semi))),"")</f>
        <v>1.7139999999999999E-5</v>
      </c>
      <c r="E11" s="28">
        <f t="shared" si="1"/>
        <v>0.55121894608302302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612.43636380156443</v>
      </c>
      <c r="I11" s="22">
        <f t="shared" si="3"/>
        <v>112.82450968720809</v>
      </c>
      <c r="J11" s="28">
        <f t="shared" si="4"/>
        <v>0.55121894608302302</v>
      </c>
      <c r="K11" s="22">
        <f t="shared" si="5"/>
        <v>1</v>
      </c>
      <c r="L11" s="8" t="s">
        <v>105</v>
      </c>
      <c r="M11" s="17">
        <f>IF($M$9&gt;0,INDEX($H$1:$H$301,$M$9),"")</f>
        <v>612.43636380156443</v>
      </c>
    </row>
    <row r="12" spans="1:13" ht="15.6" x14ac:dyDescent="0.3">
      <c r="A12" s="11">
        <v>100</v>
      </c>
      <c r="B12" s="32">
        <v>8.2979999999999992E-6</v>
      </c>
      <c r="C12" s="22">
        <f t="shared" si="0"/>
        <v>667.12819039630403</v>
      </c>
      <c r="D12" s="28">
        <f>IF(ISNUMBER(B12),AVERAGE(INDEX($B$2:$B$301,MAX(1,11-semi)):INDEX($B$2:$B$301,MIN($M$2,11+semi))),"")</f>
        <v>8.2979999999999992E-6</v>
      </c>
      <c r="E12" s="28">
        <f t="shared" si="1"/>
        <v>0.26696951350896064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179.5373287268385</v>
      </c>
      <c r="J12" s="28">
        <f t="shared" si="4"/>
        <v>0.26696951350896064</v>
      </c>
      <c r="K12" s="22">
        <f t="shared" si="5"/>
        <v>1</v>
      </c>
      <c r="L12" s="8" t="s">
        <v>106</v>
      </c>
      <c r="M12" s="23">
        <f>IF(AND($M$8&gt;0,$M$9&gt;0),ABS($M$11-$M$10),"")</f>
        <v>249.69100426419772</v>
      </c>
    </row>
    <row r="13" spans="1:13" ht="15.6" x14ac:dyDescent="0.3">
      <c r="A13" s="11">
        <v>110</v>
      </c>
      <c r="B13" s="32">
        <v>1.9069999999999999E-6</v>
      </c>
      <c r="C13" s="22">
        <f t="shared" si="0"/>
        <v>733.84100943593455</v>
      </c>
      <c r="D13" s="28">
        <f>IF(ISNUMBER(B13),AVERAGE(INDEX($B$2:$B$301,MAX(1,12-semi)):INDEX($B$2:$B$301,MIN($M$2,12+semi))),"")</f>
        <v>1.9069999999999999E-6</v>
      </c>
      <c r="E13" s="28">
        <f t="shared" si="1"/>
        <v>6.1513946490092543E-2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246.25014776646901</v>
      </c>
      <c r="J13" s="28">
        <f t="shared" si="4"/>
        <v>6.1513946490092543E-2</v>
      </c>
      <c r="K13" s="22">
        <f t="shared" si="5"/>
        <v>1</v>
      </c>
      <c r="L13" s="8" t="s">
        <v>107</v>
      </c>
      <c r="M13" s="23">
        <f>IF(ISNUMBER($M$12),factor_forma*$M$12,"")</f>
        <v>162.29915277172853</v>
      </c>
    </row>
    <row r="14" spans="1:13" x14ac:dyDescent="0.3">
      <c r="A14" s="11">
        <v>120</v>
      </c>
      <c r="B14" s="32">
        <v>8.991E-7</v>
      </c>
      <c r="C14" s="22">
        <f t="shared" si="0"/>
        <v>800.55382847556496</v>
      </c>
      <c r="D14" s="28">
        <f>IF(ISNUMBER(B14),AVERAGE(INDEX($B$2:$B$301,MAX(1,13-semi)):INDEX($B$2:$B$301,MIN($M$2,13+semi))),"")</f>
        <v>8.991E-7</v>
      </c>
      <c r="E14" s="28">
        <f t="shared" si="1"/>
        <v>2.911234016896639E-2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312.96296680609942</v>
      </c>
      <c r="J14" s="28">
        <f t="shared" si="4"/>
        <v>2.911234016896639E-2</v>
      </c>
      <c r="K14" s="22">
        <f t="shared" si="5"/>
        <v>1</v>
      </c>
      <c r="L14" s="8" t="s">
        <v>108</v>
      </c>
      <c r="M14" s="17">
        <f>IF(ISNUMBER($M$12),0.7071*$M$12,"")</f>
        <v>176.5565091152142</v>
      </c>
    </row>
    <row r="15" spans="1:13" x14ac:dyDescent="0.3">
      <c r="A15" s="11">
        <v>130</v>
      </c>
      <c r="B15" s="32">
        <v>2.6689999999999999E-7</v>
      </c>
      <c r="C15" s="22">
        <f t="shared" si="0"/>
        <v>867.26664751519536</v>
      </c>
      <c r="D15" s="28">
        <f>IF(ISNUMBER(B15),AVERAGE(INDEX($B$2:$B$301,MAX(1,14-semi)):INDEX($B$2:$B$301,MIN($M$2,14+semi))),"")</f>
        <v>2.6689999999999999E-7</v>
      </c>
      <c r="E15" s="28">
        <f t="shared" si="1"/>
        <v>8.7886021828408271E-3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379.67578584572982</v>
      </c>
      <c r="J15" s="28">
        <f t="shared" si="4"/>
        <v>8.7886021828408271E-3</v>
      </c>
      <c r="K15" s="22">
        <f t="shared" si="5"/>
        <v>1</v>
      </c>
      <c r="L15" s="8" t="s">
        <v>109</v>
      </c>
      <c r="M15" s="17">
        <f>IF(ISNUMBER($M$12),($M$10+$M$11)/2,$M$7)</f>
        <v>487.59086166946554</v>
      </c>
    </row>
    <row r="16" spans="1:13" x14ac:dyDescent="0.3">
      <c r="A16" s="11">
        <v>140</v>
      </c>
      <c r="B16" s="32">
        <v>-5.5929999999999999E-8</v>
      </c>
      <c r="C16" s="22">
        <f t="shared" si="0"/>
        <v>933.97946655482576</v>
      </c>
      <c r="D16" s="28">
        <f>IF(ISNUMBER(B16),AVERAGE(INDEX($B$2:$B$301,MAX(1,15-semi)):INDEX($B$2:$B$301,MIN($M$2,15+semi))),"")</f>
        <v>-5.5929999999999999E-8</v>
      </c>
      <c r="E16" s="28">
        <f t="shared" si="1"/>
        <v>-1.5896204271890915E-3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446.38860488536022</v>
      </c>
      <c r="J16" s="28">
        <f t="shared" si="4"/>
        <v>-1.5896204271890915E-3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-1.119E-7</v>
      </c>
      <c r="C17" s="22">
        <f t="shared" si="0"/>
        <v>1000.6922855944562</v>
      </c>
      <c r="D17" s="28">
        <f>IF(ISNUMBER(B17),AVERAGE(INDEX($B$2:$B$301,MAX(1,16-semi)):INDEX($B$2:$B$301,MIN($M$2,16+semi))),"")</f>
        <v>-1.119E-7</v>
      </c>
      <c r="E17" s="28">
        <f t="shared" si="1"/>
        <v>-3.3889238360525018E-3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513.10142392499063</v>
      </c>
      <c r="J17" s="28">
        <f t="shared" si="4"/>
        <v>-3.3889238360525018E-3</v>
      </c>
      <c r="K17" s="22">
        <f t="shared" si="5"/>
        <v>1</v>
      </c>
      <c r="L17" s="8" t="s">
        <v>110</v>
      </c>
      <c r="M17" s="17">
        <f>IFERROR($M$15-MIN($C$2:$C$301),"")</f>
        <v>487.59086166946554</v>
      </c>
    </row>
    <row r="18" spans="1:13" x14ac:dyDescent="0.3">
      <c r="A18" s="11">
        <v>160</v>
      </c>
      <c r="B18" s="32">
        <v>-5.5929999999999999E-8</v>
      </c>
      <c r="C18" s="22">
        <f t="shared" si="0"/>
        <v>1067.4051046340865</v>
      </c>
      <c r="D18" s="28">
        <f>IF(ISNUMBER(B18),AVERAGE(INDEX($B$2:$B$301,MAX(1,17-semi)):INDEX($B$2:$B$301,MIN($M$2,17+semi))),"")</f>
        <v>-5.5929999999999999E-8</v>
      </c>
      <c r="E18" s="28">
        <f t="shared" si="1"/>
        <v>-1.5896204271890915E-3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579.81424296462092</v>
      </c>
      <c r="J18" s="28">
        <f t="shared" si="4"/>
        <v>-1.5896204271890915E-3</v>
      </c>
      <c r="K18" s="22" t="str">
        <f t="shared" si="5"/>
        <v/>
      </c>
      <c r="L18" s="8" t="s">
        <v>111</v>
      </c>
      <c r="M18" s="17">
        <f>IFERROR(MAX($C$2:$C$301)-$M$15,"")</f>
        <v>579.81424296462092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-124.84550213209883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124.84550213209889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64" priority="4">
      <formula>ISERROR(I2)</formula>
    </cfRule>
  </conditionalFormatting>
  <conditionalFormatting sqref="L23:M24">
    <cfRule type="containsErrors" dxfId="63" priority="5">
      <formula>ISERROR(L23)</formula>
    </cfRule>
  </conditionalFormatting>
  <conditionalFormatting sqref="M20">
    <cfRule type="cellIs" dxfId="62" priority="1" operator="equal">
      <formula>"OK"</formula>
    </cfRule>
    <cfRule type="beginsWith" dxfId="61" priority="2" operator="beginsWith" text="Aviso">
      <formula>LEFT(M20,5)="Aviso"</formula>
    </cfRule>
    <cfRule type="beginsWith" dxfId="6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A2" sqref="A2:A18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120</v>
      </c>
      <c r="M1" s="6" t="str">
        <f>"Corriente "&amp;IFERROR(INDEX('Registro piloto'!$C$5:$C$19,5),"")</f>
        <v>Corriente I3</v>
      </c>
    </row>
    <row r="2" spans="1:13" x14ac:dyDescent="0.3">
      <c r="A2" s="11">
        <v>0</v>
      </c>
      <c r="B2" s="11">
        <v>0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0</v>
      </c>
      <c r="E2" s="28">
        <f t="shared" ref="E2:E65" si="1">IF(AND(ISNUMBER(D2),ISNUMBER($M$4)),(D2-$M$4)/($M$5-$M$4),"")</f>
        <v>-2.9697984367099916E-3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-485.47779742148657</v>
      </c>
      <c r="J2" s="28">
        <f t="shared" ref="J2:J65" si="4">IF(ISNUMBER(E2),E2,NA())</f>
        <v>-2.9697984367099916E-3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6.2139999999999999E-8</v>
      </c>
      <c r="C3" s="22">
        <f t="shared" si="0"/>
        <v>66.712819039630403</v>
      </c>
      <c r="D3" s="28">
        <f>IF(ISNUMBER(B3),AVERAGE(INDEX($B$2:$B$301,MAX(1,2-semi)):INDEX($B$2:$B$301,MIN($M$2,2+semi))),"")</f>
        <v>6.2139999999999999E-8</v>
      </c>
      <c r="E3" s="28">
        <f t="shared" si="1"/>
        <v>-1.2907967321071584E-3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-418.76497838185617</v>
      </c>
      <c r="J3" s="28">
        <f t="shared" si="4"/>
        <v>-1.2907967321071584E-3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2.656E-7</v>
      </c>
      <c r="C4" s="22">
        <f t="shared" si="0"/>
        <v>133.42563807926081</v>
      </c>
      <c r="D4" s="28">
        <f>IF(ISNUMBER(B4),AVERAGE(INDEX($B$2:$B$301,MAX(1,3-semi)):INDEX($B$2:$B$301,MIN($M$2,3+semi))),"")</f>
        <v>2.656E-7</v>
      </c>
      <c r="E4" s="28">
        <f t="shared" si="1"/>
        <v>4.206623396931986E-3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-352.05215934222576</v>
      </c>
      <c r="J4" s="28">
        <f t="shared" si="4"/>
        <v>4.206623396931986E-3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1.0991249999999999E-7</v>
      </c>
    </row>
    <row r="5" spans="1:13" x14ac:dyDescent="0.3">
      <c r="A5" s="11">
        <v>30</v>
      </c>
      <c r="B5" s="32">
        <v>1.2470000000000001E-6</v>
      </c>
      <c r="C5" s="22">
        <f t="shared" si="0"/>
        <v>200.13845711889124</v>
      </c>
      <c r="D5" s="28">
        <f>IF(ISNUMBER(B5),AVERAGE(INDEX($B$2:$B$301,MAX(1,4-semi)):INDEX($B$2:$B$301,MIN($M$2,4+semi))),"")</f>
        <v>1.2470000000000001E-6</v>
      </c>
      <c r="E5" s="28">
        <f t="shared" si="1"/>
        <v>3.0723718229523241E-2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-285.33934030259536</v>
      </c>
      <c r="J5" s="28">
        <f t="shared" si="4"/>
        <v>3.0723718229523241E-2</v>
      </c>
      <c r="K5" s="22">
        <f t="shared" si="5"/>
        <v>1</v>
      </c>
      <c r="L5" s="8" t="s">
        <v>99</v>
      </c>
      <c r="M5" s="19">
        <f>IF($M$2&lt;2*n_fondo,"",MAX($D$2:$D$301))</f>
        <v>3.7119999999999997E-5</v>
      </c>
    </row>
    <row r="6" spans="1:13" x14ac:dyDescent="0.3">
      <c r="A6" s="11">
        <v>40</v>
      </c>
      <c r="B6" s="32">
        <v>3.546E-6</v>
      </c>
      <c r="C6" s="22">
        <f t="shared" si="0"/>
        <v>266.85127615852161</v>
      </c>
      <c r="D6" s="28">
        <f>IF(ISNUMBER(B6),AVERAGE(INDEX($B$2:$B$301,MAX(1,5-semi)):INDEX($B$2:$B$301,MIN($M$2,5+semi))),"")</f>
        <v>3.546E-6</v>
      </c>
      <c r="E6" s="28">
        <f t="shared" si="1"/>
        <v>9.2841917760934783E-2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-218.62652126296496</v>
      </c>
      <c r="J6" s="28">
        <f t="shared" si="4"/>
        <v>9.2841917760934783E-2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1.206E-5</v>
      </c>
      <c r="C7" s="22">
        <f t="shared" si="0"/>
        <v>333.56409519815202</v>
      </c>
      <c r="D7" s="28">
        <f>IF(ISNUMBER(B7),AVERAGE(INDEX($B$2:$B$301,MAX(1,6-semi)):INDEX($B$2:$B$301,MIN($M$2,6+semi))),"")</f>
        <v>1.206E-5</v>
      </c>
      <c r="E7" s="28">
        <f t="shared" si="1"/>
        <v>0.32288730741314786</v>
      </c>
      <c r="F7" s="22">
        <f>IF(AND(ISNUMBER(E7),ISNUMBER(E8),ISNUMBER($M$6)),IF(AND(7&lt;$M$6,E7&lt;0.5,E8&gt;=0.5),7,""),"")</f>
        <v>7</v>
      </c>
      <c r="G7" s="22" t="str">
        <f>IF(AND(ISNUMBER(E7),ISNUMBER(E8),ISNUMBER($M$6)),IF(AND(7&gt;=$M$6,E7&gt;=0.5,E8&lt;0.5),7,""),"")</f>
        <v/>
      </c>
      <c r="H7" s="22">
        <f t="shared" si="2"/>
        <v>360.82716316067973</v>
      </c>
      <c r="I7" s="22">
        <f t="shared" si="3"/>
        <v>-151.91370222333455</v>
      </c>
      <c r="J7" s="28">
        <f t="shared" si="4"/>
        <v>0.32288730741314786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2.8099999999999999E-5</v>
      </c>
      <c r="C8" s="22">
        <f t="shared" si="0"/>
        <v>400.27691423778248</v>
      </c>
      <c r="D8" s="28">
        <f>IF(ISNUMBER(B8),AVERAGE(INDEX($B$2:$B$301,MAX(1,7-semi)):INDEX($B$2:$B$301,MIN($M$2,7+semi))),"")</f>
        <v>2.8099999999999999E-5</v>
      </c>
      <c r="E8" s="28">
        <f t="shared" si="1"/>
        <v>0.75628266212556239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-85.200883183704093</v>
      </c>
      <c r="J8" s="28">
        <f t="shared" si="4"/>
        <v>0.75628266212556239</v>
      </c>
      <c r="K8" s="22">
        <f t="shared" si="5"/>
        <v>1</v>
      </c>
      <c r="L8" s="8" t="s">
        <v>102</v>
      </c>
      <c r="M8" s="12">
        <f>MAX($F$2:$F$301)</f>
        <v>7</v>
      </c>
    </row>
    <row r="9" spans="1:13" x14ac:dyDescent="0.3">
      <c r="A9" s="11">
        <v>70</v>
      </c>
      <c r="B9" s="32">
        <v>3.7119999999999997E-5</v>
      </c>
      <c r="C9" s="22">
        <f t="shared" si="0"/>
        <v>466.98973327741288</v>
      </c>
      <c r="D9" s="28">
        <f>IF(ISNUMBER(B9),AVERAGE(INDEX($B$2:$B$301,MAX(1,8-semi)):INDEX($B$2:$B$301,MIN($M$2,8+semi))),"")</f>
        <v>3.7119999999999997E-5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-18.488064144073689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11</v>
      </c>
    </row>
    <row r="10" spans="1:13" x14ac:dyDescent="0.3">
      <c r="A10" s="11">
        <v>80</v>
      </c>
      <c r="B10" s="32">
        <v>3.3229999999999999E-5</v>
      </c>
      <c r="C10" s="22">
        <f t="shared" si="0"/>
        <v>533.70255231704323</v>
      </c>
      <c r="D10" s="28">
        <f>IF(ISNUMBER(B10),AVERAGE(INDEX($B$2:$B$301,MAX(1,9-semi)):INDEX($B$2:$B$301,MIN($M$2,9+semi))),"")</f>
        <v>3.3229999999999999E-5</v>
      </c>
      <c r="E10" s="28">
        <f t="shared" si="1"/>
        <v>0.894893520584084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48.224754895556657</v>
      </c>
      <c r="J10" s="28">
        <f t="shared" si="4"/>
        <v>0.894893520584084</v>
      </c>
      <c r="K10" s="22">
        <f t="shared" si="5"/>
        <v>1</v>
      </c>
      <c r="L10" s="8" t="s">
        <v>104</v>
      </c>
      <c r="M10" s="17">
        <f>IF($M$8&gt;0,INDEX($H$1:$H$301,$M$8),"")</f>
        <v>360.82716316067973</v>
      </c>
    </row>
    <row r="11" spans="1:13" x14ac:dyDescent="0.3">
      <c r="A11" s="11">
        <v>90</v>
      </c>
      <c r="B11" s="32">
        <v>2.0599999999999999E-5</v>
      </c>
      <c r="C11" s="22">
        <f t="shared" si="0"/>
        <v>600.41537135667363</v>
      </c>
      <c r="D11" s="28">
        <f>IF(ISNUMBER(B11),AVERAGE(INDEX($B$2:$B$301,MAX(1,10-semi)):INDEX($B$2:$B$301,MIN($M$2,10+semi))),"")</f>
        <v>2.0599999999999999E-5</v>
      </c>
      <c r="E11" s="28">
        <f t="shared" si="1"/>
        <v>0.55363520823883494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610.12843168229335</v>
      </c>
      <c r="I11" s="22">
        <f t="shared" si="3"/>
        <v>114.93757393518706</v>
      </c>
      <c r="J11" s="28">
        <f t="shared" si="4"/>
        <v>0.55363520823883494</v>
      </c>
      <c r="K11" s="22">
        <f t="shared" si="5"/>
        <v>1</v>
      </c>
      <c r="L11" s="8" t="s">
        <v>105</v>
      </c>
      <c r="M11" s="17">
        <f>IF($M$9&gt;0,INDEX($H$1:$H$301,$M$9),"")</f>
        <v>610.12843168229335</v>
      </c>
    </row>
    <row r="12" spans="1:13" ht="15.6" x14ac:dyDescent="0.3">
      <c r="A12" s="11">
        <v>100</v>
      </c>
      <c r="B12" s="32">
        <v>6.9659999999999999E-6</v>
      </c>
      <c r="C12" s="22">
        <f t="shared" si="0"/>
        <v>667.12819039630403</v>
      </c>
      <c r="D12" s="28">
        <f>IF(ISNUMBER(B12),AVERAGE(INDEX($B$2:$B$301,MAX(1,11-semi)):INDEX($B$2:$B$301,MIN($M$2,11+semi))),"")</f>
        <v>6.9659999999999999E-6</v>
      </c>
      <c r="E12" s="28">
        <f t="shared" si="1"/>
        <v>0.18524915673328254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181.65039297481746</v>
      </c>
      <c r="J12" s="28">
        <f t="shared" si="4"/>
        <v>0.18524915673328254</v>
      </c>
      <c r="K12" s="22">
        <f t="shared" si="5"/>
        <v>1</v>
      </c>
      <c r="L12" s="8" t="s">
        <v>106</v>
      </c>
      <c r="M12" s="23">
        <f>IF(AND($M$8&gt;0,$M$9&gt;0),ABS($M$11-$M$10),"")</f>
        <v>249.30126852161362</v>
      </c>
    </row>
    <row r="13" spans="1:13" ht="15.6" x14ac:dyDescent="0.3">
      <c r="A13" s="11">
        <v>110</v>
      </c>
      <c r="B13" s="32">
        <v>1.8369999999999999E-6</v>
      </c>
      <c r="C13" s="22">
        <f t="shared" si="0"/>
        <v>733.84100943593455</v>
      </c>
      <c r="D13" s="28">
        <f>IF(ISNUMBER(B13),AVERAGE(INDEX($B$2:$B$301,MAX(1,12-semi)):INDEX($B$2:$B$301,MIN($M$2,12+semi))),"")</f>
        <v>1.8369999999999999E-6</v>
      </c>
      <c r="E13" s="28">
        <f t="shared" si="1"/>
        <v>4.6665317935279137E-2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248.36321201444798</v>
      </c>
      <c r="J13" s="28">
        <f t="shared" si="4"/>
        <v>4.6665317935279137E-2</v>
      </c>
      <c r="K13" s="22">
        <f t="shared" si="5"/>
        <v>1</v>
      </c>
      <c r="L13" s="8" t="s">
        <v>107</v>
      </c>
      <c r="M13" s="23">
        <f>IF(ISNUMBER($M$12),factor_forma*$M$12,"")</f>
        <v>162.04582453904885</v>
      </c>
    </row>
    <row r="14" spans="1:13" x14ac:dyDescent="0.3">
      <c r="A14" s="11">
        <v>120</v>
      </c>
      <c r="B14" s="32">
        <v>7.1559999999999998E-7</v>
      </c>
      <c r="C14" s="22">
        <f t="shared" si="0"/>
        <v>800.55382847556496</v>
      </c>
      <c r="D14" s="28">
        <f>IF(ISNUMBER(B14),AVERAGE(INDEX($B$2:$B$301,MAX(1,13-semi)):INDEX($B$2:$B$301,MIN($M$2,13+semi))),"")</f>
        <v>7.1559999999999998E-7</v>
      </c>
      <c r="E14" s="28">
        <f t="shared" si="1"/>
        <v>1.6365470630135635E-2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315.07603105407838</v>
      </c>
      <c r="J14" s="28">
        <f t="shared" si="4"/>
        <v>1.6365470630135635E-2</v>
      </c>
      <c r="K14" s="22">
        <f t="shared" si="5"/>
        <v>1</v>
      </c>
      <c r="L14" s="8" t="s">
        <v>108</v>
      </c>
      <c r="M14" s="17">
        <f>IF(ISNUMBER($M$12),0.7071*$M$12,"")</f>
        <v>176.28092697163299</v>
      </c>
    </row>
    <row r="15" spans="1:13" x14ac:dyDescent="0.3">
      <c r="A15" s="11">
        <v>130</v>
      </c>
      <c r="B15" s="32">
        <v>2.1010000000000001E-7</v>
      </c>
      <c r="C15" s="22">
        <f t="shared" si="0"/>
        <v>867.26664751519536</v>
      </c>
      <c r="D15" s="28">
        <f>IF(ISNUMBER(B15),AVERAGE(INDEX($B$2:$B$301,MAX(1,14-semi)):INDEX($B$2:$B$301,MIN($M$2,14+semi))),"")</f>
        <v>2.1010000000000001E-7</v>
      </c>
      <c r="E15" s="28">
        <f t="shared" si="1"/>
        <v>2.7070322381702026E-3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381.78885009370879</v>
      </c>
      <c r="J15" s="28">
        <f t="shared" si="4"/>
        <v>2.7070322381702026E-3</v>
      </c>
      <c r="K15" s="22">
        <f t="shared" si="5"/>
        <v>1</v>
      </c>
      <c r="L15" s="8" t="s">
        <v>109</v>
      </c>
      <c r="M15" s="17">
        <f>IF(ISNUMBER($M$12),($M$10+$M$11)/2,$M$7)</f>
        <v>485.47779742148657</v>
      </c>
    </row>
    <row r="16" spans="1:13" x14ac:dyDescent="0.3">
      <c r="A16" s="11">
        <v>140</v>
      </c>
      <c r="B16" s="11">
        <v>0</v>
      </c>
      <c r="C16" s="22">
        <f t="shared" si="0"/>
        <v>933.97946655482576</v>
      </c>
      <c r="D16" s="28">
        <f>IF(ISNUMBER(B16),AVERAGE(INDEX($B$2:$B$301,MAX(1,15-semi)):INDEX($B$2:$B$301,MIN($M$2,15+semi))),"")</f>
        <v>0</v>
      </c>
      <c r="E16" s="28">
        <f t="shared" si="1"/>
        <v>-2.9697984367099916E-3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448.50166913333919</v>
      </c>
      <c r="J16" s="28">
        <f t="shared" si="4"/>
        <v>-2.9697984367099916E-3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6.9909999999999995E-8</v>
      </c>
      <c r="C17" s="22">
        <f t="shared" si="0"/>
        <v>1000.6922855944562</v>
      </c>
      <c r="D17" s="28">
        <f>IF(ISNUMBER(B17),AVERAGE(INDEX($B$2:$B$301,MAX(1,16-semi)):INDEX($B$2:$B$301,MIN($M$2,16+semi))),"")</f>
        <v>6.9909999999999995E-8</v>
      </c>
      <c r="E17" s="28">
        <f t="shared" si="1"/>
        <v>-1.0808539698805087E-3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515.2144881729696</v>
      </c>
      <c r="J17" s="28">
        <f t="shared" si="4"/>
        <v>-1.0808539698805087E-3</v>
      </c>
      <c r="K17" s="22">
        <f t="shared" si="5"/>
        <v>1</v>
      </c>
      <c r="L17" s="8" t="s">
        <v>110</v>
      </c>
      <c r="M17" s="17">
        <f>IFERROR($M$15-MIN($C$2:$C$301),"")</f>
        <v>485.47779742148657</v>
      </c>
    </row>
    <row r="18" spans="1:13" x14ac:dyDescent="0.3">
      <c r="A18" s="11">
        <v>160</v>
      </c>
      <c r="B18" s="32">
        <v>3.0759999999999998E-7</v>
      </c>
      <c r="C18" s="22">
        <f t="shared" si="0"/>
        <v>1067.4051046340865</v>
      </c>
      <c r="D18" s="28">
        <f>IF(ISNUMBER(B18),AVERAGE(INDEX($B$2:$B$301,MAX(1,17-semi)):INDEX($B$2:$B$301,MIN($M$2,17+semi))),"")</f>
        <v>3.0759999999999998E-7</v>
      </c>
      <c r="E18" s="28">
        <f t="shared" si="1"/>
        <v>5.34144913869766E-3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581.92730721259989</v>
      </c>
      <c r="J18" s="28">
        <f t="shared" si="4"/>
        <v>5.34144913869766E-3</v>
      </c>
      <c r="K18" s="22" t="str">
        <f t="shared" si="5"/>
        <v/>
      </c>
      <c r="L18" s="8" t="s">
        <v>111</v>
      </c>
      <c r="M18" s="17">
        <f>IFERROR(MAX($C$2:$C$301)-$M$15,"")</f>
        <v>581.92730721259989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-124.65063426080684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124.65063426080678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59" priority="4">
      <formula>ISERROR(I2)</formula>
    </cfRule>
  </conditionalFormatting>
  <conditionalFormatting sqref="L23:M24">
    <cfRule type="containsErrors" dxfId="58" priority="5">
      <formula>ISERROR(L23)</formula>
    </cfRule>
  </conditionalFormatting>
  <conditionalFormatting sqref="M20">
    <cfRule type="cellIs" dxfId="57" priority="1" operator="equal">
      <formula>"OK"</formula>
    </cfRule>
    <cfRule type="beginsWith" dxfId="56" priority="2" operator="beginsWith" text="Aviso">
      <formula>LEFT(M20,5)="Aviso"</formula>
    </cfRule>
    <cfRule type="beginsWith" dxfId="5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A2" sqref="A2:A18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121</v>
      </c>
      <c r="M1" s="6" t="str">
        <f>"Corriente "&amp;IFERROR(INDEX('Registro piloto'!$C$5:$C$19,6),"")</f>
        <v>Corriente I2</v>
      </c>
    </row>
    <row r="2" spans="1:13" x14ac:dyDescent="0.3">
      <c r="A2" s="11">
        <v>0</v>
      </c>
      <c r="B2" s="32">
        <v>-4.0790000000000002E-6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-4.0790000000000002E-6</v>
      </c>
      <c r="E2" s="28">
        <f t="shared" ref="E2:E65" si="1">IF(AND(ISNUMBER(D2),ISNUMBER($M$4)),(D2-$M$4)/($M$5-$M$4),"")</f>
        <v>-9.3276498528466076E-2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-484.63703241919256</v>
      </c>
      <c r="J2" s="28">
        <f t="shared" ref="J2:J65" si="4">IF(ISNUMBER(E2),E2,NA())</f>
        <v>-9.3276498528466076E-2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-9.9439999999999996E-7</v>
      </c>
      <c r="C3" s="22">
        <f t="shared" si="0"/>
        <v>66.712819039630403</v>
      </c>
      <c r="D3" s="28">
        <f>IF(ISNUMBER(B3),AVERAGE(INDEX($B$2:$B$301,MAX(1,2-semi)):INDEX($B$2:$B$301,MIN($M$2,2+semi))),"")</f>
        <v>-9.9439999999999996E-7</v>
      </c>
      <c r="E3" s="28">
        <f t="shared" si="1"/>
        <v>1.2375955726394878E-2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-417.92421337956216</v>
      </c>
      <c r="J3" s="28">
        <f t="shared" si="4"/>
        <v>1.2375955726394878E-2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4.08E-7</v>
      </c>
      <c r="C4" s="22">
        <f t="shared" si="0"/>
        <v>133.42563807926081</v>
      </c>
      <c r="D4" s="28">
        <f>IF(ISNUMBER(B4),AVERAGE(INDEX($B$2:$B$301,MAX(1,3-semi)):INDEX($B$2:$B$301,MIN($M$2,3+semi))),"")</f>
        <v>4.08E-7</v>
      </c>
      <c r="E4" s="28">
        <f t="shared" si="1"/>
        <v>6.0410385424578425E-2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-351.21139433993176</v>
      </c>
      <c r="J4" s="28">
        <f t="shared" si="4"/>
        <v>6.0410385424578425E-2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-1.3557250000000001E-6</v>
      </c>
    </row>
    <row r="5" spans="1:13" x14ac:dyDescent="0.3">
      <c r="A5" s="11">
        <v>30</v>
      </c>
      <c r="B5" s="32">
        <v>1.122E-6</v>
      </c>
      <c r="C5" s="22">
        <f t="shared" si="0"/>
        <v>200.13845711889124</v>
      </c>
      <c r="D5" s="28">
        <f>IF(ISNUMBER(B5),AVERAGE(INDEX($B$2:$B$301,MAX(1,4-semi)):INDEX($B$2:$B$301,MIN($M$2,4+semi))),"")</f>
        <v>1.122E-6</v>
      </c>
      <c r="E5" s="28">
        <f t="shared" si="1"/>
        <v>8.4866020624594862E-2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-284.49857530030135</v>
      </c>
      <c r="J5" s="28">
        <f t="shared" si="4"/>
        <v>8.4866020624594862E-2</v>
      </c>
      <c r="K5" s="22">
        <f t="shared" si="5"/>
        <v>1</v>
      </c>
      <c r="L5" s="8" t="s">
        <v>99</v>
      </c>
      <c r="M5" s="19">
        <f>IF($M$2&lt;2*n_fondo,"",MAX($D$2:$D$301))</f>
        <v>2.7840000000000001E-5</v>
      </c>
    </row>
    <row r="6" spans="1:13" x14ac:dyDescent="0.3">
      <c r="A6" s="11">
        <v>40</v>
      </c>
      <c r="B6" s="32">
        <v>3.1970000000000001E-6</v>
      </c>
      <c r="C6" s="22">
        <f t="shared" si="0"/>
        <v>266.85127615852161</v>
      </c>
      <c r="D6" s="28">
        <f>IF(ISNUMBER(B6),AVERAGE(INDEX($B$2:$B$301,MAX(1,5-semi)):INDEX($B$2:$B$301,MIN($M$2,5+semi))),"")</f>
        <v>3.1970000000000001E-6</v>
      </c>
      <c r="E6" s="28">
        <f t="shared" si="1"/>
        <v>0.15593806970027288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-217.78575626067095</v>
      </c>
      <c r="J6" s="28">
        <f t="shared" si="4"/>
        <v>0.15593806970027288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7.3599999999999998E-6</v>
      </c>
      <c r="C7" s="22">
        <f t="shared" si="0"/>
        <v>333.56409519815202</v>
      </c>
      <c r="D7" s="28">
        <f>IF(ISNUMBER(B7),AVERAGE(INDEX($B$2:$B$301,MAX(1,6-semi)):INDEX($B$2:$B$301,MIN($M$2,6+semi))),"")</f>
        <v>7.3599999999999998E-6</v>
      </c>
      <c r="E7" s="28">
        <f t="shared" si="1"/>
        <v>0.29852743852053681</v>
      </c>
      <c r="F7" s="22">
        <f>IF(AND(ISNUMBER(E7),ISNUMBER(E8),ISNUMBER($M$6)),IF(AND(7&lt;$M$6,E7&lt;0.5,E8&gt;=0.5),7,""),"")</f>
        <v>7</v>
      </c>
      <c r="G7" s="22" t="str">
        <f>IF(AND(ISNUMBER(E7),ISNUMBER(E8),ISNUMBER($M$6)),IF(AND(7&gt;=$M$6,E7&gt;=0.5,E8&lt;0.5),7,""),"")</f>
        <v/>
      </c>
      <c r="H7" s="22">
        <f t="shared" si="2"/>
        <v>365.33850609723902</v>
      </c>
      <c r="I7" s="22">
        <f t="shared" si="3"/>
        <v>-151.07293722104055</v>
      </c>
      <c r="J7" s="28">
        <f t="shared" si="4"/>
        <v>0.29852743852053681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1.9709999999999999E-5</v>
      </c>
      <c r="C8" s="22">
        <f t="shared" si="0"/>
        <v>400.27691423778248</v>
      </c>
      <c r="D8" s="28">
        <f>IF(ISNUMBER(B8),AVERAGE(INDEX($B$2:$B$301,MAX(1,7-semi)):INDEX($B$2:$B$301,MIN($M$2,7+semi))),"")</f>
        <v>1.9709999999999999E-5</v>
      </c>
      <c r="E8" s="28">
        <f t="shared" si="1"/>
        <v>0.72153457398300602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-84.360118181410087</v>
      </c>
      <c r="J8" s="28">
        <f t="shared" si="4"/>
        <v>0.72153457398300602</v>
      </c>
      <c r="K8" s="22">
        <f t="shared" si="5"/>
        <v>1</v>
      </c>
      <c r="L8" s="8" t="s">
        <v>102</v>
      </c>
      <c r="M8" s="12">
        <f>MAX($F$2:$F$301)</f>
        <v>7</v>
      </c>
    </row>
    <row r="9" spans="1:13" x14ac:dyDescent="0.3">
      <c r="A9" s="11">
        <v>70</v>
      </c>
      <c r="B9" s="32">
        <v>2.7840000000000001E-5</v>
      </c>
      <c r="C9" s="22">
        <f t="shared" si="0"/>
        <v>466.98973327741288</v>
      </c>
      <c r="D9" s="28">
        <f>IF(ISNUMBER(B9),AVERAGE(INDEX($B$2:$B$301,MAX(1,8-semi)):INDEX($B$2:$B$301,MIN($M$2,8+semi))),"")</f>
        <v>2.7840000000000001E-5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-17.647299141779683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11</v>
      </c>
    </row>
    <row r="10" spans="1:13" x14ac:dyDescent="0.3">
      <c r="A10" s="11">
        <v>80</v>
      </c>
      <c r="B10" s="32">
        <v>2.6169999999999998E-5</v>
      </c>
      <c r="C10" s="22">
        <f t="shared" si="0"/>
        <v>533.70255231704323</v>
      </c>
      <c r="D10" s="28">
        <f>IF(ISNUMBER(B10),AVERAGE(INDEX($B$2:$B$301,MAX(1,9-semi)):INDEX($B$2:$B$301,MIN($M$2,9+semi))),"")</f>
        <v>2.6169999999999998E-5</v>
      </c>
      <c r="E10" s="28">
        <f t="shared" si="1"/>
        <v>0.94279984484029755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49.065519897850663</v>
      </c>
      <c r="J10" s="28">
        <f t="shared" si="4"/>
        <v>0.94279984484029755</v>
      </c>
      <c r="K10" s="22">
        <f t="shared" si="5"/>
        <v>1</v>
      </c>
      <c r="L10" s="8" t="s">
        <v>104</v>
      </c>
      <c r="M10" s="17">
        <f>IF($M$8&gt;0,INDEX($H$1:$H$301,$M$8),"")</f>
        <v>365.33850609723902</v>
      </c>
    </row>
    <row r="11" spans="1:13" x14ac:dyDescent="0.3">
      <c r="A11" s="11">
        <v>90</v>
      </c>
      <c r="B11" s="32">
        <v>1.358E-5</v>
      </c>
      <c r="C11" s="22">
        <f t="shared" si="0"/>
        <v>600.41537135667363</v>
      </c>
      <c r="D11" s="28">
        <f>IF(ISNUMBER(B11),AVERAGE(INDEX($B$2:$B$301,MAX(1,10-semi)):INDEX($B$2:$B$301,MIN($M$2,10+semi))),"")</f>
        <v>1.358E-5</v>
      </c>
      <c r="E11" s="28">
        <f t="shared" si="1"/>
        <v>0.511572327797991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603.93555874114611</v>
      </c>
      <c r="I11" s="22">
        <f t="shared" si="3"/>
        <v>115.77833893748107</v>
      </c>
      <c r="J11" s="28">
        <f t="shared" si="4"/>
        <v>0.511572327797991</v>
      </c>
      <c r="K11" s="22">
        <f t="shared" si="5"/>
        <v>1</v>
      </c>
      <c r="L11" s="8" t="s">
        <v>105</v>
      </c>
      <c r="M11" s="17">
        <f>IF($M$9&gt;0,INDEX($H$1:$H$301,$M$9),"")</f>
        <v>603.93555874114611</v>
      </c>
    </row>
    <row r="12" spans="1:13" ht="15.6" x14ac:dyDescent="0.3">
      <c r="A12" s="11">
        <v>100</v>
      </c>
      <c r="B12" s="32">
        <v>7.1770000000000001E-6</v>
      </c>
      <c r="C12" s="22">
        <f t="shared" si="0"/>
        <v>667.12819039630403</v>
      </c>
      <c r="D12" s="28">
        <f>IF(ISNUMBER(B12),AVERAGE(INDEX($B$2:$B$301,MAX(1,11-semi)):INDEX($B$2:$B$301,MIN($M$2,11+semi))),"")</f>
        <v>7.1770000000000001E-6</v>
      </c>
      <c r="E12" s="28">
        <f t="shared" si="1"/>
        <v>0.29225939756591079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182.49115797711147</v>
      </c>
      <c r="J12" s="28">
        <f t="shared" si="4"/>
        <v>0.29225939756591079</v>
      </c>
      <c r="K12" s="22">
        <f t="shared" si="5"/>
        <v>1</v>
      </c>
      <c r="L12" s="8" t="s">
        <v>106</v>
      </c>
      <c r="M12" s="23">
        <f>IF(AND($M$8&gt;0,$M$9&gt;0),ABS($M$11-$M$10),"")</f>
        <v>238.59705264390709</v>
      </c>
    </row>
    <row r="13" spans="1:13" ht="15.6" x14ac:dyDescent="0.3">
      <c r="A13" s="11">
        <v>110</v>
      </c>
      <c r="B13" s="32">
        <v>2.159E-6</v>
      </c>
      <c r="C13" s="22">
        <f t="shared" si="0"/>
        <v>733.84100943593455</v>
      </c>
      <c r="D13" s="28">
        <f>IF(ISNUMBER(B13),AVERAGE(INDEX($B$2:$B$301,MAX(1,12-semi)):INDEX($B$2:$B$301,MIN($M$2,12+semi))),"")</f>
        <v>2.159E-6</v>
      </c>
      <c r="E13" s="28">
        <f t="shared" si="1"/>
        <v>0.12038491936747589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249.20397701674199</v>
      </c>
      <c r="J13" s="28">
        <f t="shared" si="4"/>
        <v>0.12038491936747589</v>
      </c>
      <c r="K13" s="22">
        <f t="shared" si="5"/>
        <v>1</v>
      </c>
      <c r="L13" s="8" t="s">
        <v>107</v>
      </c>
      <c r="M13" s="23">
        <f>IF(ISNUMBER($M$12),factor_forma*$M$12,"")</f>
        <v>155.08808421853962</v>
      </c>
    </row>
    <row r="14" spans="1:13" x14ac:dyDescent="0.3">
      <c r="A14" s="11">
        <v>120</v>
      </c>
      <c r="B14" s="32">
        <v>9.540000000000001E-7</v>
      </c>
      <c r="C14" s="22">
        <f t="shared" si="0"/>
        <v>800.55382847556496</v>
      </c>
      <c r="D14" s="28">
        <f>IF(ISNUMBER(B14),AVERAGE(INDEX($B$2:$B$301,MAX(1,13-semi)):INDEX($B$2:$B$301,MIN($M$2,13+semi))),"")</f>
        <v>9.540000000000001E-7</v>
      </c>
      <c r="E14" s="28">
        <f t="shared" si="1"/>
        <v>7.9111753518708652E-2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315.91679605637239</v>
      </c>
      <c r="J14" s="28">
        <f t="shared" si="4"/>
        <v>7.9111753518708652E-2</v>
      </c>
      <c r="K14" s="22">
        <f t="shared" si="5"/>
        <v>1</v>
      </c>
      <c r="L14" s="8" t="s">
        <v>108</v>
      </c>
      <c r="M14" s="17">
        <f>IF(ISNUMBER($M$12),0.7071*$M$12,"")</f>
        <v>168.7119759245067</v>
      </c>
    </row>
    <row r="15" spans="1:13" x14ac:dyDescent="0.3">
      <c r="A15" s="11">
        <v>130</v>
      </c>
      <c r="B15" s="32">
        <v>2.5269999999999998E-7</v>
      </c>
      <c r="C15" s="22">
        <f t="shared" si="0"/>
        <v>867.26664751519536</v>
      </c>
      <c r="D15" s="28">
        <f>IF(ISNUMBER(B15),AVERAGE(INDEX($B$2:$B$301,MAX(1,14-semi)):INDEX($B$2:$B$301,MIN($M$2,14+semi))),"")</f>
        <v>2.5269999999999998E-7</v>
      </c>
      <c r="E15" s="28">
        <f t="shared" si="1"/>
        <v>5.5091113510625268E-2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382.62961509600279</v>
      </c>
      <c r="J15" s="28">
        <f t="shared" si="4"/>
        <v>5.5091113510625268E-2</v>
      </c>
      <c r="K15" s="22">
        <f t="shared" si="5"/>
        <v>1</v>
      </c>
      <c r="L15" s="8" t="s">
        <v>109</v>
      </c>
      <c r="M15" s="17">
        <f>IF(ISNUMBER($M$12),($M$10+$M$11)/2,$M$7)</f>
        <v>484.63703241919256</v>
      </c>
    </row>
    <row r="16" spans="1:13" x14ac:dyDescent="0.3">
      <c r="A16" s="11">
        <v>140</v>
      </c>
      <c r="B16" s="32">
        <v>-2.775E-8</v>
      </c>
      <c r="C16" s="22">
        <f t="shared" si="0"/>
        <v>933.97946655482576</v>
      </c>
      <c r="D16" s="28">
        <f>IF(ISNUMBER(B16),AVERAGE(INDEX($B$2:$B$301,MAX(1,15-semi)):INDEX($B$2:$B$301,MIN($M$2,15+semi))),"")</f>
        <v>-2.775E-8</v>
      </c>
      <c r="E16" s="28">
        <f t="shared" si="1"/>
        <v>4.5485255118686035E-2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449.3424341356332</v>
      </c>
      <c r="J16" s="28">
        <f t="shared" si="4"/>
        <v>4.5485255118686035E-2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-1.5379999999999999E-7</v>
      </c>
      <c r="C17" s="22">
        <f t="shared" si="0"/>
        <v>1000.6922855944562</v>
      </c>
      <c r="D17" s="28">
        <f>IF(ISNUMBER(B17),AVERAGE(INDEX($B$2:$B$301,MAX(1,16-semi)):INDEX($B$2:$B$301,MIN($M$2,16+semi))),"")</f>
        <v>-1.5379999999999999E-7</v>
      </c>
      <c r="E17" s="28">
        <f t="shared" si="1"/>
        <v>4.1167842209775582E-2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516.0552531752636</v>
      </c>
      <c r="J17" s="28">
        <f t="shared" si="4"/>
        <v>4.1167842209775582E-2</v>
      </c>
      <c r="K17" s="22">
        <f t="shared" si="5"/>
        <v>1</v>
      </c>
      <c r="L17" s="8" t="s">
        <v>110</v>
      </c>
      <c r="M17" s="17">
        <f>IFERROR($M$15-MIN($C$2:$C$301),"")</f>
        <v>484.63703241919256</v>
      </c>
    </row>
    <row r="18" spans="1:13" x14ac:dyDescent="0.3">
      <c r="A18" s="11">
        <v>160</v>
      </c>
      <c r="B18" s="32">
        <v>-1.9570000000000001E-7</v>
      </c>
      <c r="C18" s="22">
        <f t="shared" si="0"/>
        <v>1067.4051046340865</v>
      </c>
      <c r="D18" s="28">
        <f>IF(ISNUMBER(B18),AVERAGE(INDEX($B$2:$B$301,MAX(1,17-semi)):INDEX($B$2:$B$301,MIN($M$2,17+semi))),"")</f>
        <v>-1.9570000000000001E-7</v>
      </c>
      <c r="E18" s="28">
        <f t="shared" si="1"/>
        <v>3.9732700592295618E-2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582.76807221489389</v>
      </c>
      <c r="J18" s="28">
        <f t="shared" si="4"/>
        <v>3.9732700592295618E-2</v>
      </c>
      <c r="K18" s="22" t="str">
        <f t="shared" si="5"/>
        <v/>
      </c>
      <c r="L18" s="8" t="s">
        <v>111</v>
      </c>
      <c r="M18" s="17">
        <f>IFERROR(MAX($C$2:$C$301)-$M$15,"")</f>
        <v>582.76807221489389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-119.29852632195355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119.29852632195355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54" priority="4">
      <formula>ISERROR(I2)</formula>
    </cfRule>
  </conditionalFormatting>
  <conditionalFormatting sqref="L23:M24">
    <cfRule type="containsErrors" dxfId="53" priority="5">
      <formula>ISERROR(L23)</formula>
    </cfRule>
  </conditionalFormatting>
  <conditionalFormatting sqref="M20">
    <cfRule type="cellIs" dxfId="52" priority="1" operator="equal">
      <formula>"OK"</formula>
    </cfRule>
    <cfRule type="beginsWith" dxfId="51" priority="2" operator="beginsWith" text="Aviso">
      <formula>LEFT(M20,5)="Aviso"</formula>
    </cfRule>
    <cfRule type="beginsWith" dxfId="5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A2" sqref="A2:A18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122</v>
      </c>
      <c r="M1" s="6" t="str">
        <f>"Corriente "&amp;IFERROR(INDEX('Registro piloto'!$C$5:$C$19,7),"")</f>
        <v>Corriente I2</v>
      </c>
    </row>
    <row r="2" spans="1:13" x14ac:dyDescent="0.3">
      <c r="A2" s="11">
        <v>0</v>
      </c>
      <c r="B2" s="32">
        <v>-8.3890000000000005E-8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-8.3890000000000005E-8</v>
      </c>
      <c r="E2" s="28" t="str">
        <f t="shared" ref="E2:E65" si="1">IF(AND(ISNUMBER(D2),ISNUMBER($M$4)),(D2-$M$4)/($M$5-$M$4),"")</f>
        <v/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 t="e">
        <f t="shared" ref="I2:I65" si="3">IF(AND(ISNUMBER(E2),ISNUMBER($M$15)),C2-$M$15,NA())</f>
        <v>#N/A</v>
      </c>
      <c r="J2" s="28" t="e">
        <f t="shared" ref="J2:J65" si="4">IF(ISNUMBER(E2),E2,NA())</f>
        <v>#N/A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1.462E-8</v>
      </c>
      <c r="C3" s="22">
        <f t="shared" si="0"/>
        <v>66.712819039630403</v>
      </c>
      <c r="D3" s="28">
        <f>IF(ISNUMBER(B3),AVERAGE(INDEX($B$2:$B$301,MAX(1,2-semi)):INDEX($B$2:$B$301,MIN($M$2,2+semi))),"")</f>
        <v>1.462E-8</v>
      </c>
      <c r="E3" s="28" t="str">
        <f t="shared" si="1"/>
        <v/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 t="e">
        <f t="shared" si="3"/>
        <v>#N/A</v>
      </c>
      <c r="J3" s="28" t="e">
        <f t="shared" si="4"/>
        <v>#N/A</v>
      </c>
      <c r="K3" s="22">
        <f t="shared" si="5"/>
        <v>1</v>
      </c>
      <c r="L3" s="8" t="s">
        <v>97</v>
      </c>
      <c r="M3" s="12">
        <f>COUNT($B$2:$B$301)</f>
        <v>7</v>
      </c>
    </row>
    <row r="4" spans="1:13" x14ac:dyDescent="0.3">
      <c r="A4" s="11">
        <v>20</v>
      </c>
      <c r="B4" s="32">
        <v>2.671E-7</v>
      </c>
      <c r="C4" s="22">
        <f t="shared" si="0"/>
        <v>133.42563807926081</v>
      </c>
      <c r="D4" s="28">
        <f>IF(ISNUMBER(B4),AVERAGE(INDEX($B$2:$B$301,MAX(1,3-semi)):INDEX($B$2:$B$301,MIN($M$2,3+semi))),"")</f>
        <v>2.671E-7</v>
      </c>
      <c r="E4" s="28" t="str">
        <f t="shared" si="1"/>
        <v/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 t="e">
        <f t="shared" si="3"/>
        <v>#N/A</v>
      </c>
      <c r="J4" s="28" t="e">
        <f t="shared" si="4"/>
        <v>#N/A</v>
      </c>
      <c r="K4" s="22">
        <f t="shared" si="5"/>
        <v>1</v>
      </c>
      <c r="L4" s="8" t="s">
        <v>98</v>
      </c>
      <c r="M4" s="19" t="e">
        <f>IF($M$2&lt;2*n_fondo,"",(AVERAGE(INDEX($B$2:$B$301,1):INDEX($B$2:$B$301,n_fondo))+AVERAGE(INDEX($B$2:$B$301,$M$2-n_fondo+1):INDEX($B$2:$B$301,$M$2)))/2)</f>
        <v>#DIV/0!</v>
      </c>
    </row>
    <row r="5" spans="1:13" x14ac:dyDescent="0.3">
      <c r="A5" s="11">
        <v>30</v>
      </c>
      <c r="B5" s="32">
        <v>1.0240000000000001E-6</v>
      </c>
      <c r="C5" s="22">
        <f t="shared" si="0"/>
        <v>200.13845711889124</v>
      </c>
      <c r="D5" s="28">
        <f>IF(ISNUMBER(B5),AVERAGE(INDEX($B$2:$B$301,MAX(1,4-semi)):INDEX($B$2:$B$301,MIN($M$2,4+semi))),"")</f>
        <v>1.0240000000000001E-6</v>
      </c>
      <c r="E5" s="28" t="str">
        <f t="shared" si="1"/>
        <v/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 t="e">
        <f t="shared" si="3"/>
        <v>#N/A</v>
      </c>
      <c r="J5" s="28" t="e">
        <f t="shared" si="4"/>
        <v>#N/A</v>
      </c>
      <c r="K5" s="22">
        <f t="shared" si="5"/>
        <v>1</v>
      </c>
      <c r="L5" s="8" t="s">
        <v>99</v>
      </c>
      <c r="M5" s="19">
        <f>IF($M$2&lt;2*n_fondo,"",MAX($D$2:$D$301))</f>
        <v>1.9959999999999999E-5</v>
      </c>
    </row>
    <row r="6" spans="1:13" x14ac:dyDescent="0.3">
      <c r="A6" s="11">
        <v>40</v>
      </c>
      <c r="B6" s="32">
        <v>3.0979999999999998E-6</v>
      </c>
      <c r="C6" s="22">
        <f t="shared" si="0"/>
        <v>266.85127615852161</v>
      </c>
      <c r="D6" s="28">
        <f>IF(ISNUMBER(B6),AVERAGE(INDEX($B$2:$B$301,MAX(1,5-semi)):INDEX($B$2:$B$301,MIN($M$2,5+semi))),"")</f>
        <v>3.0979999999999998E-6</v>
      </c>
      <c r="E6" s="28" t="str">
        <f t="shared" si="1"/>
        <v/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 t="e">
        <f t="shared" si="3"/>
        <v>#N/A</v>
      </c>
      <c r="J6" s="28" t="e">
        <f t="shared" si="4"/>
        <v>#N/A</v>
      </c>
      <c r="K6" s="22">
        <f t="shared" si="5"/>
        <v>1</v>
      </c>
      <c r="L6" s="8" t="s">
        <v>100</v>
      </c>
      <c r="M6" s="12">
        <f>IFERROR(MATCH($M$5,$D$2:$D$301,0)+1,"")</f>
        <v>8</v>
      </c>
    </row>
    <row r="7" spans="1:13" x14ac:dyDescent="0.3">
      <c r="A7" s="11">
        <v>50</v>
      </c>
      <c r="B7" s="32">
        <v>1.043E-5</v>
      </c>
      <c r="C7" s="22">
        <f t="shared" si="0"/>
        <v>333.56409519815202</v>
      </c>
      <c r="D7" s="28">
        <f>IF(ISNUMBER(B7),AVERAGE(INDEX($B$2:$B$301,MAX(1,6-semi)):INDEX($B$2:$B$301,MIN($M$2,6+semi))),"")</f>
        <v>1.043E-5</v>
      </c>
      <c r="E7" s="28" t="str">
        <f t="shared" si="1"/>
        <v/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 t="e">
        <f t="shared" si="3"/>
        <v>#N/A</v>
      </c>
      <c r="J7" s="28" t="e">
        <f t="shared" si="4"/>
        <v>#N/A</v>
      </c>
      <c r="K7" s="22">
        <f t="shared" si="5"/>
        <v>1</v>
      </c>
      <c r="L7" s="8" t="s">
        <v>101</v>
      </c>
      <c r="M7" s="17">
        <f>IFERROR(INDEX($C$1:$C$301,$M$6),"")</f>
        <v>400.27691423778248</v>
      </c>
    </row>
    <row r="8" spans="1:13" x14ac:dyDescent="0.3">
      <c r="A8" s="11">
        <v>60</v>
      </c>
      <c r="B8" s="32">
        <v>1.9959999999999999E-5</v>
      </c>
      <c r="C8" s="22">
        <f t="shared" si="0"/>
        <v>400.27691423778248</v>
      </c>
      <c r="D8" s="28">
        <f>IF(ISNUMBER(B8),AVERAGE(INDEX($B$2:$B$301,MAX(1,7-semi)):INDEX($B$2:$B$301,MIN($M$2,7+semi))),"")</f>
        <v>1.9959999999999999E-5</v>
      </c>
      <c r="E8" s="28" t="str">
        <f t="shared" si="1"/>
        <v/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 t="e">
        <f t="shared" si="3"/>
        <v>#N/A</v>
      </c>
      <c r="J8" s="28" t="e">
        <f t="shared" si="4"/>
        <v>#N/A</v>
      </c>
      <c r="K8" s="22">
        <f t="shared" si="5"/>
        <v>1</v>
      </c>
      <c r="L8" s="8" t="s">
        <v>102</v>
      </c>
      <c r="M8" s="12">
        <f>MAX($F$2:$F$301)</f>
        <v>0</v>
      </c>
    </row>
    <row r="9" spans="1:13" x14ac:dyDescent="0.3">
      <c r="A9" s="11">
        <v>70</v>
      </c>
      <c r="C9" s="22">
        <f t="shared" si="0"/>
        <v>466.98973327741288</v>
      </c>
      <c r="D9" s="28" t="str">
        <f>IF(ISNUMBER(B9),AVERAGE(INDEX($B$2:$B$301,MAX(1,8-semi)):INDEX($B$2:$B$301,MIN($M$2,8+semi))),"")</f>
        <v/>
      </c>
      <c r="E9" s="28" t="str">
        <f t="shared" si="1"/>
        <v/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 t="e">
        <f t="shared" si="3"/>
        <v>#N/A</v>
      </c>
      <c r="J9" s="28" t="e">
        <f t="shared" si="4"/>
        <v>#N/A</v>
      </c>
      <c r="K9" s="22">
        <f t="shared" si="5"/>
        <v>1</v>
      </c>
      <c r="L9" s="8" t="s">
        <v>103</v>
      </c>
      <c r="M9" s="12">
        <f>MIN($G$2:$G$301)</f>
        <v>0</v>
      </c>
    </row>
    <row r="10" spans="1:13" x14ac:dyDescent="0.3">
      <c r="A10" s="11">
        <v>80</v>
      </c>
      <c r="C10" s="22">
        <f t="shared" si="0"/>
        <v>533.70255231704323</v>
      </c>
      <c r="D10" s="28" t="str">
        <f>IF(ISNUMBER(B10),AVERAGE(INDEX($B$2:$B$301,MAX(1,9-semi)):INDEX($B$2:$B$301,MIN($M$2,9+semi))),"")</f>
        <v/>
      </c>
      <c r="E10" s="28" t="str">
        <f t="shared" si="1"/>
        <v/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 t="e">
        <f t="shared" si="3"/>
        <v>#N/A</v>
      </c>
      <c r="J10" s="28" t="e">
        <f t="shared" si="4"/>
        <v>#N/A</v>
      </c>
      <c r="K10" s="22">
        <f t="shared" si="5"/>
        <v>1</v>
      </c>
      <c r="L10" s="8" t="s">
        <v>104</v>
      </c>
      <c r="M10" s="17" t="str">
        <f>IF($M$8&gt;0,INDEX($H$1:$H$301,$M$8),"")</f>
        <v/>
      </c>
    </row>
    <row r="11" spans="1:13" x14ac:dyDescent="0.3">
      <c r="A11" s="11">
        <v>90</v>
      </c>
      <c r="C11" s="22">
        <f t="shared" si="0"/>
        <v>600.41537135667363</v>
      </c>
      <c r="D11" s="28" t="str">
        <f>IF(ISNUMBER(B11),AVERAGE(INDEX($B$2:$B$301,MAX(1,10-semi)):INDEX($B$2:$B$301,MIN($M$2,10+semi))),"")</f>
        <v/>
      </c>
      <c r="E11" s="28" t="str">
        <f t="shared" si="1"/>
        <v/>
      </c>
      <c r="F11" s="22" t="str">
        <f>IF(AND(ISNUMBER(E11),ISNUMBER(E12),ISNUMBER($M$6)),IF(AND(11&lt;$M$6,E11&lt;0.5,E12&gt;=0.5),11,""),"")</f>
        <v/>
      </c>
      <c r="G11" s="22" t="str">
        <f>IF(AND(ISNUMBER(E11),ISNUMBER(E12),ISNUMBER($M$6)),IF(AND(11&gt;=$M$6,E11&gt;=0.5,E12&lt;0.5),11,""),"")</f>
        <v/>
      </c>
      <c r="H11" s="22" t="str">
        <f t="shared" si="2"/>
        <v/>
      </c>
      <c r="I11" s="22" t="e">
        <f t="shared" si="3"/>
        <v>#N/A</v>
      </c>
      <c r="J11" s="28" t="e">
        <f t="shared" si="4"/>
        <v>#N/A</v>
      </c>
      <c r="K11" s="22">
        <f t="shared" si="5"/>
        <v>1</v>
      </c>
      <c r="L11" s="8" t="s">
        <v>105</v>
      </c>
      <c r="M11" s="17" t="str">
        <f>IF($M$9&gt;0,INDEX($H$1:$H$301,$M$9),"")</f>
        <v/>
      </c>
    </row>
    <row r="12" spans="1:13" ht="15.6" x14ac:dyDescent="0.3">
      <c r="A12" s="11">
        <v>100</v>
      </c>
      <c r="C12" s="22">
        <f t="shared" si="0"/>
        <v>667.12819039630403</v>
      </c>
      <c r="D12" s="28" t="str">
        <f>IF(ISNUMBER(B12),AVERAGE(INDEX($B$2:$B$301,MAX(1,11-semi)):INDEX($B$2:$B$301,MIN($M$2,11+semi))),"")</f>
        <v/>
      </c>
      <c r="E12" s="28" t="str">
        <f t="shared" si="1"/>
        <v/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 t="e">
        <f t="shared" si="3"/>
        <v>#N/A</v>
      </c>
      <c r="J12" s="28" t="e">
        <f t="shared" si="4"/>
        <v>#N/A</v>
      </c>
      <c r="K12" s="22">
        <f t="shared" si="5"/>
        <v>1</v>
      </c>
      <c r="L12" s="8" t="s">
        <v>106</v>
      </c>
      <c r="M12" s="23" t="str">
        <f>IF(AND($M$8&gt;0,$M$9&gt;0),ABS($M$11-$M$10),"")</f>
        <v/>
      </c>
    </row>
    <row r="13" spans="1:13" ht="15.6" x14ac:dyDescent="0.3">
      <c r="A13" s="11">
        <v>110</v>
      </c>
      <c r="C13" s="22">
        <f t="shared" si="0"/>
        <v>733.84100943593455</v>
      </c>
      <c r="D13" s="28" t="str">
        <f>IF(ISNUMBER(B13),AVERAGE(INDEX($B$2:$B$301,MAX(1,12-semi)):INDEX($B$2:$B$301,MIN($M$2,12+semi))),"")</f>
        <v/>
      </c>
      <c r="E13" s="28" t="str">
        <f t="shared" si="1"/>
        <v/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 t="e">
        <f t="shared" si="3"/>
        <v>#N/A</v>
      </c>
      <c r="J13" s="28" t="e">
        <f t="shared" si="4"/>
        <v>#N/A</v>
      </c>
      <c r="K13" s="22">
        <f t="shared" si="5"/>
        <v>1</v>
      </c>
      <c r="L13" s="8" t="s">
        <v>107</v>
      </c>
      <c r="M13" s="23" t="str">
        <f>IF(ISNUMBER($M$12),factor_forma*$M$12,"")</f>
        <v/>
      </c>
    </row>
    <row r="14" spans="1:13" x14ac:dyDescent="0.3">
      <c r="A14" s="11">
        <v>120</v>
      </c>
      <c r="C14" s="22">
        <f t="shared" si="0"/>
        <v>800.55382847556496</v>
      </c>
      <c r="D14" s="28" t="str">
        <f>IF(ISNUMBER(B14),AVERAGE(INDEX($B$2:$B$301,MAX(1,13-semi)):INDEX($B$2:$B$301,MIN($M$2,13+semi))),"")</f>
        <v/>
      </c>
      <c r="E14" s="28" t="str">
        <f t="shared" si="1"/>
        <v/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 t="e">
        <f t="shared" si="3"/>
        <v>#N/A</v>
      </c>
      <c r="J14" s="28" t="e">
        <f t="shared" si="4"/>
        <v>#N/A</v>
      </c>
      <c r="K14" s="22">
        <f t="shared" si="5"/>
        <v>1</v>
      </c>
      <c r="L14" s="8" t="s">
        <v>108</v>
      </c>
      <c r="M14" s="17" t="str">
        <f>IF(ISNUMBER($M$12),0.7071*$M$12,"")</f>
        <v/>
      </c>
    </row>
    <row r="15" spans="1:13" x14ac:dyDescent="0.3">
      <c r="A15" s="11">
        <v>130</v>
      </c>
      <c r="C15" s="22">
        <f t="shared" si="0"/>
        <v>867.26664751519536</v>
      </c>
      <c r="D15" s="28" t="str">
        <f>IF(ISNUMBER(B15),AVERAGE(INDEX($B$2:$B$301,MAX(1,14-semi)):INDEX($B$2:$B$301,MIN($M$2,14+semi))),"")</f>
        <v/>
      </c>
      <c r="E15" s="28" t="str">
        <f t="shared" si="1"/>
        <v/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 t="e">
        <f t="shared" si="3"/>
        <v>#N/A</v>
      </c>
      <c r="J15" s="28" t="e">
        <f t="shared" si="4"/>
        <v>#N/A</v>
      </c>
      <c r="K15" s="22">
        <f t="shared" si="5"/>
        <v>1</v>
      </c>
      <c r="L15" s="8" t="s">
        <v>109</v>
      </c>
      <c r="M15" s="17">
        <f>IF(ISNUMBER($M$12),($M$10+$M$11)/2,$M$7)</f>
        <v>400.27691423778248</v>
      </c>
    </row>
    <row r="16" spans="1:13" x14ac:dyDescent="0.3">
      <c r="A16" s="11">
        <v>140</v>
      </c>
      <c r="C16" s="22">
        <f t="shared" si="0"/>
        <v>933.97946655482576</v>
      </c>
      <c r="D16" s="28" t="str">
        <f>IF(ISNUMBER(B16),AVERAGE(INDEX($B$2:$B$301,MAX(1,15-semi)):INDEX($B$2:$B$301,MIN($M$2,15+semi))),"")</f>
        <v/>
      </c>
      <c r="E16" s="28" t="str">
        <f t="shared" si="1"/>
        <v/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 t="e">
        <f t="shared" si="3"/>
        <v>#N/A</v>
      </c>
      <c r="J16" s="28" t="e">
        <f t="shared" si="4"/>
        <v>#N/A</v>
      </c>
      <c r="K16" s="22">
        <f t="shared" si="5"/>
        <v>1</v>
      </c>
      <c r="L16" s="8" t="s">
        <v>79</v>
      </c>
      <c r="M16" s="12">
        <f>COUNTIF($E$2:$E$301,"&gt;=0.5")</f>
        <v>0</v>
      </c>
    </row>
    <row r="17" spans="1:13" x14ac:dyDescent="0.3">
      <c r="A17" s="11">
        <v>150</v>
      </c>
      <c r="C17" s="22">
        <f t="shared" si="0"/>
        <v>1000.6922855944562</v>
      </c>
      <c r="D17" s="28" t="str">
        <f>IF(ISNUMBER(B17),AVERAGE(INDEX($B$2:$B$301,MAX(1,16-semi)):INDEX($B$2:$B$301,MIN($M$2,16+semi))),"")</f>
        <v/>
      </c>
      <c r="E17" s="28" t="str">
        <f t="shared" si="1"/>
        <v/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 t="e">
        <f t="shared" si="3"/>
        <v>#N/A</v>
      </c>
      <c r="J17" s="28" t="e">
        <f t="shared" si="4"/>
        <v>#N/A</v>
      </c>
      <c r="K17" s="22">
        <f t="shared" si="5"/>
        <v>1</v>
      </c>
      <c r="L17" s="8" t="s">
        <v>110</v>
      </c>
      <c r="M17" s="17">
        <f>IFERROR($M$15-MIN($C$2:$C$301),"")</f>
        <v>400.27691423778248</v>
      </c>
    </row>
    <row r="18" spans="1:13" x14ac:dyDescent="0.3">
      <c r="A18" s="11">
        <v>160</v>
      </c>
      <c r="C18" s="22">
        <f t="shared" si="0"/>
        <v>1067.4051046340865</v>
      </c>
      <c r="D18" s="28" t="str">
        <f>IF(ISNUMBER(B18),AVERAGE(INDEX($B$2:$B$301,MAX(1,17-semi)):INDEX($B$2:$B$301,MIN($M$2,17+semi))),"")</f>
        <v/>
      </c>
      <c r="E18" s="28" t="str">
        <f t="shared" si="1"/>
        <v/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 t="e">
        <f t="shared" si="3"/>
        <v>#N/A</v>
      </c>
      <c r="J18" s="28" t="e">
        <f t="shared" si="4"/>
        <v>#N/A</v>
      </c>
      <c r="K18" s="22" t="str">
        <f t="shared" si="5"/>
        <v/>
      </c>
      <c r="L18" s="8" t="s">
        <v>111</v>
      </c>
      <c r="M18" s="17">
        <f>IFERROR(MAX($C$2:$C$301)-$M$15,"")</f>
        <v>667.12819039630403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Revisar: columnas A y B con distinto número de datos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 t="e">
        <f>IF(ISNUMBER($M$12),$M$10-$M$15,NA())</f>
        <v>#N/A</v>
      </c>
      <c r="M23" s="22" t="e">
        <f>IF(ISNUMBER($M$12),0.5,NA())</f>
        <v>#N/A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 t="e">
        <f>IF(ISNUMBER($M$12),$M$11-$M$15,NA())</f>
        <v>#N/A</v>
      </c>
      <c r="M24" s="22" t="e">
        <f>IF(ISNUMBER($M$12),0.5,NA())</f>
        <v>#N/A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49" priority="4">
      <formula>ISERROR(I2)</formula>
    </cfRule>
  </conditionalFormatting>
  <conditionalFormatting sqref="L23:M24">
    <cfRule type="containsErrors" dxfId="48" priority="5">
      <formula>ISERROR(L23)</formula>
    </cfRule>
  </conditionalFormatting>
  <conditionalFormatting sqref="M20">
    <cfRule type="cellIs" dxfId="47" priority="1" operator="equal">
      <formula>"OK"</formula>
    </cfRule>
    <cfRule type="beginsWith" dxfId="46" priority="2" operator="beginsWith" text="Aviso">
      <formula>LEFT(M20,5)="Aviso"</formula>
    </cfRule>
    <cfRule type="beginsWith" dxfId="4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301"/>
  <sheetViews>
    <sheetView topLeftCell="B1" workbookViewId="0">
      <pane ySplit="1" topLeftCell="A36" activePane="bottomLeft" state="frozen"/>
      <selection pane="bottomLeft" activeCell="A2" sqref="A2:A18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123</v>
      </c>
      <c r="M1" s="6" t="str">
        <f>"Corriente "&amp;IFERROR(INDEX('Registro piloto'!$C$5:$C$19,8),"")</f>
        <v>Corriente I3</v>
      </c>
    </row>
    <row r="2" spans="1:13" x14ac:dyDescent="0.3">
      <c r="A2" s="11">
        <v>0</v>
      </c>
      <c r="B2" s="32">
        <v>1.3979999999999999E-7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1.3979999999999999E-7</v>
      </c>
      <c r="E2" s="28">
        <f t="shared" ref="E2:E65" si="1">IF(AND(ISNUMBER(D2),ISNUMBER($M$4)),(D2-$M$4)/($M$5-$M$4),"")</f>
        <v>-4.0351924997616018E-3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-455.03198002977649</v>
      </c>
      <c r="J2" s="28">
        <f t="shared" ref="J2:J65" si="4">IF(ISNUMBER(E2),E2,NA())</f>
        <v>-4.0351924997616018E-3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2.5170000000000001E-7</v>
      </c>
      <c r="C3" s="22">
        <f t="shared" si="0"/>
        <v>66.712819039630403</v>
      </c>
      <c r="D3" s="28">
        <f>IF(ISNUMBER(B3),AVERAGE(INDEX($B$2:$B$301,MAX(1,2-semi)):INDEX($B$2:$B$301,MIN($M$2,2+semi))),"")</f>
        <v>2.5170000000000001E-7</v>
      </c>
      <c r="E3" s="28">
        <f t="shared" si="1"/>
        <v>-1.2271201072036209E-3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-388.31916099014609</v>
      </c>
      <c r="J3" s="28">
        <f t="shared" si="4"/>
        <v>-1.2271201072036209E-3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6.9910000000000001E-7</v>
      </c>
      <c r="C4" s="22">
        <f t="shared" si="0"/>
        <v>133.42563807926081</v>
      </c>
      <c r="D4" s="28">
        <f>IF(ISNUMBER(B4),AVERAGE(INDEX($B$2:$B$301,MAX(1,3-semi)):INDEX($B$2:$B$301,MIN($M$2,3+semi))),"")</f>
        <v>6.9910000000000001E-7</v>
      </c>
      <c r="E4" s="28">
        <f t="shared" si="1"/>
        <v>1.000015056688432E-2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-321.60634195051568</v>
      </c>
      <c r="J4" s="28">
        <f t="shared" si="4"/>
        <v>1.000015056688432E-2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3.0059999999999998E-7</v>
      </c>
    </row>
    <row r="5" spans="1:13" x14ac:dyDescent="0.3">
      <c r="A5" s="11">
        <v>30</v>
      </c>
      <c r="B5" s="32">
        <v>2.5210000000000001E-6</v>
      </c>
      <c r="C5" s="22">
        <f t="shared" si="0"/>
        <v>200.13845711889124</v>
      </c>
      <c r="D5" s="28">
        <f>IF(ISNUMBER(B5),AVERAGE(INDEX($B$2:$B$301,MAX(1,4-semi)):INDEX($B$2:$B$301,MIN($M$2,4+semi))),"")</f>
        <v>2.5210000000000001E-6</v>
      </c>
      <c r="E5" s="28">
        <f t="shared" si="1"/>
        <v>5.5719784990489192E-2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-254.89352291088525</v>
      </c>
      <c r="J5" s="28">
        <f t="shared" si="4"/>
        <v>5.5719784990489192E-2</v>
      </c>
      <c r="K5" s="22">
        <f t="shared" si="5"/>
        <v>1</v>
      </c>
      <c r="L5" s="8" t="s">
        <v>99</v>
      </c>
      <c r="M5" s="19">
        <f>IF($M$2&lt;2*n_fondo,"",MAX($D$2:$D$301))</f>
        <v>4.015E-5</v>
      </c>
    </row>
    <row r="6" spans="1:13" x14ac:dyDescent="0.3">
      <c r="A6" s="11">
        <v>40</v>
      </c>
      <c r="B6" s="32">
        <v>6.6019999999999996E-6</v>
      </c>
      <c r="C6" s="22">
        <f t="shared" si="0"/>
        <v>266.85127615852161</v>
      </c>
      <c r="D6" s="28">
        <f>IF(ISNUMBER(B6),AVERAGE(INDEX($B$2:$B$301,MAX(1,5-semi)):INDEX($B$2:$B$301,MIN($M$2,5+semi))),"")</f>
        <v>6.6019999999999996E-6</v>
      </c>
      <c r="E6" s="28">
        <f t="shared" si="1"/>
        <v>0.15813036080844378</v>
      </c>
      <c r="F6" s="22">
        <f>IF(AND(ISNUMBER(E6),ISNUMBER(E7),ISNUMBER($M$6)),IF(AND(6&lt;$M$6,E6&lt;0.5,E7&gt;=0.5),6,""),"")</f>
        <v>6</v>
      </c>
      <c r="G6" s="22" t="str">
        <f>IF(AND(ISNUMBER(E6),ISNUMBER(E7),ISNUMBER($M$6)),IF(AND(6&gt;=$M$6,E6&gt;=0.5,E7&lt;0.5),6,""),"")</f>
        <v/>
      </c>
      <c r="H6" s="22">
        <f t="shared" si="2"/>
        <v>333.0552933221723</v>
      </c>
      <c r="I6" s="22">
        <f t="shared" si="3"/>
        <v>-188.18070387125488</v>
      </c>
      <c r="J6" s="28">
        <f t="shared" si="4"/>
        <v>0.15813036080844378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2.033E-5</v>
      </c>
      <c r="C7" s="22">
        <f t="shared" si="0"/>
        <v>333.56409519815202</v>
      </c>
      <c r="D7" s="28">
        <f>IF(ISNUMBER(B7),AVERAGE(INDEX($B$2:$B$301,MAX(1,6-semi)):INDEX($B$2:$B$301,MIN($M$2,6+semi))),"")</f>
        <v>2.033E-5</v>
      </c>
      <c r="E7" s="28">
        <f t="shared" si="1"/>
        <v>0.50262739213137464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-121.46788483162447</v>
      </c>
      <c r="J7" s="28">
        <f t="shared" si="4"/>
        <v>0.50262739213137464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3.5330000000000002E-5</v>
      </c>
      <c r="C8" s="22">
        <f t="shared" si="0"/>
        <v>400.27691423778248</v>
      </c>
      <c r="D8" s="28">
        <f>IF(ISNUMBER(B8),AVERAGE(INDEX($B$2:$B$301,MAX(1,7-semi)):INDEX($B$2:$B$301,MIN($M$2,7+semi))),"")</f>
        <v>3.5330000000000002E-5</v>
      </c>
      <c r="E8" s="28">
        <f t="shared" si="1"/>
        <v>0.87904460293003162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-54.755065791994014</v>
      </c>
      <c r="J8" s="28">
        <f t="shared" si="4"/>
        <v>0.87904460293003162</v>
      </c>
      <c r="K8" s="22">
        <f t="shared" si="5"/>
        <v>1</v>
      </c>
      <c r="L8" s="8" t="s">
        <v>102</v>
      </c>
      <c r="M8" s="12">
        <f>MAX($F$2:$F$301)</f>
        <v>6</v>
      </c>
    </row>
    <row r="9" spans="1:13" x14ac:dyDescent="0.3">
      <c r="A9" s="11">
        <v>70</v>
      </c>
      <c r="B9" s="32">
        <v>4.015E-5</v>
      </c>
      <c r="C9" s="22">
        <f t="shared" si="0"/>
        <v>466.98973327741288</v>
      </c>
      <c r="D9" s="28">
        <f>IF(ISNUMBER(B9),AVERAGE(INDEX($B$2:$B$301,MAX(1,8-semi)):INDEX($B$2:$B$301,MIN($M$2,8+semi))),"")</f>
        <v>4.015E-5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11.95775324763639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10</v>
      </c>
    </row>
    <row r="10" spans="1:13" x14ac:dyDescent="0.3">
      <c r="A10" s="11">
        <v>80</v>
      </c>
      <c r="B10" s="32">
        <v>3.0670000000000003E-5</v>
      </c>
      <c r="C10" s="22">
        <f t="shared" si="0"/>
        <v>533.70255231704323</v>
      </c>
      <c r="D10" s="28">
        <f>IF(ISNUMBER(B10),AVERAGE(INDEX($B$2:$B$301,MAX(1,9-semi)):INDEX($B$2:$B$301,MIN($M$2,9+semi))),"")</f>
        <v>3.0670000000000003E-5</v>
      </c>
      <c r="E10" s="28">
        <f t="shared" si="1"/>
        <v>0.76210432277524898</v>
      </c>
      <c r="F10" s="22" t="str">
        <f>IF(AND(ISNUMBER(E10),ISNUMBER(E11),ISNUMBER($M$6)),IF(AND(10&lt;$M$6,E10&lt;0.5,E11&gt;=0.5),10,""),"")</f>
        <v/>
      </c>
      <c r="G10" s="22">
        <f>IF(AND(ISNUMBER(E10),ISNUMBER(E11),ISNUMBER($M$6)),IF(AND(10&gt;=$M$6,E10&gt;=0.5,E11&lt;0.5),10,""),"")</f>
        <v>10</v>
      </c>
      <c r="H10" s="22">
        <f t="shared" si="2"/>
        <v>577.00866673738062</v>
      </c>
      <c r="I10" s="22">
        <f t="shared" si="3"/>
        <v>78.670572287266737</v>
      </c>
      <c r="J10" s="28">
        <f t="shared" si="4"/>
        <v>0.76210432277524898</v>
      </c>
      <c r="K10" s="22">
        <f t="shared" si="5"/>
        <v>1</v>
      </c>
      <c r="L10" s="8" t="s">
        <v>104</v>
      </c>
      <c r="M10" s="17">
        <f>IF($M$8&gt;0,INDEX($H$1:$H$301,$M$8),"")</f>
        <v>333.0552933221723</v>
      </c>
    </row>
    <row r="11" spans="1:13" x14ac:dyDescent="0.3">
      <c r="A11" s="11">
        <v>90</v>
      </c>
      <c r="B11" s="32">
        <v>1.4579999999999999E-5</v>
      </c>
      <c r="C11" s="22">
        <f t="shared" si="0"/>
        <v>600.41537135667363</v>
      </c>
      <c r="D11" s="28">
        <f>IF(ISNUMBER(B11),AVERAGE(INDEX($B$2:$B$301,MAX(1,10-semi)):INDEX($B$2:$B$301,MIN($M$2,10+semi))),"")</f>
        <v>1.4579999999999999E-5</v>
      </c>
      <c r="E11" s="28">
        <f t="shared" si="1"/>
        <v>0.35833412799188946</v>
      </c>
      <c r="F11" s="22" t="str">
        <f>IF(AND(ISNUMBER(E11),ISNUMBER(E12),ISNUMBER($M$6)),IF(AND(11&lt;$M$6,E11&lt;0.5,E12&gt;=0.5),11,""),"")</f>
        <v/>
      </c>
      <c r="G11" s="22" t="str">
        <f>IF(AND(ISNUMBER(E11),ISNUMBER(E12),ISNUMBER($M$6)),IF(AND(11&gt;=$M$6,E11&gt;=0.5,E12&lt;0.5),11,""),"")</f>
        <v/>
      </c>
      <c r="H11" s="22" t="str">
        <f t="shared" si="2"/>
        <v/>
      </c>
      <c r="I11" s="22">
        <f t="shared" si="3"/>
        <v>145.38339132689714</v>
      </c>
      <c r="J11" s="28">
        <f t="shared" si="4"/>
        <v>0.35833412799188946</v>
      </c>
      <c r="K11" s="22">
        <f t="shared" si="5"/>
        <v>1</v>
      </c>
      <c r="L11" s="8" t="s">
        <v>105</v>
      </c>
      <c r="M11" s="17">
        <f>IF($M$9&gt;0,INDEX($H$1:$H$301,$M$9),"")</f>
        <v>577.00866673738062</v>
      </c>
    </row>
    <row r="12" spans="1:13" ht="15.6" x14ac:dyDescent="0.3">
      <c r="A12" s="11">
        <v>100</v>
      </c>
      <c r="B12" s="32">
        <v>4.3290000000000004E-6</v>
      </c>
      <c r="C12" s="22">
        <f t="shared" si="0"/>
        <v>667.12819039630403</v>
      </c>
      <c r="D12" s="28">
        <f>IF(ISNUMBER(B12),AVERAGE(INDEX($B$2:$B$301,MAX(1,11-semi)):INDEX($B$2:$B$301,MIN($M$2,11+semi))),"")</f>
        <v>4.3290000000000004E-6</v>
      </c>
      <c r="E12" s="28">
        <f t="shared" si="1"/>
        <v>0.10109060613208731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212.09621036652754</v>
      </c>
      <c r="J12" s="28">
        <f t="shared" si="4"/>
        <v>0.10109060613208731</v>
      </c>
      <c r="K12" s="22">
        <f t="shared" si="5"/>
        <v>1</v>
      </c>
      <c r="L12" s="8" t="s">
        <v>106</v>
      </c>
      <c r="M12" s="23">
        <f>IF(AND($M$8&gt;0,$M$9&gt;0),ABS($M$11-$M$10),"")</f>
        <v>243.95337341520832</v>
      </c>
    </row>
    <row r="13" spans="1:13" ht="15.6" x14ac:dyDescent="0.3">
      <c r="A13" s="11">
        <v>110</v>
      </c>
      <c r="B13" s="32">
        <v>1.6819999999999999E-6</v>
      </c>
      <c r="C13" s="22">
        <f t="shared" si="0"/>
        <v>733.84100943593455</v>
      </c>
      <c r="D13" s="28">
        <f>IF(ISNUMBER(B13),AVERAGE(INDEX($B$2:$B$301,MAX(1,12-semi)):INDEX($B$2:$B$301,MIN($M$2,12+semi))),"")</f>
        <v>1.6819999999999999E-6</v>
      </c>
      <c r="E13" s="28">
        <f t="shared" si="1"/>
        <v>3.4665515666484313E-2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278.80902940615806</v>
      </c>
      <c r="J13" s="28">
        <f t="shared" si="4"/>
        <v>3.4665515666484313E-2</v>
      </c>
      <c r="K13" s="22">
        <f t="shared" si="5"/>
        <v>1</v>
      </c>
      <c r="L13" s="8" t="s">
        <v>107</v>
      </c>
      <c r="M13" s="23">
        <f>IF(ISNUMBER($M$12),factor_forma*$M$12,"")</f>
        <v>158.56969271988541</v>
      </c>
    </row>
    <row r="14" spans="1:13" x14ac:dyDescent="0.3">
      <c r="A14" s="11">
        <v>120</v>
      </c>
      <c r="B14" s="32">
        <v>4.1940000000000001E-7</v>
      </c>
      <c r="C14" s="22">
        <f t="shared" si="0"/>
        <v>800.55382847556496</v>
      </c>
      <c r="D14" s="28">
        <f>IF(ISNUMBER(B14),AVERAGE(INDEX($B$2:$B$301,MAX(1,13-semi)):INDEX($B$2:$B$301,MIN($M$2,13+semi))),"")</f>
        <v>4.1940000000000001E-7</v>
      </c>
      <c r="E14" s="28">
        <f t="shared" si="1"/>
        <v>2.9812243095253639E-3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345.52184844578846</v>
      </c>
      <c r="J14" s="28">
        <f t="shared" si="4"/>
        <v>2.9812243095253639E-3</v>
      </c>
      <c r="K14" s="22">
        <f t="shared" si="5"/>
        <v>1</v>
      </c>
      <c r="L14" s="8" t="s">
        <v>108</v>
      </c>
      <c r="M14" s="17">
        <f>IF(ISNUMBER($M$12),0.7071*$M$12,"")</f>
        <v>172.4994303418938</v>
      </c>
    </row>
    <row r="15" spans="1:13" x14ac:dyDescent="0.3">
      <c r="A15" s="11">
        <v>130</v>
      </c>
      <c r="B15" s="32">
        <v>1.3979999999999999E-7</v>
      </c>
      <c r="C15" s="22">
        <f t="shared" si="0"/>
        <v>867.26664751519536</v>
      </c>
      <c r="D15" s="28">
        <f>IF(ISNUMBER(B15),AVERAGE(INDEX($B$2:$B$301,MAX(1,14-semi)):INDEX($B$2:$B$301,MIN($M$2,14+semi))),"")</f>
        <v>1.3979999999999999E-7</v>
      </c>
      <c r="E15" s="28">
        <f t="shared" si="1"/>
        <v>-4.0351924997616018E-3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412.23466748541887</v>
      </c>
      <c r="J15" s="28">
        <f t="shared" si="4"/>
        <v>-4.0351924997616018E-3</v>
      </c>
      <c r="K15" s="22">
        <f t="shared" si="5"/>
        <v>1</v>
      </c>
      <c r="L15" s="8" t="s">
        <v>109</v>
      </c>
      <c r="M15" s="17">
        <f>IF(ISNUMBER($M$12),($M$10+$M$11)/2,$M$7)</f>
        <v>455.03198002977649</v>
      </c>
    </row>
    <row r="16" spans="1:13" x14ac:dyDescent="0.3">
      <c r="A16" s="11">
        <v>140</v>
      </c>
      <c r="B16" s="32">
        <v>1.3979999999999999E-7</v>
      </c>
      <c r="C16" s="22">
        <f t="shared" si="0"/>
        <v>933.97946655482576</v>
      </c>
      <c r="D16" s="28">
        <f>IF(ISNUMBER(B16),AVERAGE(INDEX($B$2:$B$301,MAX(1,15-semi)):INDEX($B$2:$B$301,MIN($M$2,15+semi))),"")</f>
        <v>1.3979999999999999E-7</v>
      </c>
      <c r="E16" s="28">
        <f t="shared" si="1"/>
        <v>-4.0351924997616018E-3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478.94748652504927</v>
      </c>
      <c r="J16" s="28">
        <f t="shared" si="4"/>
        <v>-4.0351924997616018E-3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2.7959999999999999E-7</v>
      </c>
      <c r="C17" s="22">
        <f t="shared" si="0"/>
        <v>1000.6922855944562</v>
      </c>
      <c r="D17" s="28">
        <f>IF(ISNUMBER(B17),AVERAGE(INDEX($B$2:$B$301,MAX(1,16-semi)):INDEX($B$2:$B$301,MIN($M$2,16+semi))),"")</f>
        <v>2.7959999999999999E-7</v>
      </c>
      <c r="E17" s="28">
        <f t="shared" si="1"/>
        <v>-5.2698409511811953E-4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545.66030556467967</v>
      </c>
      <c r="J17" s="28">
        <f t="shared" si="4"/>
        <v>-5.2698409511811953E-4</v>
      </c>
      <c r="K17" s="22">
        <f t="shared" si="5"/>
        <v>1</v>
      </c>
      <c r="L17" s="8" t="s">
        <v>110</v>
      </c>
      <c r="M17" s="17">
        <f>IFERROR($M$15-MIN($C$2:$C$301),"")</f>
        <v>455.03198002977649</v>
      </c>
    </row>
    <row r="18" spans="1:13" x14ac:dyDescent="0.3">
      <c r="A18" s="11">
        <v>160</v>
      </c>
      <c r="B18" s="32">
        <v>5.313E-7</v>
      </c>
      <c r="C18" s="22">
        <f t="shared" si="0"/>
        <v>1067.4051046340865</v>
      </c>
      <c r="D18" s="28">
        <f>IF(ISNUMBER(B18),AVERAGE(INDEX($B$2:$B$301,MAX(1,17-semi)):INDEX($B$2:$B$301,MIN($M$2,17+semi))),"")</f>
        <v>5.313E-7</v>
      </c>
      <c r="E18" s="28">
        <f t="shared" si="1"/>
        <v>5.7892967020833448E-3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612.37312460430996</v>
      </c>
      <c r="J18" s="28">
        <f t="shared" si="4"/>
        <v>5.7892967020833448E-3</v>
      </c>
      <c r="K18" s="22" t="str">
        <f t="shared" si="5"/>
        <v/>
      </c>
      <c r="L18" s="8" t="s">
        <v>111</v>
      </c>
      <c r="M18" s="17">
        <f>IFERROR(MAX($C$2:$C$301)-$M$15,"")</f>
        <v>612.37312460430996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-121.97668670760419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121.97668670760413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44" priority="4">
      <formula>ISERROR(I2)</formula>
    </cfRule>
  </conditionalFormatting>
  <conditionalFormatting sqref="L23:M24">
    <cfRule type="containsErrors" dxfId="43" priority="5">
      <formula>ISERROR(L23)</formula>
    </cfRule>
  </conditionalFormatting>
  <conditionalFormatting sqref="M20">
    <cfRule type="cellIs" dxfId="42" priority="1" operator="equal">
      <formula>"OK"</formula>
    </cfRule>
    <cfRule type="beginsWith" dxfId="41" priority="2" operator="beginsWith" text="Aviso">
      <formula>LEFT(M20,5)="Aviso"</formula>
    </cfRule>
    <cfRule type="beginsWith" dxfId="4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301"/>
  <sheetViews>
    <sheetView workbookViewId="0">
      <pane ySplit="1" topLeftCell="A37" activePane="bottomLeft" state="frozen"/>
      <selection pane="bottomLeft" activeCell="B19" sqref="B19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124</v>
      </c>
      <c r="M1" s="6" t="str">
        <f>"Corriente "&amp;IFERROR(INDEX('Registro piloto'!$C$5:$C$19,9),"")</f>
        <v>Corriente I1</v>
      </c>
    </row>
    <row r="2" spans="1:13" x14ac:dyDescent="0.3">
      <c r="A2" s="11">
        <v>0</v>
      </c>
      <c r="B2" s="11">
        <v>0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0</v>
      </c>
      <c r="E2" s="28">
        <f t="shared" ref="E2:E65" si="1">IF(AND(ISNUMBER(D2),ISNUMBER($M$4)),(D2-$M$4)/($M$5-$M$4),"")</f>
        <v>2.7654132071985036E-3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-457.96386755564254</v>
      </c>
      <c r="J2" s="28">
        <f t="shared" ref="J2:J65" si="4">IF(ISNUMBER(E2),E2,NA())</f>
        <v>2.7654132071985036E-3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4.6139999999999999E-7</v>
      </c>
      <c r="C3" s="22">
        <f t="shared" si="0"/>
        <v>66.712819039630403</v>
      </c>
      <c r="D3" s="28">
        <f>IF(ISNUMBER(B3),AVERAGE(INDEX($B$2:$B$301,MAX(1,2-semi)):INDEX($B$2:$B$301,MIN($M$2,2+semi))),"")</f>
        <v>4.6139999999999999E-7</v>
      </c>
      <c r="E3" s="28">
        <f t="shared" si="1"/>
        <v>2.2710104943054536E-2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-391.25104851601213</v>
      </c>
      <c r="J3" s="28">
        <f t="shared" si="4"/>
        <v>2.2710104943054536E-2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1.626E-6</v>
      </c>
      <c r="C4" s="22">
        <f t="shared" si="0"/>
        <v>133.42563807926081</v>
      </c>
      <c r="D4" s="28">
        <f>IF(ISNUMBER(B4),AVERAGE(INDEX($B$2:$B$301,MAX(1,3-semi)):INDEX($B$2:$B$301,MIN($M$2,3+semi))),"")</f>
        <v>1.626E-6</v>
      </c>
      <c r="E4" s="28">
        <f t="shared" si="1"/>
        <v>7.3051648063076055E-2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-324.53822947638173</v>
      </c>
      <c r="J4" s="28">
        <f t="shared" si="4"/>
        <v>7.3051648063076055E-2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-6.3975000000000002E-8</v>
      </c>
    </row>
    <row r="5" spans="1:13" x14ac:dyDescent="0.3">
      <c r="A5" s="11">
        <v>30</v>
      </c>
      <c r="B5" s="32">
        <v>3.783E-6</v>
      </c>
      <c r="C5" s="22">
        <f t="shared" si="0"/>
        <v>200.13845711889124</v>
      </c>
      <c r="D5" s="28">
        <f>IF(ISNUMBER(B5),AVERAGE(INDEX($B$2:$B$301,MAX(1,4-semi)):INDEX($B$2:$B$301,MIN($M$2,4+semi))),"")</f>
        <v>3.783E-6</v>
      </c>
      <c r="E5" s="28">
        <f t="shared" si="1"/>
        <v>0.16629113673720144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-257.82541043675133</v>
      </c>
      <c r="J5" s="28">
        <f t="shared" si="4"/>
        <v>0.16629113673720144</v>
      </c>
      <c r="K5" s="22">
        <f t="shared" si="5"/>
        <v>1</v>
      </c>
      <c r="L5" s="8" t="s">
        <v>99</v>
      </c>
      <c r="M5" s="19">
        <f>IF($M$2&lt;2*n_fondo,"",MAX($D$2:$D$301))</f>
        <v>2.3070000000000001E-5</v>
      </c>
    </row>
    <row r="6" spans="1:13" x14ac:dyDescent="0.3">
      <c r="A6" s="11">
        <v>40</v>
      </c>
      <c r="B6" s="32">
        <v>7.9740000000000002E-6</v>
      </c>
      <c r="C6" s="22">
        <f t="shared" si="0"/>
        <v>266.85127615852161</v>
      </c>
      <c r="D6" s="28">
        <f>IF(ISNUMBER(B6),AVERAGE(INDEX($B$2:$B$301,MAX(1,5-semi)):INDEX($B$2:$B$301,MIN($M$2,5+semi))),"")</f>
        <v>7.9740000000000002E-6</v>
      </c>
      <c r="E6" s="28">
        <f t="shared" si="1"/>
        <v>0.34745325868122534</v>
      </c>
      <c r="F6" s="22">
        <f>IF(AND(ISNUMBER(E6),ISNUMBER(E7),ISNUMBER($M$6)),IF(AND(6&lt;$M$6,E6&lt;0.5,E7&gt;=0.5),6,""),"")</f>
        <v>6</v>
      </c>
      <c r="G6" s="22" t="str">
        <f>IF(AND(ISNUMBER(E6),ISNUMBER(E7),ISNUMBER($M$6)),IF(AND(6&gt;=$M$6,E6&gt;=0.5,E7&lt;0.5),6,""),"")</f>
        <v/>
      </c>
      <c r="H6" s="22">
        <f t="shared" si="2"/>
        <v>300.79452476017872</v>
      </c>
      <c r="I6" s="22">
        <f t="shared" si="3"/>
        <v>-191.11259139712092</v>
      </c>
      <c r="J6" s="28">
        <f t="shared" si="4"/>
        <v>0.34745325868122534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1.491E-5</v>
      </c>
      <c r="C7" s="22">
        <f t="shared" si="0"/>
        <v>333.56409519815202</v>
      </c>
      <c r="D7" s="28">
        <f>IF(ISNUMBER(B7),AVERAGE(INDEX($B$2:$B$301,MAX(1,6-semi)):INDEX($B$2:$B$301,MIN($M$2,6+semi))),"")</f>
        <v>1.491E-5</v>
      </c>
      <c r="E7" s="28">
        <f t="shared" si="1"/>
        <v>0.64727203171958125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-124.39977235749052</v>
      </c>
      <c r="J7" s="28">
        <f t="shared" si="4"/>
        <v>0.64727203171958125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2.2289999999999998E-5</v>
      </c>
      <c r="C8" s="22">
        <f t="shared" si="0"/>
        <v>400.27691423778248</v>
      </c>
      <c r="D8" s="28">
        <f>IF(ISNUMBER(B8),AVERAGE(INDEX($B$2:$B$301,MAX(1,7-semi)):INDEX($B$2:$B$301,MIN($M$2,7+semi))),"")</f>
        <v>2.2289999999999998E-5</v>
      </c>
      <c r="E8" s="28">
        <f t="shared" si="1"/>
        <v>0.96628335597319515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-57.686953317860059</v>
      </c>
      <c r="J8" s="28">
        <f t="shared" si="4"/>
        <v>0.96628335597319515</v>
      </c>
      <c r="K8" s="22">
        <f t="shared" si="5"/>
        <v>1</v>
      </c>
      <c r="L8" s="8" t="s">
        <v>102</v>
      </c>
      <c r="M8" s="12">
        <f>MAX($F$2:$F$301)</f>
        <v>6</v>
      </c>
    </row>
    <row r="9" spans="1:13" x14ac:dyDescent="0.3">
      <c r="A9" s="11">
        <v>70</v>
      </c>
      <c r="B9" s="32">
        <v>2.3070000000000001E-5</v>
      </c>
      <c r="C9" s="22">
        <f t="shared" si="0"/>
        <v>466.98973327741288</v>
      </c>
      <c r="D9" s="28">
        <f>IF(ISNUMBER(B9),AVERAGE(INDEX($B$2:$B$301,MAX(1,8-semi)):INDEX($B$2:$B$301,MIN($M$2,8+semi))),"")</f>
        <v>2.3070000000000001E-5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9.0258657217703444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11</v>
      </c>
    </row>
    <row r="10" spans="1:13" x14ac:dyDescent="0.3">
      <c r="A10" s="11">
        <v>80</v>
      </c>
      <c r="B10" s="32">
        <v>1.961E-5</v>
      </c>
      <c r="C10" s="22">
        <f t="shared" si="0"/>
        <v>533.70255231704323</v>
      </c>
      <c r="D10" s="28">
        <f>IF(ISNUMBER(B10),AVERAGE(INDEX($B$2:$B$301,MAX(1,9-semi)):INDEX($B$2:$B$301,MIN($M$2,9+semi))),"")</f>
        <v>1.961E-5</v>
      </c>
      <c r="E10" s="28">
        <f t="shared" si="1"/>
        <v>0.8504364252144303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75.738684761400691</v>
      </c>
      <c r="J10" s="28">
        <f t="shared" si="4"/>
        <v>0.8504364252144303</v>
      </c>
      <c r="K10" s="22">
        <f t="shared" si="5"/>
        <v>1</v>
      </c>
      <c r="L10" s="8" t="s">
        <v>104</v>
      </c>
      <c r="M10" s="17">
        <f>IF($M$8&gt;0,INDEX($H$1:$H$301,$M$8),"")</f>
        <v>300.79452476017872</v>
      </c>
    </row>
    <row r="11" spans="1:13" x14ac:dyDescent="0.3">
      <c r="A11" s="11">
        <v>90</v>
      </c>
      <c r="B11" s="32">
        <v>1.274E-5</v>
      </c>
      <c r="C11" s="22">
        <f t="shared" si="0"/>
        <v>600.41537135667363</v>
      </c>
      <c r="D11" s="28">
        <f>IF(ISNUMBER(B11),AVERAGE(INDEX($B$2:$B$301,MAX(1,10-semi)):INDEX($B$2:$B$301,MIN($M$2,10+semi))),"")</f>
        <v>1.274E-5</v>
      </c>
      <c r="E11" s="28">
        <f t="shared" si="1"/>
        <v>0.55347059897834239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615.13321035110641</v>
      </c>
      <c r="I11" s="22">
        <f t="shared" si="3"/>
        <v>142.45150380103109</v>
      </c>
      <c r="J11" s="28">
        <f t="shared" si="4"/>
        <v>0.55347059897834239</v>
      </c>
      <c r="K11" s="22">
        <f t="shared" si="5"/>
        <v>1</v>
      </c>
      <c r="L11" s="8" t="s">
        <v>105</v>
      </c>
      <c r="M11" s="17">
        <f>IF($M$9&gt;0,INDEX($H$1:$H$301,$M$9),"")</f>
        <v>615.13321035110641</v>
      </c>
    </row>
    <row r="12" spans="1:13" ht="15.6" x14ac:dyDescent="0.3">
      <c r="A12" s="11">
        <v>100</v>
      </c>
      <c r="B12" s="32">
        <v>7.1330000000000001E-6</v>
      </c>
      <c r="C12" s="22">
        <f t="shared" si="0"/>
        <v>667.12819039630403</v>
      </c>
      <c r="D12" s="28">
        <f>IF(ISNUMBER(B12),AVERAGE(INDEX($B$2:$B$301,MAX(1,11-semi)):INDEX($B$2:$B$301,MIN($M$2,11+semi))),"")</f>
        <v>7.1330000000000001E-6</v>
      </c>
      <c r="E12" s="28">
        <f t="shared" si="1"/>
        <v>0.31109980018565764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209.1643228406615</v>
      </c>
      <c r="J12" s="28">
        <f t="shared" si="4"/>
        <v>0.31109980018565764</v>
      </c>
      <c r="K12" s="22">
        <f t="shared" si="5"/>
        <v>1</v>
      </c>
      <c r="L12" s="8" t="s">
        <v>106</v>
      </c>
      <c r="M12" s="23">
        <f>IF(AND($M$8&gt;0,$M$9&gt;0),ABS($M$11-$M$10),"")</f>
        <v>314.3386855909277</v>
      </c>
    </row>
    <row r="13" spans="1:13" ht="15.6" x14ac:dyDescent="0.3">
      <c r="A13" s="11">
        <v>110</v>
      </c>
      <c r="B13" s="32">
        <v>3.1530000000000001E-6</v>
      </c>
      <c r="C13" s="22">
        <f t="shared" si="0"/>
        <v>733.84100943593455</v>
      </c>
      <c r="D13" s="28">
        <f>IF(ISNUMBER(B13),AVERAGE(INDEX($B$2:$B$301,MAX(1,12-semi)):INDEX($B$2:$B$301,MIN($M$2,12+semi))),"")</f>
        <v>3.1530000000000001E-6</v>
      </c>
      <c r="E13" s="28">
        <f t="shared" si="1"/>
        <v>0.13905846271555147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275.87714188029202</v>
      </c>
      <c r="J13" s="28">
        <f t="shared" si="4"/>
        <v>0.13905846271555147</v>
      </c>
      <c r="K13" s="22">
        <f t="shared" si="5"/>
        <v>1</v>
      </c>
      <c r="L13" s="8" t="s">
        <v>107</v>
      </c>
      <c r="M13" s="23">
        <f>IF(ISNUMBER($M$12),factor_forma*$M$12,"")</f>
        <v>204.320145634103</v>
      </c>
    </row>
    <row r="14" spans="1:13" x14ac:dyDescent="0.3">
      <c r="A14" s="11">
        <v>120</v>
      </c>
      <c r="B14" s="32">
        <v>1.1629999999999999E-6</v>
      </c>
      <c r="C14" s="22">
        <f t="shared" si="0"/>
        <v>800.55382847556496</v>
      </c>
      <c r="D14" s="28">
        <f>IF(ISNUMBER(B14),AVERAGE(INDEX($B$2:$B$301,MAX(1,13-semi)):INDEX($B$2:$B$301,MIN($M$2,13+semi))),"")</f>
        <v>1.1629999999999999E-6</v>
      </c>
      <c r="E14" s="28">
        <f t="shared" si="1"/>
        <v>5.3037793980498377E-2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342.58996091992242</v>
      </c>
      <c r="J14" s="28">
        <f t="shared" si="4"/>
        <v>5.3037793980498377E-2</v>
      </c>
      <c r="K14" s="22">
        <f t="shared" si="5"/>
        <v>1</v>
      </c>
      <c r="L14" s="8" t="s">
        <v>108</v>
      </c>
      <c r="M14" s="17">
        <f>IF(ISNUMBER($M$12),0.7071*$M$12,"")</f>
        <v>222.26888458134496</v>
      </c>
    </row>
    <row r="15" spans="1:13" x14ac:dyDescent="0.3">
      <c r="A15" s="11">
        <v>130</v>
      </c>
      <c r="B15" s="32">
        <v>2.7959999999999999E-7</v>
      </c>
      <c r="C15" s="22">
        <f t="shared" si="0"/>
        <v>867.26664751519536</v>
      </c>
      <c r="D15" s="28">
        <f>IF(ISNUMBER(B15),AVERAGE(INDEX($B$2:$B$301,MAX(1,14-semi)):INDEX($B$2:$B$301,MIN($M$2,14+semi))),"")</f>
        <v>2.7959999999999999E-7</v>
      </c>
      <c r="E15" s="28">
        <f t="shared" si="1"/>
        <v>1.4851533296806968E-2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409.30277995955282</v>
      </c>
      <c r="J15" s="28">
        <f t="shared" si="4"/>
        <v>1.4851533296806968E-2</v>
      </c>
      <c r="K15" s="22">
        <f t="shared" si="5"/>
        <v>1</v>
      </c>
      <c r="L15" s="8" t="s">
        <v>109</v>
      </c>
      <c r="M15" s="17">
        <f>IF(ISNUMBER($M$12),($M$10+$M$11)/2,$M$7)</f>
        <v>457.96386755564254</v>
      </c>
    </row>
    <row r="16" spans="1:13" x14ac:dyDescent="0.3">
      <c r="A16" s="11">
        <v>140</v>
      </c>
      <c r="B16" s="32">
        <v>-1.54E-7</v>
      </c>
      <c r="C16" s="22">
        <f t="shared" si="0"/>
        <v>933.97946655482576</v>
      </c>
      <c r="D16" s="28">
        <f>IF(ISNUMBER(B16),AVERAGE(INDEX($B$2:$B$301,MAX(1,15-semi)):INDEX($B$2:$B$301,MIN($M$2,15+semi))),"")</f>
        <v>-1.54E-7</v>
      </c>
      <c r="E16" s="28">
        <f t="shared" si="1"/>
        <v>-3.8914626647603796E-3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476.01559899918323</v>
      </c>
      <c r="J16" s="28">
        <f t="shared" si="4"/>
        <v>-3.8914626647603796E-3</v>
      </c>
      <c r="K16" s="22">
        <f t="shared" si="5"/>
        <v>1</v>
      </c>
      <c r="L16" s="8" t="s">
        <v>79</v>
      </c>
      <c r="M16" s="12">
        <f>COUNTIF($E$2:$E$301,"&gt;=0.5")</f>
        <v>5</v>
      </c>
    </row>
    <row r="17" spans="1:13" x14ac:dyDescent="0.3">
      <c r="A17" s="11">
        <v>150</v>
      </c>
      <c r="B17" s="32">
        <v>-2.9569999999999998E-7</v>
      </c>
      <c r="C17" s="22">
        <f t="shared" si="0"/>
        <v>1000.6922855944562</v>
      </c>
      <c r="D17" s="28">
        <f>IF(ISNUMBER(B17),AVERAGE(INDEX($B$2:$B$301,MAX(1,16-semi)):INDEX($B$2:$B$301,MIN($M$2,16+semi))),"")</f>
        <v>-2.9569999999999998E-7</v>
      </c>
      <c r="E17" s="28">
        <f t="shared" si="1"/>
        <v>-1.0016652996296572E-2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542.72841803881363</v>
      </c>
      <c r="J17" s="28">
        <f t="shared" si="4"/>
        <v>-1.0016652996296572E-2</v>
      </c>
      <c r="K17" s="22">
        <f t="shared" si="5"/>
        <v>1</v>
      </c>
      <c r="L17" s="8" t="s">
        <v>110</v>
      </c>
      <c r="M17" s="17">
        <f>IFERROR($M$15-MIN($C$2:$C$301),"")</f>
        <v>457.96386755564254</v>
      </c>
    </row>
    <row r="18" spans="1:13" x14ac:dyDescent="0.3">
      <c r="A18" s="11">
        <v>160</v>
      </c>
      <c r="B18" s="32">
        <v>-4.2160000000000002E-7</v>
      </c>
      <c r="C18" s="22">
        <f t="shared" si="0"/>
        <v>1067.4051046340865</v>
      </c>
      <c r="D18" s="28">
        <f>IF(ISNUMBER(B18),AVERAGE(INDEX($B$2:$B$301,MAX(1,17-semi)):INDEX($B$2:$B$301,MIN($M$2,17+semi))),"")</f>
        <v>-4.2160000000000002E-7</v>
      </c>
      <c r="E18" s="28">
        <f t="shared" si="1"/>
        <v>-1.5458865153956464E-2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609.44123707844392</v>
      </c>
      <c r="J18" s="28">
        <f t="shared" si="4"/>
        <v>-1.5458865153956464E-2</v>
      </c>
      <c r="K18" s="22" t="str">
        <f t="shared" si="5"/>
        <v/>
      </c>
      <c r="L18" s="8" t="s">
        <v>111</v>
      </c>
      <c r="M18" s="17">
        <f>IFERROR(MAX($C$2:$C$301)-$M$15,"")</f>
        <v>609.44123707844392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el barrido no llega a las alas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-157.16934279546382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157.16934279546388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39" priority="4">
      <formula>ISERROR(I2)</formula>
    </cfRule>
  </conditionalFormatting>
  <conditionalFormatting sqref="L23:M24">
    <cfRule type="containsErrors" dxfId="38" priority="5">
      <formula>ISERROR(L23)</formula>
    </cfRule>
  </conditionalFormatting>
  <conditionalFormatting sqref="M20">
    <cfRule type="cellIs" dxfId="37" priority="1" operator="equal">
      <formula>"OK"</formula>
    </cfRule>
    <cfRule type="beginsWith" dxfId="36" priority="2" operator="beginsWith" text="Aviso">
      <formula>LEFT(M20,5)="Aviso"</formula>
    </cfRule>
    <cfRule type="beginsWith" dxfId="3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M301"/>
  <sheetViews>
    <sheetView topLeftCell="B1" workbookViewId="0">
      <pane ySplit="1" topLeftCell="A35" activePane="bottomLeft" state="frozen"/>
      <selection pane="bottomLeft" activeCell="C18" sqref="C18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125</v>
      </c>
      <c r="M1" s="6" t="str">
        <f>"Corriente "&amp;IFERROR(INDEX('Registro piloto'!$C$5:$C$19,10),"")</f>
        <v>Corriente I1</v>
      </c>
    </row>
    <row r="2" spans="1:13" x14ac:dyDescent="0.3">
      <c r="A2" s="11">
        <v>0</v>
      </c>
      <c r="B2" s="11">
        <v>0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0</v>
      </c>
      <c r="E2" s="28">
        <f t="shared" ref="E2:E65" si="1">IF(AND(ISNUMBER(D2),ISNUMBER($M$4)),(D2-$M$4)/($M$5-$M$4),"")</f>
        <v>5.1956054716352012E-3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-447.6158106005974</v>
      </c>
      <c r="J2" s="28">
        <f t="shared" ref="J2:J65" si="4">IF(ISNUMBER(E2),E2,NA())</f>
        <v>5.1956054716352012E-3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5.0460000000000001E-7</v>
      </c>
      <c r="C3" s="22">
        <f t="shared" si="0"/>
        <v>66.712819039630403</v>
      </c>
      <c r="D3" s="28">
        <f>IF(ISNUMBER(B3),AVERAGE(INDEX($B$2:$B$301,MAX(1,2-semi)):INDEX($B$2:$B$301,MIN($M$2,2+semi))),"")</f>
        <v>5.0460000000000001E-7</v>
      </c>
      <c r="E3" s="28">
        <f t="shared" si="1"/>
        <v>2.6492945203455857E-2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-380.902991560967</v>
      </c>
      <c r="J3" s="28">
        <f t="shared" si="4"/>
        <v>2.6492945203455857E-2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1.8080000000000001E-6</v>
      </c>
      <c r="C4" s="22">
        <f t="shared" si="0"/>
        <v>133.42563807926081</v>
      </c>
      <c r="D4" s="28">
        <f>IF(ISNUMBER(B4),AVERAGE(INDEX($B$2:$B$301,MAX(1,3-semi)):INDEX($B$2:$B$301,MIN($M$2,3+semi))),"")</f>
        <v>1.8080000000000001E-6</v>
      </c>
      <c r="E4" s="28">
        <f t="shared" si="1"/>
        <v>8.1504741886878465E-2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-314.19017252133659</v>
      </c>
      <c r="J4" s="28">
        <f t="shared" si="4"/>
        <v>8.1504741886878465E-2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-1.2309999999999998E-7</v>
      </c>
    </row>
    <row r="5" spans="1:13" x14ac:dyDescent="0.3">
      <c r="A5" s="11">
        <v>30</v>
      </c>
      <c r="B5" s="32">
        <v>3.8970000000000001E-6</v>
      </c>
      <c r="C5" s="22">
        <f t="shared" si="0"/>
        <v>200.13845711889124</v>
      </c>
      <c r="D5" s="28">
        <f>IF(ISNUMBER(B5),AVERAGE(INDEX($B$2:$B$301,MAX(1,4-semi)):INDEX($B$2:$B$301,MIN($M$2,4+semi))),"")</f>
        <v>3.8970000000000001E-6</v>
      </c>
      <c r="E5" s="28">
        <f t="shared" si="1"/>
        <v>0.16967387129586251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-247.47735348170616</v>
      </c>
      <c r="J5" s="28">
        <f t="shared" si="4"/>
        <v>0.16967387129586251</v>
      </c>
      <c r="K5" s="22">
        <f t="shared" si="5"/>
        <v>1</v>
      </c>
      <c r="L5" s="8" t="s">
        <v>99</v>
      </c>
      <c r="M5" s="19">
        <f>IF($M$2&lt;2*n_fondo,"",MAX($D$2:$D$301))</f>
        <v>2.357E-5</v>
      </c>
    </row>
    <row r="6" spans="1:13" x14ac:dyDescent="0.3">
      <c r="A6" s="11">
        <v>40</v>
      </c>
      <c r="B6" s="32">
        <v>8.7180000000000002E-6</v>
      </c>
      <c r="C6" s="22">
        <f t="shared" si="0"/>
        <v>266.85127615852161</v>
      </c>
      <c r="D6" s="28">
        <f>IF(ISNUMBER(B6),AVERAGE(INDEX($B$2:$B$301,MAX(1,5-semi)):INDEX($B$2:$B$301,MIN($M$2,5+semi))),"")</f>
        <v>8.7180000000000002E-6</v>
      </c>
      <c r="E6" s="28">
        <f t="shared" si="1"/>
        <v>0.37315083294292439</v>
      </c>
      <c r="F6" s="22">
        <f>IF(AND(ISNUMBER(E6),ISNUMBER(E7),ISNUMBER($M$6)),IF(AND(6&lt;$M$6,E6&lt;0.5,E7&gt;=0.5),6,""),"")</f>
        <v>6</v>
      </c>
      <c r="G6" s="22" t="str">
        <f>IF(AND(ISNUMBER(E6),ISNUMBER(E7),ISNUMBER($M$6)),IF(AND(6&gt;=$M$6,E6&gt;=0.5,E7&lt;0.5),6,""),"")</f>
        <v/>
      </c>
      <c r="H6" s="22">
        <f t="shared" si="2"/>
        <v>295.65076509599032</v>
      </c>
      <c r="I6" s="22">
        <f t="shared" si="3"/>
        <v>-180.76453444207579</v>
      </c>
      <c r="J6" s="28">
        <f t="shared" si="4"/>
        <v>0.37315083294292439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1.5679999999999999E-5</v>
      </c>
      <c r="C7" s="22">
        <f t="shared" si="0"/>
        <v>333.56409519815202</v>
      </c>
      <c r="D7" s="28">
        <f>IF(ISNUMBER(B7),AVERAGE(INDEX($B$2:$B$301,MAX(1,6-semi)):INDEX($B$2:$B$301,MIN($M$2,6+semi))),"")</f>
        <v>1.5679999999999999E-5</v>
      </c>
      <c r="E7" s="28">
        <f t="shared" si="1"/>
        <v>0.6669916557985236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-114.05171540244538</v>
      </c>
      <c r="J7" s="28">
        <f t="shared" si="4"/>
        <v>0.6669916557985236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2.1460000000000001E-5</v>
      </c>
      <c r="C8" s="22">
        <f t="shared" si="0"/>
        <v>400.27691423778248</v>
      </c>
      <c r="D8" s="28">
        <f>IF(ISNUMBER(B8),AVERAGE(INDEX($B$2:$B$301,MAX(1,7-semi)):INDEX($B$2:$B$301,MIN($M$2,7+semi))),"")</f>
        <v>2.1460000000000001E-5</v>
      </c>
      <c r="E8" s="28">
        <f t="shared" si="1"/>
        <v>0.91094453659504249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-47.338896362814921</v>
      </c>
      <c r="J8" s="28">
        <f t="shared" si="4"/>
        <v>0.91094453659504249</v>
      </c>
      <c r="K8" s="22">
        <f t="shared" si="5"/>
        <v>1</v>
      </c>
      <c r="L8" s="8" t="s">
        <v>102</v>
      </c>
      <c r="M8" s="12">
        <f>MAX($F$2:$F$301)</f>
        <v>6</v>
      </c>
    </row>
    <row r="9" spans="1:13" x14ac:dyDescent="0.3">
      <c r="A9" s="11">
        <v>70</v>
      </c>
      <c r="B9" s="32">
        <v>2.357E-5</v>
      </c>
      <c r="C9" s="22">
        <f t="shared" si="0"/>
        <v>466.98973327741288</v>
      </c>
      <c r="D9" s="28">
        <f>IF(ISNUMBER(B9),AVERAGE(INDEX($B$2:$B$301,MAX(1,8-semi)):INDEX($B$2:$B$301,MIN($M$2,8+semi))),"")</f>
        <v>2.357E-5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19.373922676815482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10</v>
      </c>
    </row>
    <row r="10" spans="1:13" x14ac:dyDescent="0.3">
      <c r="A10" s="11">
        <v>80</v>
      </c>
      <c r="B10" s="32">
        <v>1.9890000000000001E-5</v>
      </c>
      <c r="C10" s="22">
        <f t="shared" si="0"/>
        <v>533.70255231704323</v>
      </c>
      <c r="D10" s="28">
        <f>IF(ISNUMBER(B10),AVERAGE(INDEX($B$2:$B$301,MAX(1,9-semi)):INDEX($B$2:$B$301,MIN($M$2,9+semi))),"")</f>
        <v>1.9890000000000001E-5</v>
      </c>
      <c r="E10" s="28">
        <f t="shared" si="1"/>
        <v>0.84468051880083239</v>
      </c>
      <c r="F10" s="22" t="str">
        <f>IF(AND(ISNUMBER(E10),ISNUMBER(E11),ISNUMBER($M$6)),IF(AND(10&lt;$M$6,E10&lt;0.5,E11&gt;=0.5),10,""),"")</f>
        <v/>
      </c>
      <c r="G10" s="22">
        <f>IF(AND(ISNUMBER(E10),ISNUMBER(E11),ISNUMBER($M$6)),IF(AND(10&gt;=$M$6,E10&gt;=0.5,E11&lt;0.5),10,""),"")</f>
        <v>10</v>
      </c>
      <c r="H10" s="22">
        <f t="shared" si="2"/>
        <v>599.58085610520448</v>
      </c>
      <c r="I10" s="22">
        <f t="shared" si="3"/>
        <v>86.086741716445829</v>
      </c>
      <c r="J10" s="28">
        <f t="shared" si="4"/>
        <v>0.84468051880083239</v>
      </c>
      <c r="K10" s="22">
        <f t="shared" si="5"/>
        <v>1</v>
      </c>
      <c r="L10" s="8" t="s">
        <v>104</v>
      </c>
      <c r="M10" s="17">
        <f>IF($M$8&gt;0,INDEX($H$1:$H$301,$M$8),"")</f>
        <v>295.65076509599032</v>
      </c>
    </row>
    <row r="11" spans="1:13" x14ac:dyDescent="0.3">
      <c r="A11" s="11">
        <v>90</v>
      </c>
      <c r="B11" s="32">
        <v>1.1620000000000001E-5</v>
      </c>
      <c r="C11" s="22">
        <f t="shared" si="0"/>
        <v>600.41537135667363</v>
      </c>
      <c r="D11" s="28">
        <f>IF(ISNUMBER(B11),AVERAGE(INDEX($B$2:$B$301,MAX(1,10-semi)):INDEX($B$2:$B$301,MIN($M$2,10+semi))),"")</f>
        <v>1.1620000000000001E-5</v>
      </c>
      <c r="E11" s="28">
        <f t="shared" si="1"/>
        <v>0.49563374991031151</v>
      </c>
      <c r="F11" s="22" t="str">
        <f>IF(AND(ISNUMBER(E11),ISNUMBER(E12),ISNUMBER($M$6)),IF(AND(11&lt;$M$6,E11&lt;0.5,E12&gt;=0.5),11,""),"")</f>
        <v/>
      </c>
      <c r="G11" s="22" t="str">
        <f>IF(AND(ISNUMBER(E11),ISNUMBER(E12),ISNUMBER($M$6)),IF(AND(11&gt;=$M$6,E11&gt;=0.5,E12&lt;0.5),11,""),"")</f>
        <v/>
      </c>
      <c r="H11" s="22" t="str">
        <f t="shared" si="2"/>
        <v/>
      </c>
      <c r="I11" s="22">
        <f t="shared" si="3"/>
        <v>152.79956075607623</v>
      </c>
      <c r="J11" s="28">
        <f t="shared" si="4"/>
        <v>0.49563374991031151</v>
      </c>
      <c r="K11" s="22">
        <f t="shared" si="5"/>
        <v>1</v>
      </c>
      <c r="L11" s="8" t="s">
        <v>105</v>
      </c>
      <c r="M11" s="17">
        <f>IF($M$9&gt;0,INDEX($H$1:$H$301,$M$9),"")</f>
        <v>599.58085610520448</v>
      </c>
    </row>
    <row r="12" spans="1:13" ht="15.6" x14ac:dyDescent="0.3">
      <c r="A12" s="11">
        <v>100</v>
      </c>
      <c r="B12" s="32">
        <v>7.0079999999999996E-6</v>
      </c>
      <c r="C12" s="22">
        <f t="shared" si="0"/>
        <v>667.12819039630403</v>
      </c>
      <c r="D12" s="28">
        <f>IF(ISNUMBER(B12),AVERAGE(INDEX($B$2:$B$301,MAX(1,11-semi)):INDEX($B$2:$B$301,MIN($M$2,11+semi))),"")</f>
        <v>7.0079999999999996E-6</v>
      </c>
      <c r="E12" s="28">
        <f t="shared" si="1"/>
        <v>0.30097792184222411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219.51237979570664</v>
      </c>
      <c r="J12" s="28">
        <f t="shared" si="4"/>
        <v>0.30097792184222411</v>
      </c>
      <c r="K12" s="22">
        <f t="shared" si="5"/>
        <v>1</v>
      </c>
      <c r="L12" s="8" t="s">
        <v>106</v>
      </c>
      <c r="M12" s="23">
        <f>IF(AND($M$8&gt;0,$M$9&gt;0),ABS($M$11-$M$10),"")</f>
        <v>303.93009100921415</v>
      </c>
    </row>
    <row r="13" spans="1:13" ht="15.6" x14ac:dyDescent="0.3">
      <c r="A13" s="11">
        <v>110</v>
      </c>
      <c r="B13" s="32">
        <v>2.7609999999999999E-6</v>
      </c>
      <c r="C13" s="22">
        <f t="shared" si="0"/>
        <v>733.84100943593455</v>
      </c>
      <c r="D13" s="28">
        <f>IF(ISNUMBER(B13),AVERAGE(INDEX($B$2:$B$301,MAX(1,12-semi)):INDEX($B$2:$B$301,MIN($M$2,12+semi))),"")</f>
        <v>2.7609999999999999E-6</v>
      </c>
      <c r="E13" s="28">
        <f t="shared" si="1"/>
        <v>0.12172742275177162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286.22519883533715</v>
      </c>
      <c r="J13" s="28">
        <f t="shared" si="4"/>
        <v>0.12172742275177162</v>
      </c>
      <c r="K13" s="22">
        <f t="shared" si="5"/>
        <v>1</v>
      </c>
      <c r="L13" s="8" t="s">
        <v>107</v>
      </c>
      <c r="M13" s="23">
        <f>IF(ISNUMBER($M$12),factor_forma*$M$12,"")</f>
        <v>197.55455915598921</v>
      </c>
    </row>
    <row r="14" spans="1:13" x14ac:dyDescent="0.3">
      <c r="A14" s="11">
        <v>120</v>
      </c>
      <c r="B14" s="32">
        <v>1.1069999999999999E-6</v>
      </c>
      <c r="C14" s="22">
        <f t="shared" si="0"/>
        <v>800.55382847556496</v>
      </c>
      <c r="D14" s="28">
        <f>IF(ISNUMBER(B14),AVERAGE(INDEX($B$2:$B$301,MAX(1,13-semi)):INDEX($B$2:$B$301,MIN($M$2,13+semi))),"")</f>
        <v>1.1069999999999999E-6</v>
      </c>
      <c r="E14" s="28">
        <f t="shared" si="1"/>
        <v>5.1918068973667436E-2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352.93801787496756</v>
      </c>
      <c r="J14" s="28">
        <f t="shared" si="4"/>
        <v>5.1918068973667436E-2</v>
      </c>
      <c r="K14" s="22">
        <f t="shared" si="5"/>
        <v>1</v>
      </c>
      <c r="L14" s="8" t="s">
        <v>108</v>
      </c>
      <c r="M14" s="17">
        <f>IF(ISNUMBER($M$12),0.7071*$M$12,"")</f>
        <v>214.90896735261532</v>
      </c>
    </row>
    <row r="15" spans="1:13" x14ac:dyDescent="0.3">
      <c r="A15" s="11">
        <v>130</v>
      </c>
      <c r="B15" s="32">
        <v>6.9909999999999995E-8</v>
      </c>
      <c r="C15" s="22">
        <f t="shared" si="0"/>
        <v>867.26664751519536</v>
      </c>
      <c r="D15" s="28">
        <f>IF(ISNUMBER(B15),AVERAGE(INDEX($B$2:$B$301,MAX(1,14-semi)):INDEX($B$2:$B$301,MIN($M$2,14+semi))),"")</f>
        <v>6.9909999999999995E-8</v>
      </c>
      <c r="E15" s="28">
        <f t="shared" si="1"/>
        <v>8.146253550611781E-3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419.65083691459796</v>
      </c>
      <c r="J15" s="28">
        <f t="shared" si="4"/>
        <v>8.146253550611781E-3</v>
      </c>
      <c r="K15" s="22">
        <f t="shared" si="5"/>
        <v>1</v>
      </c>
      <c r="L15" s="8" t="s">
        <v>109</v>
      </c>
      <c r="M15" s="17">
        <f>IF(ISNUMBER($M$12),($M$10+$M$11)/2,$M$7)</f>
        <v>447.6158106005974</v>
      </c>
    </row>
    <row r="16" spans="1:13" x14ac:dyDescent="0.3">
      <c r="A16" s="11">
        <v>140</v>
      </c>
      <c r="B16" s="32">
        <v>-2.656E-7</v>
      </c>
      <c r="C16" s="22">
        <f t="shared" si="0"/>
        <v>933.97946655482576</v>
      </c>
      <c r="D16" s="28">
        <f>IF(ISNUMBER(B16),AVERAGE(INDEX($B$2:$B$301,MAX(1,15-semi)):INDEX($B$2:$B$301,MIN($M$2,15+semi))),"")</f>
        <v>-2.656E-7</v>
      </c>
      <c r="E16" s="28">
        <f t="shared" si="1"/>
        <v>-6.0144092583916849E-3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486.36365595422836</v>
      </c>
      <c r="J16" s="28">
        <f t="shared" si="4"/>
        <v>-6.0144092583916849E-3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-4.3560000000000001E-7</v>
      </c>
      <c r="C17" s="22">
        <f t="shared" si="0"/>
        <v>1000.6922855944562</v>
      </c>
      <c r="D17" s="28">
        <f>IF(ISNUMBER(B17),AVERAGE(INDEX($B$2:$B$301,MAX(1,16-semi)):INDEX($B$2:$B$301,MIN($M$2,16+semi))),"")</f>
        <v>-4.3560000000000001E-7</v>
      </c>
      <c r="E17" s="28">
        <f t="shared" si="1"/>
        <v>-1.3189493987701063E-2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553.07647499385871</v>
      </c>
      <c r="J17" s="28">
        <f t="shared" si="4"/>
        <v>-1.3189493987701063E-2</v>
      </c>
      <c r="K17" s="22">
        <f t="shared" si="5"/>
        <v>1</v>
      </c>
      <c r="L17" s="8" t="s">
        <v>110</v>
      </c>
      <c r="M17" s="17">
        <f>IFERROR($M$15-MIN($C$2:$C$301),"")</f>
        <v>447.6158106005974</v>
      </c>
    </row>
    <row r="18" spans="1:13" x14ac:dyDescent="0.3">
      <c r="A18" s="11">
        <v>160</v>
      </c>
      <c r="B18" s="32">
        <v>-5.6140000000000004E-7</v>
      </c>
      <c r="C18" s="22">
        <f t="shared" si="0"/>
        <v>1067.4051046340865</v>
      </c>
      <c r="D18" s="28">
        <f>IF(ISNUMBER(B18),AVERAGE(INDEX($B$2:$B$301,MAX(1,17-semi)):INDEX($B$2:$B$301,MIN($M$2,17+semi))),"")</f>
        <v>-5.6140000000000004E-7</v>
      </c>
      <c r="E18" s="28">
        <f t="shared" si="1"/>
        <v>-1.8499056687390002E-2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619.78929403348911</v>
      </c>
      <c r="J18" s="28">
        <f t="shared" si="4"/>
        <v>-1.8499056687390002E-2</v>
      </c>
      <c r="K18" s="22" t="str">
        <f t="shared" si="5"/>
        <v/>
      </c>
      <c r="L18" s="8" t="s">
        <v>111</v>
      </c>
      <c r="M18" s="17">
        <f>IFERROR(MAX($C$2:$C$301)-$M$15,"")</f>
        <v>619.78929403348911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-151.96504550460708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151.96504550460708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34" priority="4">
      <formula>ISERROR(I2)</formula>
    </cfRule>
  </conditionalFormatting>
  <conditionalFormatting sqref="L23:M24">
    <cfRule type="containsErrors" dxfId="33" priority="5">
      <formula>ISERROR(L23)</formula>
    </cfRule>
  </conditionalFormatting>
  <conditionalFormatting sqref="M20">
    <cfRule type="cellIs" dxfId="32" priority="1" operator="equal">
      <formula>"OK"</formula>
    </cfRule>
    <cfRule type="beginsWith" dxfId="31" priority="2" operator="beginsWith" text="Aviso">
      <formula>LEFT(M20,5)="Aviso"</formula>
    </cfRule>
    <cfRule type="beginsWith" dxfId="3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B19" sqref="B19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126</v>
      </c>
      <c r="M1" s="6" t="str">
        <f>"Corriente "&amp;IFERROR(INDEX('Registro piloto'!$C$5:$C$19,11),"")</f>
        <v>Corriente I1</v>
      </c>
    </row>
    <row r="2" spans="1:13" x14ac:dyDescent="0.3">
      <c r="A2" s="11">
        <v>0</v>
      </c>
      <c r="B2" s="32">
        <v>-5.5929999999999999E-8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-5.5929999999999999E-8</v>
      </c>
      <c r="E2" s="28">
        <f t="shared" ref="E2:E65" si="1">IF(AND(ISNUMBER(D2),ISNUMBER($M$4)),(D2-$M$4)/($M$5-$M$4),"")</f>
        <v>2.8363328727286515E-3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-452.061103095715</v>
      </c>
      <c r="J2" s="28">
        <f t="shared" ref="J2:J65" si="4">IF(ISNUMBER(E2),E2,NA())</f>
        <v>2.8363328727286515E-3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17</v>
      </c>
    </row>
    <row r="3" spans="1:13" x14ac:dyDescent="0.3">
      <c r="A3" s="11">
        <v>10</v>
      </c>
      <c r="B3" s="32">
        <v>5.4720000000000003E-7</v>
      </c>
      <c r="C3" s="22">
        <f t="shared" si="0"/>
        <v>66.712819039630403</v>
      </c>
      <c r="D3" s="28">
        <f>IF(ISNUMBER(B3),AVERAGE(INDEX($B$2:$B$301,MAX(1,2-semi)):INDEX($B$2:$B$301,MIN($M$2,2+semi))),"")</f>
        <v>5.4720000000000003E-7</v>
      </c>
      <c r="E3" s="28">
        <f t="shared" si="1"/>
        <v>2.8367879390079963E-2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-385.34828405608459</v>
      </c>
      <c r="J3" s="28">
        <f t="shared" si="4"/>
        <v>2.8367879390079963E-2</v>
      </c>
      <c r="K3" s="22">
        <f t="shared" si="5"/>
        <v>1</v>
      </c>
      <c r="L3" s="8" t="s">
        <v>97</v>
      </c>
      <c r="M3" s="12">
        <f>COUNT($B$2:$B$301)</f>
        <v>17</v>
      </c>
    </row>
    <row r="4" spans="1:13" x14ac:dyDescent="0.3">
      <c r="A4" s="11">
        <v>20</v>
      </c>
      <c r="B4" s="32">
        <v>1.584E-6</v>
      </c>
      <c r="C4" s="22">
        <f t="shared" si="0"/>
        <v>133.42563807926081</v>
      </c>
      <c r="D4" s="28">
        <f>IF(ISNUMBER(B4),AVERAGE(INDEX($B$2:$B$301,MAX(1,3-semi)):INDEX($B$2:$B$301,MIN($M$2,3+semi))),"")</f>
        <v>1.584E-6</v>
      </c>
      <c r="E4" s="28">
        <f t="shared" si="1"/>
        <v>7.2257434592424119E-2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-318.63546501645419</v>
      </c>
      <c r="J4" s="28">
        <f t="shared" si="4"/>
        <v>7.2257434592424119E-2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-1.2293250000000002E-7</v>
      </c>
    </row>
    <row r="5" spans="1:13" x14ac:dyDescent="0.3">
      <c r="A5" s="11">
        <v>30</v>
      </c>
      <c r="B5" s="32">
        <v>4.0929999999999996E-6</v>
      </c>
      <c r="C5" s="22">
        <f t="shared" si="0"/>
        <v>200.13845711889124</v>
      </c>
      <c r="D5" s="28">
        <f>IF(ISNUMBER(B5),AVERAGE(INDEX($B$2:$B$301,MAX(1,4-semi)):INDEX($B$2:$B$301,MIN($M$2,4+semi))),"")</f>
        <v>4.0929999999999996E-6</v>
      </c>
      <c r="E5" s="28">
        <f t="shared" si="1"/>
        <v>0.17846778760426968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-251.92264597682376</v>
      </c>
      <c r="J5" s="28">
        <f t="shared" si="4"/>
        <v>0.17846778760426968</v>
      </c>
      <c r="K5" s="22">
        <f t="shared" si="5"/>
        <v>1</v>
      </c>
      <c r="L5" s="8" t="s">
        <v>99</v>
      </c>
      <c r="M5" s="19">
        <f>IF($M$2&lt;2*n_fondo,"",MAX($D$2:$D$301))</f>
        <v>2.3499999999999999E-5</v>
      </c>
    </row>
    <row r="6" spans="1:13" x14ac:dyDescent="0.3">
      <c r="A6" s="11">
        <v>40</v>
      </c>
      <c r="B6" s="32">
        <v>8.704E-6</v>
      </c>
      <c r="C6" s="22">
        <f t="shared" si="0"/>
        <v>266.85127615852161</v>
      </c>
      <c r="D6" s="28">
        <f>IF(ISNUMBER(B6),AVERAGE(INDEX($B$2:$B$301,MAX(1,5-semi)):INDEX($B$2:$B$301,MIN($M$2,5+semi))),"")</f>
        <v>8.704E-6</v>
      </c>
      <c r="E6" s="28">
        <f t="shared" si="1"/>
        <v>0.37365947263321353</v>
      </c>
      <c r="F6" s="22">
        <f>IF(AND(ISNUMBER(E6),ISNUMBER(E7),ISNUMBER($M$6)),IF(AND(6&lt;$M$6,E6&lt;0.5,E7&gt;=0.5),6,""),"")</f>
        <v>6</v>
      </c>
      <c r="G6" s="22" t="str">
        <f>IF(AND(ISNUMBER(E6),ISNUMBER(E7),ISNUMBER($M$6)),IF(AND(6&gt;=$M$6,E6&gt;=0.5,E7&lt;0.5),6,""),"")</f>
        <v/>
      </c>
      <c r="H6" s="22">
        <f t="shared" si="2"/>
        <v>298.77986178735733</v>
      </c>
      <c r="I6" s="22">
        <f t="shared" si="3"/>
        <v>-185.20982693719338</v>
      </c>
      <c r="J6" s="28">
        <f t="shared" si="4"/>
        <v>0.37365947263321353</v>
      </c>
      <c r="K6" s="22">
        <f t="shared" si="5"/>
        <v>1</v>
      </c>
      <c r="L6" s="8" t="s">
        <v>100</v>
      </c>
      <c r="M6" s="12">
        <f>IFERROR(MATCH($M$5,$D$2:$D$301,0)+1,"")</f>
        <v>9</v>
      </c>
    </row>
    <row r="7" spans="1:13" x14ac:dyDescent="0.3">
      <c r="A7" s="11">
        <v>50</v>
      </c>
      <c r="B7" s="32">
        <v>1.4939999999999999E-5</v>
      </c>
      <c r="C7" s="22">
        <f t="shared" si="0"/>
        <v>333.56409519815202</v>
      </c>
      <c r="D7" s="28">
        <f>IF(ISNUMBER(B7),AVERAGE(INDEX($B$2:$B$301,MAX(1,6-semi)):INDEX($B$2:$B$301,MIN($M$2,6+semi))),"")</f>
        <v>1.4939999999999999E-5</v>
      </c>
      <c r="E7" s="28">
        <f t="shared" si="1"/>
        <v>0.63764024640039929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-118.49700789756298</v>
      </c>
      <c r="J7" s="28">
        <f t="shared" si="4"/>
        <v>0.63764024640039929</v>
      </c>
      <c r="K7" s="22">
        <f t="shared" si="5"/>
        <v>1</v>
      </c>
      <c r="L7" s="8" t="s">
        <v>101</v>
      </c>
      <c r="M7" s="17">
        <f>IFERROR(INDEX($C$1:$C$301,$M$6),"")</f>
        <v>466.98973327741288</v>
      </c>
    </row>
    <row r="8" spans="1:13" x14ac:dyDescent="0.3">
      <c r="A8" s="11">
        <v>60</v>
      </c>
      <c r="B8" s="32">
        <v>2.179E-5</v>
      </c>
      <c r="C8" s="22">
        <f t="shared" si="0"/>
        <v>400.27691423778248</v>
      </c>
      <c r="D8" s="28">
        <f>IF(ISNUMBER(B8),AVERAGE(INDEX($B$2:$B$301,MAX(1,7-semi)):INDEX($B$2:$B$301,MIN($M$2,7+semi))),"")</f>
        <v>2.179E-5</v>
      </c>
      <c r="E8" s="28">
        <f t="shared" si="1"/>
        <v>0.92761271277391155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-51.78418885793252</v>
      </c>
      <c r="J8" s="28">
        <f t="shared" si="4"/>
        <v>0.92761271277391155</v>
      </c>
      <c r="K8" s="22">
        <f t="shared" si="5"/>
        <v>1</v>
      </c>
      <c r="L8" s="8" t="s">
        <v>102</v>
      </c>
      <c r="M8" s="12">
        <f>MAX($F$2:$F$301)</f>
        <v>6</v>
      </c>
    </row>
    <row r="9" spans="1:13" x14ac:dyDescent="0.3">
      <c r="A9" s="11">
        <v>70</v>
      </c>
      <c r="B9" s="32">
        <v>2.3499999999999999E-5</v>
      </c>
      <c r="C9" s="22">
        <f t="shared" si="0"/>
        <v>466.98973327741288</v>
      </c>
      <c r="D9" s="28">
        <f>IF(ISNUMBER(B9),AVERAGE(INDEX($B$2:$B$301,MAX(1,8-semi)):INDEX($B$2:$B$301,MIN($M$2,8+semi))),"")</f>
        <v>2.3499999999999999E-5</v>
      </c>
      <c r="E9" s="28">
        <f t="shared" si="1"/>
        <v>1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14.928630181697883</v>
      </c>
      <c r="J9" s="28">
        <f t="shared" si="4"/>
        <v>1</v>
      </c>
      <c r="K9" s="22">
        <f t="shared" si="5"/>
        <v>1</v>
      </c>
      <c r="L9" s="8" t="s">
        <v>103</v>
      </c>
      <c r="M9" s="12">
        <f>MIN($G$2:$G$301)</f>
        <v>11</v>
      </c>
    </row>
    <row r="10" spans="1:13" x14ac:dyDescent="0.3">
      <c r="A10" s="11">
        <v>80</v>
      </c>
      <c r="B10" s="32">
        <v>1.9219999999999999E-5</v>
      </c>
      <c r="C10" s="22">
        <f t="shared" si="0"/>
        <v>533.70255231704323</v>
      </c>
      <c r="D10" s="28">
        <f>IF(ISNUMBER(B10),AVERAGE(INDEX($B$2:$B$301,MAX(1,9-semi)):INDEX($B$2:$B$301,MIN($M$2,9+semi))),"")</f>
        <v>1.9219999999999999E-5</v>
      </c>
      <c r="E10" s="28">
        <f t="shared" si="1"/>
        <v>0.81882012320019959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81.64144922132823</v>
      </c>
      <c r="J10" s="28">
        <f t="shared" si="4"/>
        <v>0.81882012320019959</v>
      </c>
      <c r="K10" s="22">
        <f t="shared" si="5"/>
        <v>1</v>
      </c>
      <c r="L10" s="8" t="s">
        <v>104</v>
      </c>
      <c r="M10" s="17">
        <f>IF($M$8&gt;0,INDEX($H$1:$H$301,$M$8),"")</f>
        <v>298.77986178735733</v>
      </c>
    </row>
    <row r="11" spans="1:13" x14ac:dyDescent="0.3">
      <c r="A11" s="11">
        <v>90</v>
      </c>
      <c r="B11" s="32">
        <v>1.2140000000000001E-5</v>
      </c>
      <c r="C11" s="22">
        <f t="shared" si="0"/>
        <v>600.41537135667363</v>
      </c>
      <c r="D11" s="28">
        <f>IF(ISNUMBER(B11),AVERAGE(INDEX($B$2:$B$301,MAX(1,10-semi)):INDEX($B$2:$B$301,MIN($M$2,10+semi))),"")</f>
        <v>1.2140000000000001E-5</v>
      </c>
      <c r="E11" s="28">
        <f t="shared" si="1"/>
        <v>0.519111355036044</v>
      </c>
      <c r="F11" s="22" t="str">
        <f>IF(AND(ISNUMBER(E11),ISNUMBER(E12),ISNUMBER($M$6)),IF(AND(11&lt;$M$6,E11&lt;0.5,E12&gt;=0.5),11,""),"")</f>
        <v/>
      </c>
      <c r="G11" s="22">
        <f>IF(AND(ISNUMBER(E11),ISNUMBER(E12),ISNUMBER($M$6)),IF(AND(11&gt;=$M$6,E11&gt;=0.5,E12&lt;0.5),11,""),"")</f>
        <v>11</v>
      </c>
      <c r="H11" s="22">
        <f t="shared" si="2"/>
        <v>605.34234440407272</v>
      </c>
      <c r="I11" s="22">
        <f t="shared" si="3"/>
        <v>148.35426826095863</v>
      </c>
      <c r="J11" s="28">
        <f t="shared" si="4"/>
        <v>0.519111355036044</v>
      </c>
      <c r="K11" s="22">
        <f t="shared" si="5"/>
        <v>1</v>
      </c>
      <c r="L11" s="8" t="s">
        <v>105</v>
      </c>
      <c r="M11" s="17">
        <f>IF($M$9&gt;0,INDEX($H$1:$H$301,$M$9),"")</f>
        <v>605.34234440407272</v>
      </c>
    </row>
    <row r="12" spans="1:13" ht="15.6" x14ac:dyDescent="0.3">
      <c r="A12" s="11">
        <v>100</v>
      </c>
      <c r="B12" s="32">
        <v>6.0270000000000001E-6</v>
      </c>
      <c r="C12" s="22">
        <f t="shared" si="0"/>
        <v>667.12819039630403</v>
      </c>
      <c r="D12" s="28">
        <f>IF(ISNUMBER(B12),AVERAGE(INDEX($B$2:$B$301,MAX(1,11-semi)):INDEX($B$2:$B$301,MIN($M$2,11+semi))),"")</f>
        <v>6.0270000000000001E-6</v>
      </c>
      <c r="E12" s="28">
        <f t="shared" si="1"/>
        <v>0.26033738613950658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215.06708730058904</v>
      </c>
      <c r="J12" s="28">
        <f t="shared" si="4"/>
        <v>0.26033738613950658</v>
      </c>
      <c r="K12" s="22">
        <f t="shared" si="5"/>
        <v>1</v>
      </c>
      <c r="L12" s="8" t="s">
        <v>106</v>
      </c>
      <c r="M12" s="23">
        <f>IF(AND($M$8&gt;0,$M$9&gt;0),ABS($M$11-$M$10),"")</f>
        <v>306.56248261671539</v>
      </c>
    </row>
    <row r="13" spans="1:13" ht="15.6" x14ac:dyDescent="0.3">
      <c r="A13" s="11">
        <v>110</v>
      </c>
      <c r="B13" s="32">
        <v>2.6630000000000002E-6</v>
      </c>
      <c r="C13" s="22">
        <f t="shared" si="0"/>
        <v>733.84100943593455</v>
      </c>
      <c r="D13" s="28">
        <f>IF(ISNUMBER(B13),AVERAGE(INDEX($B$2:$B$301,MAX(1,12-semi)):INDEX($B$2:$B$301,MIN($M$2,12+semi))),"")</f>
        <v>2.6630000000000002E-6</v>
      </c>
      <c r="E13" s="28">
        <f t="shared" si="1"/>
        <v>0.11793338951461679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281.77990634021955</v>
      </c>
      <c r="J13" s="28">
        <f t="shared" si="4"/>
        <v>0.11793338951461679</v>
      </c>
      <c r="K13" s="22">
        <f t="shared" si="5"/>
        <v>1</v>
      </c>
      <c r="L13" s="8" t="s">
        <v>107</v>
      </c>
      <c r="M13" s="23">
        <f>IF(ISNUMBER($M$12),factor_forma*$M$12,"")</f>
        <v>199.265613700865</v>
      </c>
    </row>
    <row r="14" spans="1:13" x14ac:dyDescent="0.3">
      <c r="A14" s="11">
        <v>120</v>
      </c>
      <c r="B14" s="32">
        <v>9.809E-7</v>
      </c>
      <c r="C14" s="22">
        <f t="shared" si="0"/>
        <v>800.55382847556496</v>
      </c>
      <c r="D14" s="28">
        <f>IF(ISNUMBER(B14),AVERAGE(INDEX($B$2:$B$301,MAX(1,13-semi)):INDEX($B$2:$B$301,MIN($M$2,13+semi))),"")</f>
        <v>9.809E-7</v>
      </c>
      <c r="E14" s="28">
        <f t="shared" si="1"/>
        <v>4.6727158027480294E-2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348.49272537984996</v>
      </c>
      <c r="J14" s="28">
        <f t="shared" si="4"/>
        <v>4.6727158027480294E-2</v>
      </c>
      <c r="K14" s="22">
        <f t="shared" si="5"/>
        <v>1</v>
      </c>
      <c r="L14" s="8" t="s">
        <v>108</v>
      </c>
      <c r="M14" s="17">
        <f>IF(ISNUMBER($M$12),0.7071*$M$12,"")</f>
        <v>216.77033145827943</v>
      </c>
    </row>
    <row r="15" spans="1:13" x14ac:dyDescent="0.3">
      <c r="A15" s="11">
        <v>130</v>
      </c>
      <c r="B15" s="32">
        <v>1.3979999999999999E-7</v>
      </c>
      <c r="C15" s="22">
        <f t="shared" si="0"/>
        <v>867.26664751519536</v>
      </c>
      <c r="D15" s="28">
        <f>IF(ISNUMBER(B15),AVERAGE(INDEX($B$2:$B$301,MAX(1,14-semi)):INDEX($B$2:$B$301,MIN($M$2,14+semi))),"")</f>
        <v>1.3979999999999999E-7</v>
      </c>
      <c r="E15" s="28">
        <f t="shared" si="1"/>
        <v>1.112192569656625E-2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415.20554441948036</v>
      </c>
      <c r="J15" s="28">
        <f t="shared" si="4"/>
        <v>1.112192569656625E-2</v>
      </c>
      <c r="K15" s="22">
        <f t="shared" si="5"/>
        <v>1</v>
      </c>
      <c r="L15" s="8" t="s">
        <v>109</v>
      </c>
      <c r="M15" s="17">
        <f>IF(ISNUMBER($M$12),($M$10+$M$11)/2,$M$7)</f>
        <v>452.061103095715</v>
      </c>
    </row>
    <row r="16" spans="1:13" x14ac:dyDescent="0.3">
      <c r="A16" s="11">
        <v>140</v>
      </c>
      <c r="B16" s="32">
        <v>-2.656E-7</v>
      </c>
      <c r="C16" s="22">
        <f t="shared" si="0"/>
        <v>933.97946655482576</v>
      </c>
      <c r="D16" s="28">
        <f>IF(ISNUMBER(B16),AVERAGE(INDEX($B$2:$B$301,MAX(1,15-semi)):INDEX($B$2:$B$301,MIN($M$2,15+semi))),"")</f>
        <v>-2.656E-7</v>
      </c>
      <c r="E16" s="28">
        <f t="shared" si="1"/>
        <v>-6.0393645031157749E-3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481.91836345911076</v>
      </c>
      <c r="J16" s="28">
        <f t="shared" si="4"/>
        <v>-6.0393645031157749E-3</v>
      </c>
      <c r="K16" s="22">
        <f t="shared" si="5"/>
        <v>1</v>
      </c>
      <c r="L16" s="8" t="s">
        <v>79</v>
      </c>
      <c r="M16" s="12">
        <f>COUNTIF($E$2:$E$301,"&gt;=0.5")</f>
        <v>5</v>
      </c>
    </row>
    <row r="17" spans="1:13" x14ac:dyDescent="0.3">
      <c r="A17" s="11">
        <v>150</v>
      </c>
      <c r="B17" s="32">
        <v>-4.2160000000000002E-7</v>
      </c>
      <c r="C17" s="22">
        <f t="shared" si="0"/>
        <v>1000.6922855944562</v>
      </c>
      <c r="D17" s="28">
        <f>IF(ISNUMBER(B17),AVERAGE(INDEX($B$2:$B$301,MAX(1,16-semi)):INDEX($B$2:$B$301,MIN($M$2,16+semi))),"")</f>
        <v>-4.2160000000000002E-7</v>
      </c>
      <c r="E17" s="28">
        <f t="shared" si="1"/>
        <v>-1.2643117021987003E-2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548.63118249874117</v>
      </c>
      <c r="J17" s="28">
        <f t="shared" si="4"/>
        <v>-1.2643117021987003E-2</v>
      </c>
      <c r="K17" s="22">
        <f t="shared" si="5"/>
        <v>1</v>
      </c>
      <c r="L17" s="8" t="s">
        <v>110</v>
      </c>
      <c r="M17" s="17">
        <f>IFERROR($M$15-MIN($C$2:$C$301),"")</f>
        <v>452.061103095715</v>
      </c>
    </row>
    <row r="18" spans="1:13" x14ac:dyDescent="0.3">
      <c r="A18" s="11">
        <v>160</v>
      </c>
      <c r="B18" s="32">
        <v>-5.6140000000000004E-7</v>
      </c>
      <c r="C18" s="22">
        <f t="shared" si="0"/>
        <v>1067.4051046340865</v>
      </c>
      <c r="D18" s="28">
        <f>IF(ISNUMBER(B18),AVERAGE(INDEX($B$2:$B$301,MAX(1,17-semi)):INDEX($B$2:$B$301,MIN($M$2,17+semi))),"")</f>
        <v>-5.6140000000000004E-7</v>
      </c>
      <c r="E18" s="28">
        <f t="shared" si="1"/>
        <v>-1.8561095240821605E-2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615.34400153837146</v>
      </c>
      <c r="J18" s="28">
        <f t="shared" si="4"/>
        <v>-1.8561095240821605E-2</v>
      </c>
      <c r="K18" s="22" t="str">
        <f t="shared" si="5"/>
        <v/>
      </c>
      <c r="L18" s="8" t="s">
        <v>111</v>
      </c>
      <c r="M18" s="17">
        <f>IFERROR(MAX($C$2:$C$301)-$M$15,"")</f>
        <v>615.34400153837146</v>
      </c>
    </row>
    <row r="19" spans="1:13" x14ac:dyDescent="0.3">
      <c r="C19" s="22" t="str">
        <f t="shared" si="0"/>
        <v/>
      </c>
      <c r="D19" s="28" t="str">
        <f>IF(ISNUMBER(B19),AVERAGE(INDEX($B$2:$B$301,MAX(1,18-semi)):INDEX($B$2:$B$301,MIN($M$2,18+semi))),"")</f>
        <v/>
      </c>
      <c r="E19" s="28" t="str">
        <f t="shared" si="1"/>
        <v/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 t="e">
        <f t="shared" si="3"/>
        <v>#N/A</v>
      </c>
      <c r="J19" s="28" t="e">
        <f t="shared" si="4"/>
        <v>#N/A</v>
      </c>
      <c r="K19" s="22" t="str">
        <f t="shared" si="5"/>
        <v/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C20" s="22" t="str">
        <f t="shared" si="0"/>
        <v/>
      </c>
      <c r="D20" s="28" t="str">
        <f>IF(ISNUMBER(B20),AVERAGE(INDEX($B$2:$B$301,MAX(1,19-semi)):INDEX($B$2:$B$301,MIN($M$2,19+semi))),"")</f>
        <v/>
      </c>
      <c r="E20" s="28" t="str">
        <f t="shared" si="1"/>
        <v/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 t="e">
        <f t="shared" si="3"/>
        <v>#N/A</v>
      </c>
      <c r="J20" s="28" t="e">
        <f t="shared" si="4"/>
        <v>#N/A</v>
      </c>
      <c r="K20" s="22" t="str">
        <f t="shared" si="5"/>
        <v/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el barrido no llega a las alas</v>
      </c>
    </row>
    <row r="21" spans="1:13" x14ac:dyDescent="0.3">
      <c r="C21" s="22" t="str">
        <f t="shared" si="0"/>
        <v/>
      </c>
      <c r="D21" s="28" t="str">
        <f>IF(ISNUMBER(B21),AVERAGE(INDEX($B$2:$B$301,MAX(1,20-semi)):INDEX($B$2:$B$301,MIN($M$2,20+semi))),"")</f>
        <v/>
      </c>
      <c r="E21" s="28" t="str">
        <f t="shared" si="1"/>
        <v/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 t="e">
        <f t="shared" si="3"/>
        <v>#N/A</v>
      </c>
      <c r="J21" s="28" t="e">
        <f t="shared" si="4"/>
        <v>#N/A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-153.28124130835766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153.28124130835772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29" priority="4">
      <formula>ISERROR(I2)</formula>
    </cfRule>
  </conditionalFormatting>
  <conditionalFormatting sqref="L23:M24">
    <cfRule type="containsErrors" dxfId="28" priority="5">
      <formula>ISERROR(L23)</formula>
    </cfRule>
  </conditionalFormatting>
  <conditionalFormatting sqref="M20">
    <cfRule type="cellIs" dxfId="27" priority="1" operator="equal">
      <formula>"OK"</formula>
    </cfRule>
    <cfRule type="beginsWith" dxfId="26" priority="2" operator="beginsWith" text="Aviso">
      <formula>LEFT(M20,5)="Aviso"</formula>
    </cfRule>
    <cfRule type="beginsWith" dxfId="2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M301"/>
  <sheetViews>
    <sheetView workbookViewId="0">
      <pane ySplit="1" topLeftCell="A23" activePane="bottomLeft" state="frozen"/>
      <selection pane="bottomLeft" activeCell="G22" sqref="G22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127</v>
      </c>
      <c r="M1" s="6" t="str">
        <f>"Corriente "&amp;IFERROR(INDEX('Registro piloto'!$C$5:$C$19,12),"")</f>
        <v>Corriente I1</v>
      </c>
    </row>
    <row r="2" spans="1:13" x14ac:dyDescent="0.3">
      <c r="A2" s="11">
        <v>0</v>
      </c>
      <c r="B2" s="32">
        <v>-5.8940000000000002E-7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-5.8940000000000002E-7</v>
      </c>
      <c r="E2" s="28">
        <f t="shared" ref="E2:E65" si="1">IF(AND(ISNUMBER(D2),ISNUMBER($M$4)),(D2-$M$4)/($M$5-$M$4),"")</f>
        <v>-2.480199583610039E-3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-783.76650318133932</v>
      </c>
      <c r="J2" s="28">
        <f t="shared" ref="J2:J65" si="4">IF(ISNUMBER(E2),E2,NA())</f>
        <v>-2.480199583610039E-3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22</v>
      </c>
    </row>
    <row r="3" spans="1:13" x14ac:dyDescent="0.3">
      <c r="A3" s="11">
        <v>10</v>
      </c>
      <c r="B3" s="32">
        <v>-5.3340000000000005E-7</v>
      </c>
      <c r="C3" s="22">
        <f t="shared" si="0"/>
        <v>66.712819039630403</v>
      </c>
      <c r="D3" s="28">
        <f>IF(ISNUMBER(B3),AVERAGE(INDEX($B$2:$B$301,MAX(1,2-semi)):INDEX($B$2:$B$301,MIN($M$2,2+semi))),"")</f>
        <v>-5.3340000000000005E-7</v>
      </c>
      <c r="E3" s="28">
        <f t="shared" si="1"/>
        <v>-1.4491288025296142E-4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-717.05368414170891</v>
      </c>
      <c r="J3" s="28">
        <f t="shared" si="4"/>
        <v>-1.4491288025296142E-4</v>
      </c>
      <c r="K3" s="22">
        <f t="shared" si="5"/>
        <v>1</v>
      </c>
      <c r="L3" s="8" t="s">
        <v>97</v>
      </c>
      <c r="M3" s="12">
        <f>COUNT($B$2:$B$301)</f>
        <v>22</v>
      </c>
    </row>
    <row r="4" spans="1:13" x14ac:dyDescent="0.3">
      <c r="A4" s="11">
        <v>20</v>
      </c>
      <c r="B4" s="32">
        <v>-4.6349999999999999E-7</v>
      </c>
      <c r="C4" s="22">
        <f t="shared" si="0"/>
        <v>133.42563807926081</v>
      </c>
      <c r="D4" s="28">
        <f>IF(ISNUMBER(B4),AVERAGE(INDEX($B$2:$B$301,MAX(1,3-semi)):INDEX($B$2:$B$301,MIN($M$2,3+semi))),"")</f>
        <v>-4.6349999999999999E-7</v>
      </c>
      <c r="E4" s="28">
        <f t="shared" si="1"/>
        <v>2.7700253441159664E-3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-650.34086510207851</v>
      </c>
      <c r="J4" s="28">
        <f t="shared" si="4"/>
        <v>2.7700253441159664E-3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-5.2992500000000006E-7</v>
      </c>
    </row>
    <row r="5" spans="1:13" x14ac:dyDescent="0.3">
      <c r="A5" s="11">
        <v>30</v>
      </c>
      <c r="B5" s="32">
        <v>-4.3560000000000001E-7</v>
      </c>
      <c r="C5" s="22">
        <f t="shared" si="0"/>
        <v>200.13845711889124</v>
      </c>
      <c r="D5" s="28">
        <f>IF(ISNUMBER(B5),AVERAGE(INDEX($B$2:$B$301,MAX(1,4-semi)):INDEX($B$2:$B$301,MIN($M$2,4+semi))),"")</f>
        <v>-4.3560000000000001E-7</v>
      </c>
      <c r="E5" s="28">
        <f t="shared" si="1"/>
        <v>3.9334985409670816E-3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-583.62804606244811</v>
      </c>
      <c r="J5" s="28">
        <f t="shared" si="4"/>
        <v>3.9334985409670816E-3</v>
      </c>
      <c r="K5" s="22">
        <f t="shared" si="5"/>
        <v>1</v>
      </c>
      <c r="L5" s="8" t="s">
        <v>99</v>
      </c>
      <c r="M5" s="19">
        <f>IF($M$2&lt;2*n_fondo,"",MAX($D$2:$D$301))</f>
        <v>2.3450000000000001E-5</v>
      </c>
    </row>
    <row r="6" spans="1:13" x14ac:dyDescent="0.3">
      <c r="A6" s="11">
        <v>40</v>
      </c>
      <c r="B6" s="32">
        <v>-2.7959999999999999E-7</v>
      </c>
      <c r="C6" s="22">
        <f t="shared" si="0"/>
        <v>266.85127615852161</v>
      </c>
      <c r="D6" s="28">
        <f>IF(ISNUMBER(B6),AVERAGE(INDEX($B$2:$B$301,MAX(1,5-semi)):INDEX($B$2:$B$301,MIN($M$2,5+semi))),"")</f>
        <v>-2.7959999999999999E-7</v>
      </c>
      <c r="E6" s="28">
        <f t="shared" si="1"/>
        <v>1.0438940071747515E-2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-516.9152270228177</v>
      </c>
      <c r="J6" s="28">
        <f t="shared" si="4"/>
        <v>1.0438940071747515E-2</v>
      </c>
      <c r="K6" s="22">
        <f t="shared" si="5"/>
        <v>1</v>
      </c>
      <c r="L6" s="8" t="s">
        <v>100</v>
      </c>
      <c r="M6" s="12">
        <f>IFERROR(MATCH($M$5,$D$2:$D$301,0)+1,"")</f>
        <v>14</v>
      </c>
    </row>
    <row r="7" spans="1:13" x14ac:dyDescent="0.3">
      <c r="A7" s="11">
        <v>50</v>
      </c>
      <c r="B7" s="32">
        <v>-1.258E-7</v>
      </c>
      <c r="C7" s="22">
        <f t="shared" si="0"/>
        <v>333.56409519815202</v>
      </c>
      <c r="D7" s="28">
        <f>IF(ISNUMBER(B7),AVERAGE(INDEX($B$2:$B$301,MAX(1,6-semi)):INDEX($B$2:$B$301,MIN($M$2,6+semi))),"")</f>
        <v>-1.258E-7</v>
      </c>
      <c r="E7" s="28">
        <f t="shared" si="1"/>
        <v>1.6852638196324633E-2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-450.2024079831873</v>
      </c>
      <c r="J7" s="28">
        <f t="shared" si="4"/>
        <v>1.6852638196324633E-2</v>
      </c>
      <c r="K7" s="22">
        <f t="shared" si="5"/>
        <v>1</v>
      </c>
      <c r="L7" s="8" t="s">
        <v>101</v>
      </c>
      <c r="M7" s="17">
        <f>IFERROR(INDEX($C$1:$C$301,$M$6),"")</f>
        <v>800.55382847556496</v>
      </c>
    </row>
    <row r="8" spans="1:13" x14ac:dyDescent="0.3">
      <c r="A8" s="11">
        <v>60</v>
      </c>
      <c r="B8" s="32">
        <v>4.904E-7</v>
      </c>
      <c r="C8" s="22">
        <f t="shared" si="0"/>
        <v>400.27691423778248</v>
      </c>
      <c r="D8" s="28">
        <f>IF(ISNUMBER(B8),AVERAGE(INDEX($B$2:$B$301,MAX(1,7-semi)):INDEX($B$2:$B$301,MIN($M$2,7+semi))),"")</f>
        <v>4.904E-7</v>
      </c>
      <c r="E8" s="28">
        <f t="shared" si="1"/>
        <v>4.2549132242907343E-2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-383.48958894355684</v>
      </c>
      <c r="J8" s="28">
        <f t="shared" si="4"/>
        <v>4.2549132242907343E-2</v>
      </c>
      <c r="K8" s="22">
        <f t="shared" si="5"/>
        <v>1</v>
      </c>
      <c r="L8" s="8" t="s">
        <v>102</v>
      </c>
      <c r="M8" s="12">
        <f>MAX($F$2:$F$301)</f>
        <v>11</v>
      </c>
    </row>
    <row r="9" spans="1:13" x14ac:dyDescent="0.3">
      <c r="A9" s="11">
        <v>70</v>
      </c>
      <c r="B9" s="32">
        <v>1.6819999999999999E-6</v>
      </c>
      <c r="C9" s="22">
        <f t="shared" si="0"/>
        <v>466.98973327741288</v>
      </c>
      <c r="D9" s="28">
        <f>IF(ISNUMBER(B9),AVERAGE(INDEX($B$2:$B$301,MAX(1,8-semi)):INDEX($B$2:$B$301,MIN($M$2,8+semi))),"")</f>
        <v>1.6819999999999999E-6</v>
      </c>
      <c r="E9" s="28">
        <f t="shared" si="1"/>
        <v>9.2240697166484045E-2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-316.77676990392644</v>
      </c>
      <c r="J9" s="28">
        <f t="shared" si="4"/>
        <v>9.2240697166484045E-2</v>
      </c>
      <c r="K9" s="22">
        <f t="shared" si="5"/>
        <v>1</v>
      </c>
      <c r="L9" s="8" t="s">
        <v>103</v>
      </c>
      <c r="M9" s="12">
        <f>MIN($G$2:$G$301)</f>
        <v>16</v>
      </c>
    </row>
    <row r="10" spans="1:13" x14ac:dyDescent="0.3">
      <c r="A10" s="11">
        <v>80</v>
      </c>
      <c r="B10" s="32">
        <v>4.1910000000000002E-6</v>
      </c>
      <c r="C10" s="22">
        <f t="shared" si="0"/>
        <v>533.70255231704323</v>
      </c>
      <c r="D10" s="28">
        <f>IF(ISNUMBER(B10),AVERAGE(INDEX($B$2:$B$301,MAX(1,9-semi)):INDEX($B$2:$B$301,MIN($M$2,9+semi))),"")</f>
        <v>4.1910000000000002E-6</v>
      </c>
      <c r="E10" s="28">
        <f t="shared" si="1"/>
        <v>0.196869881786536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-250.06395086429609</v>
      </c>
      <c r="J10" s="28">
        <f t="shared" si="4"/>
        <v>0.196869881786536</v>
      </c>
      <c r="K10" s="22">
        <f t="shared" si="5"/>
        <v>1</v>
      </c>
      <c r="L10" s="8" t="s">
        <v>104</v>
      </c>
      <c r="M10" s="17">
        <f>IF($M$8&gt;0,INDEX($H$1:$H$301,$M$8),"")</f>
        <v>626.32344625075734</v>
      </c>
    </row>
    <row r="11" spans="1:13" x14ac:dyDescent="0.3">
      <c r="A11" s="11">
        <v>90</v>
      </c>
      <c r="B11" s="32">
        <v>8.9139999999999997E-6</v>
      </c>
      <c r="C11" s="22">
        <f t="shared" si="0"/>
        <v>600.41537135667363</v>
      </c>
      <c r="D11" s="28">
        <f>IF(ISNUMBER(B11),AVERAGE(INDEX($B$2:$B$301,MAX(1,10-semi)):INDEX($B$2:$B$301,MIN($M$2,10+semi))),"")</f>
        <v>8.9139999999999997E-6</v>
      </c>
      <c r="E11" s="28">
        <f t="shared" si="1"/>
        <v>0.39382629428574106</v>
      </c>
      <c r="F11" s="22">
        <f>IF(AND(ISNUMBER(E11),ISNUMBER(E12),ISNUMBER($M$6)),IF(AND(11&lt;$M$6,E11&lt;0.5,E12&gt;=0.5),11,""),"")</f>
        <v>11</v>
      </c>
      <c r="G11" s="22" t="str">
        <f>IF(AND(ISNUMBER(E11),ISNUMBER(E12),ISNUMBER($M$6)),IF(AND(11&gt;=$M$6,E11&gt;=0.5,E12&lt;0.5),11,""),"")</f>
        <v/>
      </c>
      <c r="H11" s="22">
        <f t="shared" si="2"/>
        <v>626.32344625075734</v>
      </c>
      <c r="I11" s="22">
        <f t="shared" si="3"/>
        <v>-183.35113182466569</v>
      </c>
      <c r="J11" s="28">
        <f t="shared" si="4"/>
        <v>0.39382629428574106</v>
      </c>
      <c r="K11" s="22">
        <f t="shared" si="5"/>
        <v>1</v>
      </c>
      <c r="L11" s="8" t="s">
        <v>105</v>
      </c>
      <c r="M11" s="17">
        <f>IF($M$9&gt;0,INDEX($H$1:$H$301,$M$9),"")</f>
        <v>941.20956011192129</v>
      </c>
    </row>
    <row r="12" spans="1:13" ht="15.6" x14ac:dyDescent="0.3">
      <c r="A12" s="11">
        <v>100</v>
      </c>
      <c r="B12" s="32">
        <v>1.5469999999999999E-5</v>
      </c>
      <c r="C12" s="22">
        <f t="shared" si="0"/>
        <v>667.12819039630403</v>
      </c>
      <c r="D12" s="28">
        <f>IF(ISNUMBER(B12),AVERAGE(INDEX($B$2:$B$301,MAX(1,11-semi)):INDEX($B$2:$B$301,MIN($M$2,11+semi))),"")</f>
        <v>1.5469999999999999E-5</v>
      </c>
      <c r="E12" s="28">
        <f t="shared" si="1"/>
        <v>0.66722164477161627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-116.63831278503528</v>
      </c>
      <c r="J12" s="28">
        <f t="shared" si="4"/>
        <v>0.66722164477161627</v>
      </c>
      <c r="K12" s="22">
        <f t="shared" si="5"/>
        <v>1</v>
      </c>
      <c r="L12" s="8" t="s">
        <v>106</v>
      </c>
      <c r="M12" s="23">
        <f>IF(AND($M$8&gt;0,$M$9&gt;0),ABS($M$11-$M$10),"")</f>
        <v>314.88611386116395</v>
      </c>
    </row>
    <row r="13" spans="1:13" ht="15.6" x14ac:dyDescent="0.3">
      <c r="A13" s="11">
        <v>110</v>
      </c>
      <c r="B13" s="32">
        <v>2.2330000000000001E-5</v>
      </c>
      <c r="C13" s="22">
        <f t="shared" si="0"/>
        <v>733.84100943593455</v>
      </c>
      <c r="D13" s="28">
        <f>IF(ISNUMBER(B13),AVERAGE(INDEX($B$2:$B$301,MAX(1,12-semi)):INDEX($B$2:$B$301,MIN($M$2,12+semi))),"")</f>
        <v>2.2330000000000001E-5</v>
      </c>
      <c r="E13" s="28">
        <f t="shared" si="1"/>
        <v>0.95329426593285849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-49.925493745404765</v>
      </c>
      <c r="J13" s="28">
        <f t="shared" si="4"/>
        <v>0.95329426593285849</v>
      </c>
      <c r="K13" s="22">
        <f t="shared" si="5"/>
        <v>1</v>
      </c>
      <c r="L13" s="8" t="s">
        <v>107</v>
      </c>
      <c r="M13" s="23">
        <f>IF(ISNUMBER($M$12),factor_forma*$M$12,"")</f>
        <v>204.67597400975657</v>
      </c>
    </row>
    <row r="14" spans="1:13" x14ac:dyDescent="0.3">
      <c r="A14" s="11">
        <v>120</v>
      </c>
      <c r="B14" s="32">
        <v>2.3450000000000001E-5</v>
      </c>
      <c r="C14" s="22">
        <f t="shared" si="0"/>
        <v>800.55382847556496</v>
      </c>
      <c r="D14" s="28">
        <f>IF(ISNUMBER(B14),AVERAGE(INDEX($B$2:$B$301,MAX(1,13-semi)):INDEX($B$2:$B$301,MIN($M$2,13+semi))),"")</f>
        <v>2.3450000000000001E-5</v>
      </c>
      <c r="E14" s="28">
        <f t="shared" si="1"/>
        <v>1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16.787325294225639</v>
      </c>
      <c r="J14" s="28">
        <f t="shared" si="4"/>
        <v>1</v>
      </c>
      <c r="K14" s="22">
        <f t="shared" si="5"/>
        <v>1</v>
      </c>
      <c r="L14" s="8" t="s">
        <v>108</v>
      </c>
      <c r="M14" s="17">
        <f>IF(ISNUMBER($M$12),0.7071*$M$12,"")</f>
        <v>222.65597111122901</v>
      </c>
    </row>
    <row r="15" spans="1:13" x14ac:dyDescent="0.3">
      <c r="A15" s="11">
        <v>130</v>
      </c>
      <c r="B15" s="32">
        <v>1.927E-5</v>
      </c>
      <c r="C15" s="22">
        <f t="shared" si="0"/>
        <v>867.26664751519536</v>
      </c>
      <c r="D15" s="28">
        <f>IF(ISNUMBER(B15),AVERAGE(INDEX($B$2:$B$301,MAX(1,14-semi)):INDEX($B$2:$B$301,MIN($M$2,14+semi))),"")</f>
        <v>1.927E-5</v>
      </c>
      <c r="E15" s="28">
        <f t="shared" si="1"/>
        <v>0.82568752821370373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83.500144333856042</v>
      </c>
      <c r="J15" s="28">
        <f t="shared" si="4"/>
        <v>0.82568752821370373</v>
      </c>
      <c r="K15" s="22">
        <f t="shared" si="5"/>
        <v>1</v>
      </c>
      <c r="L15" s="8" t="s">
        <v>109</v>
      </c>
      <c r="M15" s="17">
        <f>IF(ISNUMBER($M$12),($M$10+$M$11)/2,$M$7)</f>
        <v>783.76650318133932</v>
      </c>
    </row>
    <row r="16" spans="1:13" x14ac:dyDescent="0.3">
      <c r="A16" s="11">
        <v>140</v>
      </c>
      <c r="B16" s="32">
        <v>1.2099999999999999E-5</v>
      </c>
      <c r="C16" s="22">
        <f t="shared" si="0"/>
        <v>933.97946655482576</v>
      </c>
      <c r="D16" s="28">
        <f>IF(ISNUMBER(B16),AVERAGE(INDEX($B$2:$B$301,MAX(1,15-semi)):INDEX($B$2:$B$301,MIN($M$2,15+semi))),"")</f>
        <v>1.2099999999999999E-5</v>
      </c>
      <c r="E16" s="28">
        <f t="shared" si="1"/>
        <v>0.52668742708744909</v>
      </c>
      <c r="F16" s="22" t="str">
        <f>IF(AND(ISNUMBER(E16),ISNUMBER(E17),ISNUMBER($M$6)),IF(AND(16&lt;$M$6,E16&lt;0.5,E17&gt;=0.5),16,""),"")</f>
        <v/>
      </c>
      <c r="G16" s="22">
        <f>IF(AND(ISNUMBER(E16),ISNUMBER(E17),ISNUMBER($M$6)),IF(AND(16&gt;=$M$6,E16&gt;=0.5,E17&lt;0.5),16,""),"")</f>
        <v>16</v>
      </c>
      <c r="H16" s="22">
        <f t="shared" si="2"/>
        <v>941.20956011192129</v>
      </c>
      <c r="I16" s="22">
        <f t="shared" si="3"/>
        <v>150.21296337348645</v>
      </c>
      <c r="J16" s="28">
        <f t="shared" si="4"/>
        <v>0.52668742708744909</v>
      </c>
      <c r="K16" s="22">
        <f t="shared" si="5"/>
        <v>1</v>
      </c>
      <c r="L16" s="8" t="s">
        <v>79</v>
      </c>
      <c r="M16" s="12">
        <f>COUNTIF($E$2:$E$301,"&gt;=0.5")</f>
        <v>5</v>
      </c>
    </row>
    <row r="17" spans="1:13" x14ac:dyDescent="0.3">
      <c r="A17" s="11">
        <v>150</v>
      </c>
      <c r="B17" s="32">
        <v>6.195E-6</v>
      </c>
      <c r="C17" s="22">
        <f t="shared" si="0"/>
        <v>1000.6922855944562</v>
      </c>
      <c r="D17" s="28">
        <f>IF(ISNUMBER(B17),AVERAGE(INDEX($B$2:$B$301,MAX(1,16-semi)):INDEX($B$2:$B$301,MIN($M$2,16+semi))),"")</f>
        <v>6.195E-6</v>
      </c>
      <c r="E17" s="28">
        <f t="shared" si="1"/>
        <v>0.28043978452810003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216.92578241311685</v>
      </c>
      <c r="J17" s="28">
        <f t="shared" si="4"/>
        <v>0.28043978452810003</v>
      </c>
      <c r="K17" s="22">
        <f t="shared" si="5"/>
        <v>1</v>
      </c>
      <c r="L17" s="8" t="s">
        <v>110</v>
      </c>
      <c r="M17" s="17">
        <f>IFERROR($M$15-MIN($C$2:$C$301),"")</f>
        <v>783.76650318133932</v>
      </c>
    </row>
    <row r="18" spans="1:13" x14ac:dyDescent="0.3">
      <c r="A18" s="11">
        <v>160</v>
      </c>
      <c r="B18" s="32">
        <v>2.621E-6</v>
      </c>
      <c r="C18" s="22">
        <f t="shared" si="0"/>
        <v>1067.4051046340865</v>
      </c>
      <c r="D18" s="28">
        <f>IF(ISNUMBER(B18),AVERAGE(INDEX($B$2:$B$301,MAX(1,17-semi)):INDEX($B$2:$B$301,MIN($M$2,17+semi))),"")</f>
        <v>2.621E-6</v>
      </c>
      <c r="E18" s="28">
        <f t="shared" si="1"/>
        <v>0.13139845099598935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283.63860145274714</v>
      </c>
      <c r="J18" s="28">
        <f t="shared" si="4"/>
        <v>0.13139845099598935</v>
      </c>
      <c r="K18" s="22">
        <f t="shared" si="5"/>
        <v>1</v>
      </c>
      <c r="L18" s="8" t="s">
        <v>111</v>
      </c>
      <c r="M18" s="17">
        <f>IFERROR(MAX($C$2:$C$301)-$M$15,"")</f>
        <v>617.20269665089916</v>
      </c>
    </row>
    <row r="19" spans="1:13" x14ac:dyDescent="0.3">
      <c r="A19" s="11">
        <v>170</v>
      </c>
      <c r="B19" s="32">
        <v>1.023E-6</v>
      </c>
      <c r="C19" s="22">
        <f t="shared" si="0"/>
        <v>1134.1179236737169</v>
      </c>
      <c r="D19" s="28">
        <f>IF(ISNUMBER(B19),AVERAGE(INDEX($B$2:$B$301,MAX(1,18-semi)):INDEX($B$2:$B$301,MIN($M$2,18+semi))),"")</f>
        <v>1.023E-6</v>
      </c>
      <c r="E19" s="28">
        <f t="shared" si="1"/>
        <v>6.4759376853764136E-2</v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>
        <f t="shared" si="3"/>
        <v>350.35142049237754</v>
      </c>
      <c r="J19" s="28">
        <f t="shared" si="4"/>
        <v>6.4759376853764136E-2</v>
      </c>
      <c r="K19" s="22">
        <f t="shared" si="5"/>
        <v>1</v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A20" s="11">
        <v>180</v>
      </c>
      <c r="B20" s="32">
        <v>1.3979999999999999E-7</v>
      </c>
      <c r="C20" s="22">
        <f t="shared" si="0"/>
        <v>1200.8307427133473</v>
      </c>
      <c r="D20" s="28">
        <f>IF(ISNUMBER(B20),AVERAGE(INDEX($B$2:$B$301,MAX(1,19-semi)):INDEX($B$2:$B$301,MIN($M$2,19+semi))),"")</f>
        <v>1.3979999999999999E-7</v>
      </c>
      <c r="E20" s="28">
        <f t="shared" si="1"/>
        <v>2.7928569417961065E-2</v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>
        <f t="shared" si="3"/>
        <v>417.06423953200795</v>
      </c>
      <c r="J20" s="28">
        <f t="shared" si="4"/>
        <v>2.7928569417961065E-2</v>
      </c>
      <c r="K20" s="22">
        <f t="shared" si="5"/>
        <v>1</v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el barrido no llega a las alas</v>
      </c>
    </row>
    <row r="21" spans="1:13" x14ac:dyDescent="0.3">
      <c r="A21" s="11">
        <v>190</v>
      </c>
      <c r="B21" s="32">
        <v>-3.0800000000000001E-7</v>
      </c>
      <c r="C21" s="22">
        <f t="shared" si="0"/>
        <v>1267.5435617529777</v>
      </c>
      <c r="D21" s="28">
        <f>IF(ISNUMBER(B21),AVERAGE(INDEX($B$2:$B$301,MAX(1,20-semi)):INDEX($B$2:$B$301,MIN($M$2,20+semi))),"")</f>
        <v>-3.0800000000000001E-7</v>
      </c>
      <c r="E21" s="28">
        <f t="shared" si="1"/>
        <v>9.2546161007592814E-3</v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>
        <f t="shared" si="3"/>
        <v>483.77705857163835</v>
      </c>
      <c r="J21" s="28">
        <f t="shared" si="4"/>
        <v>9.2546161007592814E-3</v>
      </c>
      <c r="K21" s="22">
        <f t="shared" si="5"/>
        <v>1</v>
      </c>
    </row>
    <row r="22" spans="1:13" x14ac:dyDescent="0.3">
      <c r="A22" s="11">
        <v>200</v>
      </c>
      <c r="B22" s="32">
        <v>-4.6349999999999999E-7</v>
      </c>
      <c r="C22" s="22">
        <f t="shared" si="0"/>
        <v>1334.2563807926081</v>
      </c>
      <c r="D22" s="28">
        <f>IF(ISNUMBER(B22),AVERAGE(INDEX($B$2:$B$301,MAX(1,21-semi)):INDEX($B$2:$B$301,MIN($M$2,21+semi))),"")</f>
        <v>-4.6349999999999999E-7</v>
      </c>
      <c r="E22" s="28">
        <f t="shared" si="1"/>
        <v>2.7700253441159664E-3</v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>
        <f t="shared" si="3"/>
        <v>550.48987761126875</v>
      </c>
      <c r="J22" s="28">
        <f t="shared" si="4"/>
        <v>2.7700253441159664E-3</v>
      </c>
      <c r="K22" s="22">
        <f t="shared" si="5"/>
        <v>1</v>
      </c>
      <c r="L22" s="2" t="s">
        <v>115</v>
      </c>
    </row>
    <row r="23" spans="1:13" x14ac:dyDescent="0.3">
      <c r="A23" s="11">
        <v>210</v>
      </c>
      <c r="B23" s="32">
        <v>-5.3340000000000005E-7</v>
      </c>
      <c r="C23" s="22">
        <f t="shared" si="0"/>
        <v>1400.9691998322385</v>
      </c>
      <c r="D23" s="28">
        <f>IF(ISNUMBER(B23),AVERAGE(INDEX($B$2:$B$301,MAX(1,22-semi)):INDEX($B$2:$B$301,MIN($M$2,22+semi))),"")</f>
        <v>-5.3340000000000005E-7</v>
      </c>
      <c r="E23" s="28">
        <f t="shared" si="1"/>
        <v>-1.4491288025296142E-4</v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>
        <f t="shared" si="3"/>
        <v>617.20269665089916</v>
      </c>
      <c r="J23" s="28">
        <f t="shared" si="4"/>
        <v>-1.4491288025296142E-4</v>
      </c>
      <c r="K23" s="22" t="str">
        <f t="shared" si="5"/>
        <v/>
      </c>
      <c r="L23" s="22">
        <f>IF(ISNUMBER($M$12),$M$10-$M$15,NA())</f>
        <v>-157.44305693058197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157.44305693058197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24" priority="4">
      <formula>ISERROR(I2)</formula>
    </cfRule>
  </conditionalFormatting>
  <conditionalFormatting sqref="L23:M24">
    <cfRule type="containsErrors" dxfId="23" priority="5">
      <formula>ISERROR(L23)</formula>
    </cfRule>
  </conditionalFormatting>
  <conditionalFormatting sqref="M20">
    <cfRule type="cellIs" dxfId="22" priority="1" operator="equal">
      <formula>"OK"</formula>
    </cfRule>
    <cfRule type="beginsWith" dxfId="21" priority="2" operator="beginsWith" text="Aviso">
      <formula>LEFT(M20,5)="Aviso"</formula>
    </cfRule>
    <cfRule type="beginsWith" dxfId="2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A2" sqref="A2:A23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128</v>
      </c>
      <c r="M1" s="6" t="str">
        <f>"Corriente "&amp;IFERROR(INDEX('Registro piloto'!$C$5:$C$19,13),"")</f>
        <v>Corriente I3</v>
      </c>
    </row>
    <row r="2" spans="1:13" x14ac:dyDescent="0.3">
      <c r="A2" s="11">
        <v>0</v>
      </c>
      <c r="B2" s="32">
        <v>-2.7959999999999999E-7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-2.7959999999999999E-7</v>
      </c>
      <c r="E2" s="28">
        <f t="shared" ref="E2:E65" si="1">IF(AND(ISNUMBER(D2),ISNUMBER($M$4)),(D2-$M$4)/($M$5-$M$4),"")</f>
        <v>-4.1173357663661821E-3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-783.9999397760696</v>
      </c>
      <c r="J2" s="28">
        <f t="shared" ref="J2:J65" si="4">IF(ISNUMBER(E2),E2,NA())</f>
        <v>-4.1173357663661821E-3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22</v>
      </c>
    </row>
    <row r="3" spans="1:13" x14ac:dyDescent="0.3">
      <c r="A3" s="11">
        <v>10</v>
      </c>
      <c r="B3" s="32">
        <v>-8.3890000000000005E-8</v>
      </c>
      <c r="C3" s="22">
        <f t="shared" si="0"/>
        <v>66.712819039630403</v>
      </c>
      <c r="D3" s="28">
        <f>IF(ISNUMBER(B3),AVERAGE(INDEX($B$2:$B$301,MAX(1,2-semi)):INDEX($B$2:$B$301,MIN($M$2,2+semi))),"")</f>
        <v>-8.3890000000000005E-8</v>
      </c>
      <c r="E3" s="28">
        <f t="shared" si="1"/>
        <v>7.8825000540476658E-4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-717.28712073643919</v>
      </c>
      <c r="J3" s="28">
        <f t="shared" si="4"/>
        <v>7.8825000540476658E-4</v>
      </c>
      <c r="K3" s="22">
        <f t="shared" si="5"/>
        <v>1</v>
      </c>
      <c r="L3" s="8" t="s">
        <v>97</v>
      </c>
      <c r="M3" s="12">
        <f>COUNT($B$2:$B$301)</f>
        <v>22</v>
      </c>
    </row>
    <row r="4" spans="1:13" x14ac:dyDescent="0.3">
      <c r="A4" s="11">
        <v>20</v>
      </c>
      <c r="B4" s="32">
        <v>5.5929999999999999E-8</v>
      </c>
      <c r="C4" s="22">
        <f t="shared" si="0"/>
        <v>133.42563807926081</v>
      </c>
      <c r="D4" s="28">
        <f>IF(ISNUMBER(B4),AVERAGE(INDEX($B$2:$B$301,MAX(1,3-semi)):INDEX($B$2:$B$301,MIN($M$2,3+semi))),"")</f>
        <v>5.5929999999999999E-8</v>
      </c>
      <c r="E4" s="28">
        <f t="shared" si="1"/>
        <v>4.2929201939950999E-3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-650.57430169680879</v>
      </c>
      <c r="J4" s="28">
        <f t="shared" si="4"/>
        <v>4.2929201939950999E-3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-1.153375E-7</v>
      </c>
    </row>
    <row r="5" spans="1:13" x14ac:dyDescent="0.3">
      <c r="A5" s="11">
        <v>30</v>
      </c>
      <c r="B5" s="11">
        <v>0</v>
      </c>
      <c r="C5" s="22">
        <f t="shared" si="0"/>
        <v>200.13845711889124</v>
      </c>
      <c r="D5" s="28">
        <f>IF(ISNUMBER(B5),AVERAGE(INDEX($B$2:$B$301,MAX(1,4-semi)):INDEX($B$2:$B$301,MIN($M$2,4+semi))),"")</f>
        <v>0</v>
      </c>
      <c r="E5" s="28">
        <f t="shared" si="1"/>
        <v>2.8910019873876237E-3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-583.86148265717839</v>
      </c>
      <c r="J5" s="28">
        <f t="shared" si="4"/>
        <v>2.8910019873876237E-3</v>
      </c>
      <c r="K5" s="22">
        <f t="shared" si="5"/>
        <v>1</v>
      </c>
      <c r="L5" s="8" t="s">
        <v>99</v>
      </c>
      <c r="M5" s="19">
        <f>IF($M$2&lt;2*n_fondo,"",MAX($D$2:$D$301))</f>
        <v>3.9780000000000002E-5</v>
      </c>
    </row>
    <row r="6" spans="1:13" x14ac:dyDescent="0.3">
      <c r="A6" s="11">
        <v>40</v>
      </c>
      <c r="B6" s="32">
        <v>-1.5379999999999999E-7</v>
      </c>
      <c r="C6" s="22">
        <f t="shared" si="0"/>
        <v>266.85127615852161</v>
      </c>
      <c r="D6" s="28">
        <f>IF(ISNUMBER(B6),AVERAGE(INDEX($B$2:$B$301,MAX(1,5-semi)):INDEX($B$2:$B$301,MIN($M$2,5+semi))),"")</f>
        <v>-1.5379999999999999E-7</v>
      </c>
      <c r="E6" s="28">
        <f t="shared" si="1"/>
        <v>-9.6408508889039943E-4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-517.14866361754798</v>
      </c>
      <c r="J6" s="28">
        <f t="shared" si="4"/>
        <v>-9.6408508889039943E-4</v>
      </c>
      <c r="K6" s="22">
        <f t="shared" si="5"/>
        <v>1</v>
      </c>
      <c r="L6" s="8" t="s">
        <v>100</v>
      </c>
      <c r="M6" s="12">
        <f>IFERROR(MATCH($M$5,$D$2:$D$301,0)+1,"")</f>
        <v>14</v>
      </c>
    </row>
    <row r="7" spans="1:13" x14ac:dyDescent="0.3">
      <c r="A7" s="11">
        <v>50</v>
      </c>
      <c r="B7" s="32">
        <v>-2.7959999999999999E-7</v>
      </c>
      <c r="C7" s="22">
        <f t="shared" si="0"/>
        <v>333.56409519815202</v>
      </c>
      <c r="D7" s="28">
        <f>IF(ISNUMBER(B7),AVERAGE(INDEX($B$2:$B$301,MAX(1,6-semi)):INDEX($B$2:$B$301,MIN($M$2,6+semi))),"")</f>
        <v>-2.7959999999999999E-7</v>
      </c>
      <c r="E7" s="28">
        <f t="shared" si="1"/>
        <v>-4.1173357663661821E-3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-450.43584457791758</v>
      </c>
      <c r="J7" s="28">
        <f t="shared" si="4"/>
        <v>-4.1173357663661821E-3</v>
      </c>
      <c r="K7" s="22">
        <f t="shared" si="5"/>
        <v>1</v>
      </c>
      <c r="L7" s="8" t="s">
        <v>101</v>
      </c>
      <c r="M7" s="17">
        <f>IFERROR(INDEX($C$1:$C$301,$M$6),"")</f>
        <v>800.55382847556496</v>
      </c>
    </row>
    <row r="8" spans="1:13" x14ac:dyDescent="0.3">
      <c r="A8" s="11">
        <v>60</v>
      </c>
      <c r="B8" s="32">
        <v>-1.3979999999999999E-7</v>
      </c>
      <c r="C8" s="22">
        <f t="shared" si="0"/>
        <v>400.27691423778248</v>
      </c>
      <c r="D8" s="28">
        <f>IF(ISNUMBER(B8),AVERAGE(INDEX($B$2:$B$301,MAX(1,7-semi)):INDEX($B$2:$B$301,MIN($M$2,7+semi))),"")</f>
        <v>-1.3979999999999999E-7</v>
      </c>
      <c r="E8" s="28">
        <f t="shared" si="1"/>
        <v>-6.1316688948927917E-4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-383.72302553828712</v>
      </c>
      <c r="J8" s="28">
        <f t="shared" si="4"/>
        <v>-6.1316688948927917E-4</v>
      </c>
      <c r="K8" s="22">
        <f t="shared" si="5"/>
        <v>1</v>
      </c>
      <c r="L8" s="8" t="s">
        <v>102</v>
      </c>
      <c r="M8" s="12">
        <f>MAX($F$2:$F$301)</f>
        <v>11</v>
      </c>
    </row>
    <row r="9" spans="1:13" x14ac:dyDescent="0.3">
      <c r="A9" s="11">
        <v>70</v>
      </c>
      <c r="B9" s="32">
        <v>4.1940000000000001E-7</v>
      </c>
      <c r="C9" s="22">
        <f t="shared" si="0"/>
        <v>466.98973327741288</v>
      </c>
      <c r="D9" s="28">
        <f>IF(ISNUMBER(B9),AVERAGE(INDEX($B$2:$B$301,MAX(1,8-semi)):INDEX($B$2:$B$301,MIN($M$2,8+semi))),"")</f>
        <v>4.1940000000000001E-7</v>
      </c>
      <c r="E9" s="28">
        <f t="shared" si="1"/>
        <v>1.3403508618018332E-2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-317.01020649865671</v>
      </c>
      <c r="J9" s="28">
        <f t="shared" si="4"/>
        <v>1.3403508618018332E-2</v>
      </c>
      <c r="K9" s="22">
        <f t="shared" si="5"/>
        <v>1</v>
      </c>
      <c r="L9" s="8" t="s">
        <v>103</v>
      </c>
      <c r="M9" s="12">
        <f>MIN($G$2:$G$301)</f>
        <v>15</v>
      </c>
    </row>
    <row r="10" spans="1:13" x14ac:dyDescent="0.3">
      <c r="A10" s="11">
        <v>80</v>
      </c>
      <c r="B10" s="32">
        <v>2.4090000000000001E-6</v>
      </c>
      <c r="C10" s="22">
        <f t="shared" si="0"/>
        <v>533.70255231704323</v>
      </c>
      <c r="D10" s="28">
        <f>IF(ISNUMBER(B10),AVERAGE(INDEX($B$2:$B$301,MAX(1,9-semi)):INDEX($B$2:$B$301,MIN($M$2,9+semi))),"")</f>
        <v>2.4090000000000001E-6</v>
      </c>
      <c r="E10" s="28">
        <f t="shared" si="1"/>
        <v>6.3273997870051862E-2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-250.29738745902637</v>
      </c>
      <c r="J10" s="28">
        <f t="shared" si="4"/>
        <v>6.3273997870051862E-2</v>
      </c>
      <c r="K10" s="22">
        <f t="shared" si="5"/>
        <v>1</v>
      </c>
      <c r="L10" s="8" t="s">
        <v>104</v>
      </c>
      <c r="M10" s="17">
        <f>IF($M$8&gt;0,INDEX($H$1:$H$301,$M$8),"")</f>
        <v>665.3642851254491</v>
      </c>
    </row>
    <row r="11" spans="1:13" x14ac:dyDescent="0.3">
      <c r="A11" s="11">
        <v>90</v>
      </c>
      <c r="B11" s="32">
        <v>7.3989999999999998E-6</v>
      </c>
      <c r="C11" s="22">
        <f t="shared" si="0"/>
        <v>600.41537135667363</v>
      </c>
      <c r="D11" s="28">
        <f>IF(ISNUMBER(B11),AVERAGE(INDEX($B$2:$B$301,MAX(1,10-semi)):INDEX($B$2:$B$301,MIN($M$2,10+semi))),"")</f>
        <v>7.3989999999999998E-6</v>
      </c>
      <c r="E11" s="28">
        <f t="shared" si="1"/>
        <v>0.18835127037087979</v>
      </c>
      <c r="F11" s="22">
        <f>IF(AND(ISNUMBER(E11),ISNUMBER(E12),ISNUMBER($M$6)),IF(AND(11&lt;$M$6,E11&lt;0.5,E12&gt;=0.5),11,""),"")</f>
        <v>11</v>
      </c>
      <c r="G11" s="22" t="str">
        <f>IF(AND(ISNUMBER(E11),ISNUMBER(E12),ISNUMBER($M$6)),IF(AND(11&gt;=$M$6,E11&gt;=0.5,E12&lt;0.5),11,""),"")</f>
        <v/>
      </c>
      <c r="H11" s="22">
        <f t="shared" si="2"/>
        <v>665.3642851254491</v>
      </c>
      <c r="I11" s="22">
        <f t="shared" si="3"/>
        <v>-183.58456841939596</v>
      </c>
      <c r="J11" s="28">
        <f t="shared" si="4"/>
        <v>0.18835127037087979</v>
      </c>
      <c r="K11" s="22">
        <f t="shared" si="5"/>
        <v>1</v>
      </c>
      <c r="L11" s="8" t="s">
        <v>105</v>
      </c>
      <c r="M11" s="17">
        <f>IF($M$9&gt;0,INDEX($H$1:$H$301,$M$9),"")</f>
        <v>902.63559442669009</v>
      </c>
    </row>
    <row r="12" spans="1:13" ht="15.6" x14ac:dyDescent="0.3">
      <c r="A12" s="11">
        <v>100</v>
      </c>
      <c r="B12" s="32">
        <v>2.0169999999999998E-5</v>
      </c>
      <c r="C12" s="22">
        <f t="shared" si="0"/>
        <v>667.12819039630403</v>
      </c>
      <c r="D12" s="28">
        <f>IF(ISNUMBER(B12),AVERAGE(INDEX($B$2:$B$301,MAX(1,11-semi)):INDEX($B$2:$B$301,MIN($M$2,11+semi))),"")</f>
        <v>2.0169999999999998E-5</v>
      </c>
      <c r="E12" s="28">
        <f t="shared" si="1"/>
        <v>0.50846386498171614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-116.87174937976556</v>
      </c>
      <c r="J12" s="28">
        <f t="shared" si="4"/>
        <v>0.50846386498171614</v>
      </c>
      <c r="K12" s="22">
        <f t="shared" si="5"/>
        <v>1</v>
      </c>
      <c r="L12" s="8" t="s">
        <v>106</v>
      </c>
      <c r="M12" s="23">
        <f>IF(AND($M$8&gt;0,$M$9&gt;0),ABS($M$11-$M$10),"")</f>
        <v>237.27130930124099</v>
      </c>
    </row>
    <row r="13" spans="1:13" ht="15.6" x14ac:dyDescent="0.3">
      <c r="A13" s="11">
        <v>110</v>
      </c>
      <c r="B13" s="32">
        <v>3.574E-5</v>
      </c>
      <c r="C13" s="22">
        <f t="shared" si="0"/>
        <v>733.84100943593455</v>
      </c>
      <c r="D13" s="28">
        <f>IF(ISNUMBER(B13),AVERAGE(INDEX($B$2:$B$301,MAX(1,12-semi)):INDEX($B$2:$B$301,MIN($M$2,12+semi))),"")</f>
        <v>3.574E-5</v>
      </c>
      <c r="E13" s="28">
        <f t="shared" si="1"/>
        <v>0.89873503388710518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-50.158930340135043</v>
      </c>
      <c r="J13" s="28">
        <f t="shared" si="4"/>
        <v>0.89873503388710518</v>
      </c>
      <c r="K13" s="22">
        <f t="shared" si="5"/>
        <v>1</v>
      </c>
      <c r="L13" s="8" t="s">
        <v>107</v>
      </c>
      <c r="M13" s="23">
        <f>IF(ISNUMBER($M$12),factor_forma*$M$12,"")</f>
        <v>154.22635104580664</v>
      </c>
    </row>
    <row r="14" spans="1:13" x14ac:dyDescent="0.3">
      <c r="A14" s="11">
        <v>120</v>
      </c>
      <c r="B14" s="32">
        <v>3.9780000000000002E-5</v>
      </c>
      <c r="C14" s="22">
        <f t="shared" si="0"/>
        <v>800.55382847556496</v>
      </c>
      <c r="D14" s="28">
        <f>IF(ISNUMBER(B14),AVERAGE(INDEX($B$2:$B$301,MAX(1,13-semi)):INDEX($B$2:$B$301,MIN($M$2,13+semi))),"")</f>
        <v>3.9780000000000002E-5</v>
      </c>
      <c r="E14" s="28">
        <f t="shared" si="1"/>
        <v>1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16.55388869949536</v>
      </c>
      <c r="J14" s="28">
        <f t="shared" si="4"/>
        <v>1</v>
      </c>
      <c r="K14" s="22">
        <f t="shared" si="5"/>
        <v>1</v>
      </c>
      <c r="L14" s="8" t="s">
        <v>108</v>
      </c>
      <c r="M14" s="17">
        <f>IF(ISNUMBER($M$12),0.7071*$M$12,"")</f>
        <v>167.7745428069075</v>
      </c>
    </row>
    <row r="15" spans="1:13" x14ac:dyDescent="0.3">
      <c r="A15" s="11">
        <v>130</v>
      </c>
      <c r="B15" s="32">
        <v>2.8929999999999999E-5</v>
      </c>
      <c r="C15" s="22">
        <f t="shared" si="0"/>
        <v>867.26664751519536</v>
      </c>
      <c r="D15" s="28">
        <f>IF(ISNUMBER(B15),AVERAGE(INDEX($B$2:$B$301,MAX(1,14-semi)):INDEX($B$2:$B$301,MIN($M$2,14+semi))),"")</f>
        <v>2.8929999999999999E-5</v>
      </c>
      <c r="E15" s="28">
        <f t="shared" si="1"/>
        <v>0.72803839546413152</v>
      </c>
      <c r="F15" s="22" t="str">
        <f>IF(AND(ISNUMBER(E15),ISNUMBER(E16),ISNUMBER($M$6)),IF(AND(15&lt;$M$6,E15&lt;0.5,E16&gt;=0.5),15,""),"")</f>
        <v/>
      </c>
      <c r="G15" s="22">
        <f>IF(AND(ISNUMBER(E15),ISNUMBER(E16),ISNUMBER($M$6)),IF(AND(15&gt;=$M$6,E15&gt;=0.5,E16&lt;0.5),15,""),"")</f>
        <v>15</v>
      </c>
      <c r="H15" s="22">
        <f t="shared" si="2"/>
        <v>902.63559442669009</v>
      </c>
      <c r="I15" s="22">
        <f t="shared" si="3"/>
        <v>83.266707739125764</v>
      </c>
      <c r="J15" s="28">
        <f t="shared" si="4"/>
        <v>0.72803839546413152</v>
      </c>
      <c r="K15" s="22">
        <f t="shared" si="5"/>
        <v>1</v>
      </c>
      <c r="L15" s="8" t="s">
        <v>109</v>
      </c>
      <c r="M15" s="17">
        <f>IF(ISNUMBER($M$12),($M$10+$M$11)/2,$M$7)</f>
        <v>783.9999397760696</v>
      </c>
    </row>
    <row r="16" spans="1:13" x14ac:dyDescent="0.3">
      <c r="A16" s="11">
        <v>140</v>
      </c>
      <c r="B16" s="32">
        <v>1.1770000000000001E-5</v>
      </c>
      <c r="C16" s="22">
        <f t="shared" si="0"/>
        <v>933.97946655482576</v>
      </c>
      <c r="D16" s="28">
        <f>IF(ISNUMBER(B16),AVERAGE(INDEX($B$2:$B$301,MAX(1,15-semi)):INDEX($B$2:$B$301,MIN($M$2,15+semi))),"")</f>
        <v>1.1770000000000001E-5</v>
      </c>
      <c r="E16" s="28">
        <f t="shared" si="1"/>
        <v>0.2979129453410439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149.97952677875617</v>
      </c>
      <c r="J16" s="28">
        <f t="shared" si="4"/>
        <v>0.2979129453410439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3.9509999999999999E-6</v>
      </c>
      <c r="C17" s="22">
        <f t="shared" si="0"/>
        <v>1000.6922855944562</v>
      </c>
      <c r="D17" s="28">
        <f>IF(ISNUMBER(B17),AVERAGE(INDEX($B$2:$B$301,MAX(1,16-semi)):INDEX($B$2:$B$301,MIN($M$2,16+semi))),"")</f>
        <v>3.9509999999999999E-6</v>
      </c>
      <c r="E17" s="28">
        <f t="shared" si="1"/>
        <v>0.10192513097551811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216.69234581838657</v>
      </c>
      <c r="J17" s="28">
        <f t="shared" si="4"/>
        <v>0.10192513097551811</v>
      </c>
      <c r="K17" s="22">
        <f t="shared" si="5"/>
        <v>1</v>
      </c>
      <c r="L17" s="8" t="s">
        <v>110</v>
      </c>
      <c r="M17" s="17">
        <f>IFERROR($M$15-MIN($C$2:$C$301),"")</f>
        <v>783.9999397760696</v>
      </c>
    </row>
    <row r="18" spans="1:13" x14ac:dyDescent="0.3">
      <c r="A18" s="11">
        <v>160</v>
      </c>
      <c r="B18" s="32">
        <v>9.7830000000000002E-7</v>
      </c>
      <c r="C18" s="22">
        <f t="shared" si="0"/>
        <v>1067.4051046340865</v>
      </c>
      <c r="D18" s="28">
        <f>IF(ISNUMBER(B18),AVERAGE(INDEX($B$2:$B$301,MAX(1,17-semi)):INDEX($B$2:$B$301,MIN($M$2,17+semi))),"")</f>
        <v>9.7830000000000002E-7</v>
      </c>
      <c r="E18" s="28">
        <f t="shared" si="1"/>
        <v>2.7412664449824493E-2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283.40516485801686</v>
      </c>
      <c r="J18" s="28">
        <f t="shared" si="4"/>
        <v>2.7412664449824493E-2</v>
      </c>
      <c r="K18" s="22">
        <f t="shared" si="5"/>
        <v>1</v>
      </c>
      <c r="L18" s="8" t="s">
        <v>111</v>
      </c>
      <c r="M18" s="17">
        <f>IFERROR(MAX($C$2:$C$301)-$M$15,"")</f>
        <v>616.96926005616888</v>
      </c>
    </row>
    <row r="19" spans="1:13" x14ac:dyDescent="0.3">
      <c r="A19" s="11">
        <v>170</v>
      </c>
      <c r="B19" s="11">
        <v>0</v>
      </c>
      <c r="C19" s="22">
        <f t="shared" si="0"/>
        <v>1134.1179236737169</v>
      </c>
      <c r="D19" s="28">
        <f>IF(ISNUMBER(B19),AVERAGE(INDEX($B$2:$B$301,MAX(1,18-semi)):INDEX($B$2:$B$301,MIN($M$2,18+semi))),"")</f>
        <v>0</v>
      </c>
      <c r="E19" s="28">
        <f t="shared" si="1"/>
        <v>2.8910019873876237E-3</v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>
        <f t="shared" si="3"/>
        <v>350.11798389764726</v>
      </c>
      <c r="J19" s="28">
        <f t="shared" si="4"/>
        <v>2.8910019873876237E-3</v>
      </c>
      <c r="K19" s="22">
        <f t="shared" si="5"/>
        <v>1</v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A20" s="11">
        <v>180</v>
      </c>
      <c r="B20" s="32">
        <v>-2.7959999999999999E-7</v>
      </c>
      <c r="C20" s="22">
        <f t="shared" si="0"/>
        <v>1200.8307427133473</v>
      </c>
      <c r="D20" s="28">
        <f>IF(ISNUMBER(B20),AVERAGE(INDEX($B$2:$B$301,MAX(1,19-semi)):INDEX($B$2:$B$301,MIN($M$2,19+semi))),"")</f>
        <v>-2.7959999999999999E-7</v>
      </c>
      <c r="E20" s="28">
        <f t="shared" si="1"/>
        <v>-4.1173357663661821E-3</v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>
        <f t="shared" si="3"/>
        <v>416.83080293727767</v>
      </c>
      <c r="J20" s="28">
        <f t="shared" si="4"/>
        <v>-4.1173357663661821E-3</v>
      </c>
      <c r="K20" s="22">
        <f t="shared" si="5"/>
        <v>1</v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A21" s="11">
        <v>190</v>
      </c>
      <c r="B21" s="32">
        <v>-2.7959999999999999E-7</v>
      </c>
      <c r="C21" s="22">
        <f t="shared" si="0"/>
        <v>1267.5435617529777</v>
      </c>
      <c r="D21" s="28">
        <f>IF(ISNUMBER(B21),AVERAGE(INDEX($B$2:$B$301,MAX(1,20-semi)):INDEX($B$2:$B$301,MIN($M$2,20+semi))),"")</f>
        <v>-2.7959999999999999E-7</v>
      </c>
      <c r="E21" s="28">
        <f t="shared" si="1"/>
        <v>-4.1173357663661821E-3</v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>
        <f t="shared" si="3"/>
        <v>483.54362197690807</v>
      </c>
      <c r="J21" s="28">
        <f t="shared" si="4"/>
        <v>-4.1173357663661821E-3</v>
      </c>
      <c r="K21" s="22">
        <f t="shared" si="5"/>
        <v>1</v>
      </c>
    </row>
    <row r="22" spans="1:13" x14ac:dyDescent="0.3">
      <c r="A22" s="11">
        <v>200</v>
      </c>
      <c r="B22" s="32">
        <v>-1.3979999999999999E-7</v>
      </c>
      <c r="C22" s="22">
        <f t="shared" si="0"/>
        <v>1334.2563807926081</v>
      </c>
      <c r="D22" s="28">
        <f>IF(ISNUMBER(B22),AVERAGE(INDEX($B$2:$B$301,MAX(1,21-semi)):INDEX($B$2:$B$301,MIN($M$2,21+semi))),"")</f>
        <v>-1.3979999999999999E-7</v>
      </c>
      <c r="E22" s="28">
        <f t="shared" si="1"/>
        <v>-6.1316688948927917E-4</v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>
        <f t="shared" si="3"/>
        <v>550.25644101653847</v>
      </c>
      <c r="J22" s="28">
        <f t="shared" si="4"/>
        <v>-6.1316688948927917E-4</v>
      </c>
      <c r="K22" s="22">
        <f t="shared" si="5"/>
        <v>1</v>
      </c>
      <c r="L22" s="2" t="s">
        <v>115</v>
      </c>
    </row>
    <row r="23" spans="1:13" x14ac:dyDescent="0.3">
      <c r="A23" s="11">
        <v>210</v>
      </c>
      <c r="B23" s="32">
        <v>4.1939999999999997E-8</v>
      </c>
      <c r="C23" s="22">
        <f t="shared" si="0"/>
        <v>1400.9691998322385</v>
      </c>
      <c r="D23" s="28">
        <f>IF(ISNUMBER(B23),AVERAGE(INDEX($B$2:$B$301,MAX(1,22-semi)):INDEX($B$2:$B$301,MIN($M$2,22+semi))),"")</f>
        <v>4.1939999999999997E-8</v>
      </c>
      <c r="E23" s="28">
        <f t="shared" si="1"/>
        <v>3.9422526504506944E-3</v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>
        <f t="shared" si="3"/>
        <v>616.96926005616888</v>
      </c>
      <c r="J23" s="28">
        <f t="shared" si="4"/>
        <v>3.9422526504506944E-3</v>
      </c>
      <c r="K23" s="22" t="str">
        <f t="shared" si="5"/>
        <v/>
      </c>
      <c r="L23" s="22">
        <f>IF(ISNUMBER($M$12),$M$10-$M$15,NA())</f>
        <v>-118.63565465062049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118.63565465062049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19" priority="4">
      <formula>ISERROR(I2)</formula>
    </cfRule>
  </conditionalFormatting>
  <conditionalFormatting sqref="L23:M24">
    <cfRule type="containsErrors" dxfId="18" priority="5">
      <formula>ISERROR(L23)</formula>
    </cfRule>
  </conditionalFormatting>
  <conditionalFormatting sqref="M20">
    <cfRule type="cellIs" dxfId="17" priority="1" operator="equal">
      <formula>"OK"</formula>
    </cfRule>
    <cfRule type="beginsWith" dxfId="16" priority="2" operator="beginsWith" text="Aviso">
      <formula>LEFT(M20,5)="Aviso"</formula>
    </cfRule>
    <cfRule type="beginsWith" dxfId="1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M301"/>
  <sheetViews>
    <sheetView workbookViewId="0">
      <pane ySplit="1" topLeftCell="A2" activePane="bottomLeft" state="frozen"/>
      <selection pane="bottomLeft" activeCell="D15" sqref="D15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129</v>
      </c>
      <c r="M1" s="6" t="str">
        <f>"Corriente "&amp;IFERROR(INDEX('Registro piloto'!$C$5:$C$19,14),"")</f>
        <v>Corriente I1</v>
      </c>
    </row>
    <row r="2" spans="1:13" x14ac:dyDescent="0.3">
      <c r="A2" s="11">
        <v>0</v>
      </c>
      <c r="B2" s="32">
        <v>1.398E-8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1.398E-8</v>
      </c>
      <c r="E2" s="28">
        <f t="shared" ref="E2:E65" si="1">IF(AND(ISNUMBER(D2),ISNUMBER($M$4)),(D2-$M$4)/($M$5-$M$4),"")</f>
        <v>-1.1338076541901863E-3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-787.16159266963734</v>
      </c>
      <c r="J2" s="28">
        <f t="shared" ref="J2:J65" si="4">IF(ISNUMBER(E2),E2,NA())</f>
        <v>-1.1338076541901863E-3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22</v>
      </c>
    </row>
    <row r="3" spans="1:13" x14ac:dyDescent="0.3">
      <c r="A3" s="11">
        <v>10</v>
      </c>
      <c r="B3" s="32">
        <v>5.5899999999999998E-8</v>
      </c>
      <c r="C3" s="22">
        <f t="shared" si="0"/>
        <v>66.712819039630403</v>
      </c>
      <c r="D3" s="28">
        <f>IF(ISNUMBER(B3),AVERAGE(INDEX($B$2:$B$301,MAX(1,2-semi)):INDEX($B$2:$B$301,MIN($M$2,2+semi))),"")</f>
        <v>5.5899999999999998E-8</v>
      </c>
      <c r="E3" s="28">
        <f t="shared" si="1"/>
        <v>5.6624481343576756E-4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-720.44877363000694</v>
      </c>
      <c r="J3" s="28">
        <f t="shared" si="4"/>
        <v>5.6624481343576756E-4</v>
      </c>
      <c r="K3" s="22">
        <f t="shared" si="5"/>
        <v>1</v>
      </c>
      <c r="L3" s="8" t="s">
        <v>97</v>
      </c>
      <c r="M3" s="12">
        <f>COUNT($B$2:$B$301)</f>
        <v>22</v>
      </c>
    </row>
    <row r="4" spans="1:13" x14ac:dyDescent="0.3">
      <c r="A4" s="11">
        <v>20</v>
      </c>
      <c r="B4" s="11">
        <v>0</v>
      </c>
      <c r="C4" s="22">
        <f t="shared" si="0"/>
        <v>133.42563807926081</v>
      </c>
      <c r="D4" s="28">
        <f>IF(ISNUMBER(B4),AVERAGE(INDEX($B$2:$B$301,MAX(1,3-semi)):INDEX($B$2:$B$301,MIN($M$2,3+semi))),"")</f>
        <v>0</v>
      </c>
      <c r="E4" s="28">
        <f t="shared" si="1"/>
        <v>-1.700762174643689E-3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-653.73595459037654</v>
      </c>
      <c r="J4" s="28">
        <f t="shared" si="4"/>
        <v>-1.700762174643689E-3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4.1937500000000001E-8</v>
      </c>
    </row>
    <row r="5" spans="1:13" x14ac:dyDescent="0.3">
      <c r="A5" s="11">
        <v>30</v>
      </c>
      <c r="B5" s="32">
        <v>1.5379999999999999E-7</v>
      </c>
      <c r="C5" s="22">
        <f t="shared" si="0"/>
        <v>200.13845711889124</v>
      </c>
      <c r="D5" s="28">
        <f>IF(ISNUMBER(B3),AVERAGE(INDEX($B$2:$B$301,MAX(1,4-semi)):INDEX($B$2:$B$301,MIN($M$2,4+semi))),"")</f>
        <v>1.5379999999999999E-7</v>
      </c>
      <c r="E5" s="28">
        <f t="shared" si="1"/>
        <v>4.5365486440793953E-3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-587.02313555074613</v>
      </c>
      <c r="J5" s="28">
        <f t="shared" si="4"/>
        <v>4.5365486440793953E-3</v>
      </c>
      <c r="K5" s="22">
        <f t="shared" si="5"/>
        <v>1</v>
      </c>
      <c r="L5" s="8" t="s">
        <v>99</v>
      </c>
      <c r="M5" s="19">
        <f>IF($M$2&lt;2*n_fondo,"",MAX($D$2:$D$301))</f>
        <v>2.4700000000000001E-5</v>
      </c>
    </row>
    <row r="6" spans="1:13" x14ac:dyDescent="0.3">
      <c r="A6" s="11">
        <v>40</v>
      </c>
      <c r="B6" s="32">
        <v>1.6780000000000001E-7</v>
      </c>
      <c r="C6" s="22">
        <f t="shared" si="0"/>
        <v>266.85127615852161</v>
      </c>
      <c r="D6" s="28">
        <f>IF(ISNUMBER(B6),AVERAGE(INDEX($B$2:$B$301,MAX(1,5-semi)):INDEX($B$2:$B$301,MIN($M$2,5+semi))),"")</f>
        <v>1.6780000000000001E-7</v>
      </c>
      <c r="E6" s="28">
        <f t="shared" si="1"/>
        <v>5.104314258267453E-3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-520.31031651111573</v>
      </c>
      <c r="J6" s="28">
        <f t="shared" si="4"/>
        <v>5.104314258267453E-3</v>
      </c>
      <c r="K6" s="22">
        <f t="shared" si="5"/>
        <v>1</v>
      </c>
      <c r="L6" s="8" t="s">
        <v>100</v>
      </c>
      <c r="M6" s="12">
        <f>IFERROR(MATCH($M$5,$D$2:$D$301,0)+1,"")</f>
        <v>14</v>
      </c>
    </row>
    <row r="7" spans="1:13" x14ac:dyDescent="0.3">
      <c r="A7" s="11">
        <v>50</v>
      </c>
      <c r="B7" s="32">
        <v>5.7540000000000003E-7</v>
      </c>
      <c r="C7" s="22">
        <f t="shared" si="0"/>
        <v>333.56409519815202</v>
      </c>
      <c r="D7" s="28">
        <f>IF(ISNUMBER(B7),AVERAGE(INDEX($B$2:$B$301,MAX(1,6-semi)):INDEX($B$2:$B$301,MIN($M$2,6+semi))),"")</f>
        <v>5.7540000000000003E-7</v>
      </c>
      <c r="E7" s="28">
        <f t="shared" si="1"/>
        <v>2.163440456848546E-2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-453.59749747148533</v>
      </c>
      <c r="J7" s="28">
        <f t="shared" si="4"/>
        <v>2.163440456848546E-2</v>
      </c>
      <c r="K7" s="22">
        <f t="shared" si="5"/>
        <v>1</v>
      </c>
      <c r="L7" s="8" t="s">
        <v>101</v>
      </c>
      <c r="M7" s="17">
        <f>IFERROR(INDEX($C$1:$C$301,$M$6),"")</f>
        <v>800.55382847556496</v>
      </c>
    </row>
    <row r="8" spans="1:13" x14ac:dyDescent="0.3">
      <c r="A8" s="11">
        <v>60</v>
      </c>
      <c r="B8" s="32">
        <v>1.079E-6</v>
      </c>
      <c r="C8" s="22">
        <f t="shared" si="0"/>
        <v>400.27691423778248</v>
      </c>
      <c r="D8" s="28">
        <f>IF(ISNUMBER(B8),AVERAGE(INDEX($B$2:$B$301,MAX(1,7-semi)):INDEX($B$2:$B$301,MIN($M$2,7+semi))),"")</f>
        <v>1.079E-6</v>
      </c>
      <c r="E8" s="28">
        <f t="shared" si="1"/>
        <v>4.2057744804564423E-2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-386.88467843185487</v>
      </c>
      <c r="J8" s="28">
        <f t="shared" si="4"/>
        <v>4.2057744804564423E-2</v>
      </c>
      <c r="K8" s="22">
        <f t="shared" si="5"/>
        <v>1</v>
      </c>
      <c r="L8" s="8" t="s">
        <v>102</v>
      </c>
      <c r="M8" s="12">
        <f>MAX($F$2:$F$301)</f>
        <v>11</v>
      </c>
    </row>
    <row r="9" spans="1:13" x14ac:dyDescent="0.3">
      <c r="A9" s="11">
        <v>70</v>
      </c>
      <c r="B9" s="32">
        <v>2.2010000000000002E-6</v>
      </c>
      <c r="C9" s="22">
        <f t="shared" si="0"/>
        <v>466.98973327741288</v>
      </c>
      <c r="D9" s="28">
        <f>IF(ISNUMBER(B9),AVERAGE(INDEX($B$2:$B$301,MAX(1,8-semi)):INDEX($B$2:$B$301,MIN($M$2,8+semi))),"")</f>
        <v>2.2010000000000002E-6</v>
      </c>
      <c r="E9" s="28">
        <f t="shared" si="1"/>
        <v>8.7560103313064436E-2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-320.17185939222446</v>
      </c>
      <c r="J9" s="28">
        <f t="shared" si="4"/>
        <v>8.7560103313064436E-2</v>
      </c>
      <c r="K9" s="22">
        <f t="shared" si="5"/>
        <v>1</v>
      </c>
      <c r="L9" s="8" t="s">
        <v>103</v>
      </c>
      <c r="M9" s="12">
        <f>MIN($G$2:$G$301)</f>
        <v>16</v>
      </c>
    </row>
    <row r="10" spans="1:13" x14ac:dyDescent="0.3">
      <c r="A10" s="11">
        <v>80</v>
      </c>
      <c r="B10" s="32">
        <v>4.3449999999999999E-6</v>
      </c>
      <c r="C10" s="22">
        <f t="shared" si="0"/>
        <v>533.70255231704323</v>
      </c>
      <c r="D10" s="28">
        <f>IF(ISNUMBER(B10),AVERAGE(INDEX($B$2:$B$301,MAX(1,9-semi)):INDEX($B$2:$B$301,MIN($M$2,9+semi))),"")</f>
        <v>4.3449999999999999E-6</v>
      </c>
      <c r="E10" s="28">
        <f t="shared" si="1"/>
        <v>0.17450935165729262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-253.45904035259412</v>
      </c>
      <c r="J10" s="28">
        <f t="shared" si="4"/>
        <v>0.17450935165729262</v>
      </c>
      <c r="K10" s="22">
        <f t="shared" si="5"/>
        <v>1</v>
      </c>
      <c r="L10" s="8" t="s">
        <v>104</v>
      </c>
      <c r="M10" s="17">
        <f>IF($M$8&gt;0,INDEX($H$1:$H$301,$M$8),"")</f>
        <v>633.63714378449242</v>
      </c>
    </row>
    <row r="11" spans="1:13" x14ac:dyDescent="0.3">
      <c r="A11" s="11">
        <v>90</v>
      </c>
      <c r="B11" s="32">
        <v>8.6619999999999994E-6</v>
      </c>
      <c r="C11" s="22">
        <f t="shared" si="0"/>
        <v>600.41537135667363</v>
      </c>
      <c r="D11" s="28">
        <f>IF(ISNUMBER(B11),AVERAGE(INDEX($B$2:$B$301,MAX(1,10-semi)):INDEX($B$2:$B$301,MIN($M$2,10+semi))),"")</f>
        <v>8.6619999999999994E-6</v>
      </c>
      <c r="E11" s="28">
        <f t="shared" si="1"/>
        <v>0.34958393426085277</v>
      </c>
      <c r="F11" s="22">
        <f>IF(AND(ISNUMBER(E11),ISNUMBER(E12),ISNUMBER($M$6)),IF(AND(11&lt;$M$6,E11&lt;0.5,E12&gt;=0.5),11,""),"")</f>
        <v>11</v>
      </c>
      <c r="G11" s="22" t="str">
        <f>IF(AND(ISNUMBER(E11),ISNUMBER(E12),ISNUMBER($M$6)),IF(AND(11&gt;=$M$6,E11&gt;=0.5,E12&lt;0.5),11,""),"")</f>
        <v/>
      </c>
      <c r="H11" s="22">
        <f t="shared" si="2"/>
        <v>633.63714378449242</v>
      </c>
      <c r="I11" s="22">
        <f t="shared" si="3"/>
        <v>-186.74622131296371</v>
      </c>
      <c r="J11" s="28">
        <f t="shared" si="4"/>
        <v>0.34958393426085277</v>
      </c>
      <c r="K11" s="22">
        <f t="shared" si="5"/>
        <v>1</v>
      </c>
      <c r="L11" s="8" t="s">
        <v>105</v>
      </c>
      <c r="M11" s="17">
        <f>IF($M$9&gt;0,INDEX($H$1:$H$301,$M$9),"")</f>
        <v>940.68604155478226</v>
      </c>
    </row>
    <row r="12" spans="1:13" ht="15.6" x14ac:dyDescent="0.3">
      <c r="A12" s="11">
        <v>100</v>
      </c>
      <c r="B12" s="32">
        <v>1.611E-5</v>
      </c>
      <c r="C12" s="22">
        <f t="shared" si="0"/>
        <v>667.12819039630403</v>
      </c>
      <c r="D12" s="28">
        <f>IF(ISNUMBER(B12),AVERAGE(INDEX($B$2:$B$301,MAX(1,11-semi)):INDEX($B$2:$B$301,MIN($M$2,11+semi))),"")</f>
        <v>1.611E-5</v>
      </c>
      <c r="E12" s="28">
        <f t="shared" si="1"/>
        <v>0.65163524100889925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-120.03340227333331</v>
      </c>
      <c r="J12" s="28">
        <f t="shared" si="4"/>
        <v>0.65163524100889925</v>
      </c>
      <c r="K12" s="22">
        <f t="shared" si="5"/>
        <v>1</v>
      </c>
      <c r="L12" s="8" t="s">
        <v>106</v>
      </c>
      <c r="M12" s="23">
        <f>IF(AND($M$8&gt;0,$M$9&gt;0),ABS($M$11-$M$10),"")</f>
        <v>307.04889777028984</v>
      </c>
    </row>
    <row r="13" spans="1:13" ht="15.6" x14ac:dyDescent="0.3">
      <c r="A13" s="11">
        <v>110</v>
      </c>
      <c r="B13" s="32">
        <v>2.2439999999999999E-5</v>
      </c>
      <c r="C13" s="22">
        <f t="shared" si="0"/>
        <v>733.84100943593455</v>
      </c>
      <c r="D13" s="28">
        <f>IF(ISNUMBER(B13),AVERAGE(INDEX($B$2:$B$301,MAX(1,12-semi)):INDEX($B$2:$B$301,MIN($M$2,12+semi))),"")</f>
        <v>2.2439999999999999E-5</v>
      </c>
      <c r="E13" s="28">
        <f t="shared" si="1"/>
        <v>0.90834640799535638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-53.320583233702791</v>
      </c>
      <c r="J13" s="28">
        <f t="shared" si="4"/>
        <v>0.90834640799535638</v>
      </c>
      <c r="K13" s="22">
        <f t="shared" si="5"/>
        <v>1</v>
      </c>
      <c r="L13" s="8" t="s">
        <v>107</v>
      </c>
      <c r="M13" s="23">
        <f>IF(ISNUMBER($M$12),factor_forma*$M$12,"")</f>
        <v>199.58178355068841</v>
      </c>
    </row>
    <row r="14" spans="1:13" x14ac:dyDescent="0.3">
      <c r="A14" s="11">
        <v>120</v>
      </c>
      <c r="B14" s="32">
        <v>2.4700000000000001E-5</v>
      </c>
      <c r="C14" s="22">
        <f t="shared" si="0"/>
        <v>800.55382847556496</v>
      </c>
      <c r="D14" s="28">
        <f>IF(ISNUMBER(B14),AVERAGE(INDEX($B$2:$B$301,MAX(1,13-semi)):INDEX($B$2:$B$301,MIN($M$2,13+semi))),"")</f>
        <v>2.4700000000000001E-5</v>
      </c>
      <c r="E14" s="28">
        <f t="shared" si="1"/>
        <v>1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13.392235805927612</v>
      </c>
      <c r="J14" s="28">
        <f t="shared" si="4"/>
        <v>1</v>
      </c>
      <c r="K14" s="22">
        <f t="shared" si="5"/>
        <v>1</v>
      </c>
      <c r="L14" s="8" t="s">
        <v>108</v>
      </c>
      <c r="M14" s="17">
        <f>IF(ISNUMBER($M$12),0.7071*$M$12,"")</f>
        <v>217.11427561337194</v>
      </c>
    </row>
    <row r="15" spans="1:13" x14ac:dyDescent="0.3">
      <c r="A15" s="11">
        <v>130</v>
      </c>
      <c r="B15" s="32">
        <v>1.9919999999999999E-5</v>
      </c>
      <c r="C15" s="22">
        <f t="shared" si="0"/>
        <v>867.26664751519536</v>
      </c>
      <c r="D15" s="28">
        <f>IF(ISNUMBER(B15),AVERAGE(INDEX($B$2:$B$301,MAX(1,14-semi)):INDEX($B$2:$B$301,MIN($M$2,14+semi))),"")</f>
        <v>1.9919999999999999E-5</v>
      </c>
      <c r="E15" s="28">
        <f t="shared" si="1"/>
        <v>0.80614859744150613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80.105054845558016</v>
      </c>
      <c r="J15" s="28">
        <f t="shared" si="4"/>
        <v>0.80614859744150613</v>
      </c>
      <c r="K15" s="22">
        <f t="shared" si="5"/>
        <v>1</v>
      </c>
      <c r="L15" s="8" t="s">
        <v>109</v>
      </c>
      <c r="M15" s="17">
        <f>IF(ISNUMBER($M$12),($M$10+$M$11)/2,$M$7)</f>
        <v>787.16159266963734</v>
      </c>
    </row>
    <row r="16" spans="1:13" x14ac:dyDescent="0.3">
      <c r="A16" s="11">
        <v>140</v>
      </c>
      <c r="B16" s="32">
        <v>1.308E-5</v>
      </c>
      <c r="C16" s="22">
        <f t="shared" si="0"/>
        <v>933.97946655482576</v>
      </c>
      <c r="D16" s="28">
        <f>IF(ISNUMBER(B16),AVERAGE(INDEX($B$2:$B$301,MAX(1,15-semi)):INDEX($B$2:$B$301,MIN($M$2,15+semi))),"")</f>
        <v>1.308E-5</v>
      </c>
      <c r="E16" s="28">
        <f t="shared" si="1"/>
        <v>0.52875454022391255</v>
      </c>
      <c r="F16" s="22" t="str">
        <f>IF(AND(ISNUMBER(E16),ISNUMBER(E17),ISNUMBER($M$6)),IF(AND(16&lt;$M$6,E16&lt;0.5,E17&gt;=0.5),16,""),"")</f>
        <v/>
      </c>
      <c r="G16" s="22">
        <f>IF(AND(ISNUMBER(E16),ISNUMBER(E17),ISNUMBER($M$6)),IF(AND(16&gt;=$M$6,E16&gt;=0.5,E17&lt;0.5),16,""),"")</f>
        <v>16</v>
      </c>
      <c r="H16" s="22">
        <f t="shared" si="2"/>
        <v>940.68604155478226</v>
      </c>
      <c r="I16" s="22">
        <f t="shared" si="3"/>
        <v>146.81787388518842</v>
      </c>
      <c r="J16" s="28">
        <f t="shared" si="4"/>
        <v>0.52875454022391255</v>
      </c>
      <c r="K16" s="22">
        <f t="shared" si="5"/>
        <v>1</v>
      </c>
      <c r="L16" s="8" t="s">
        <v>79</v>
      </c>
      <c r="M16" s="12">
        <f>COUNTIF($E$2:$E$301,"&gt;=0.5")</f>
        <v>5</v>
      </c>
    </row>
    <row r="17" spans="1:13" x14ac:dyDescent="0.3">
      <c r="A17" s="11">
        <v>150</v>
      </c>
      <c r="B17" s="32">
        <v>6.0270000000000001E-6</v>
      </c>
      <c r="C17" s="22">
        <f t="shared" si="0"/>
        <v>1000.6922855944562</v>
      </c>
      <c r="D17" s="28">
        <f>IF(ISNUMBER(B17),AVERAGE(INDEX($B$2:$B$301,MAX(1,16-semi)):INDEX($B$2:$B$301,MIN($M$2,16+semi))),"")</f>
        <v>6.0270000000000001E-6</v>
      </c>
      <c r="E17" s="28">
        <f t="shared" si="1"/>
        <v>0.24272233473331492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213.53069292481882</v>
      </c>
      <c r="J17" s="28">
        <f t="shared" si="4"/>
        <v>0.24272233473331492</v>
      </c>
      <c r="K17" s="22">
        <f t="shared" si="5"/>
        <v>1</v>
      </c>
      <c r="L17" s="8" t="s">
        <v>110</v>
      </c>
      <c r="M17" s="17">
        <f>IFERROR($M$15-MIN($C$2:$C$301),"")</f>
        <v>787.16159266963734</v>
      </c>
    </row>
    <row r="18" spans="1:13" x14ac:dyDescent="0.3">
      <c r="A18" s="11">
        <v>160</v>
      </c>
      <c r="B18" s="32">
        <v>3.2099999999999998E-7</v>
      </c>
      <c r="C18" s="22">
        <f t="shared" si="0"/>
        <v>1067.4051046340865</v>
      </c>
      <c r="D18" s="28">
        <f>IF(ISNUMBER(B18),AVERAGE(INDEX($B$2:$B$301,MAX(1,17-semi)):INDEX($B$2:$B$301,MIN($M$2,17+semi))),"")</f>
        <v>3.2099999999999998E-7</v>
      </c>
      <c r="E18" s="28">
        <f t="shared" si="1"/>
        <v>1.1317292264953906E-2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280.24351196444911</v>
      </c>
      <c r="J18" s="28">
        <f t="shared" si="4"/>
        <v>1.1317292264953906E-2</v>
      </c>
      <c r="K18" s="22">
        <f t="shared" si="5"/>
        <v>1</v>
      </c>
      <c r="L18" s="8" t="s">
        <v>111</v>
      </c>
      <c r="M18" s="17">
        <f>IFERROR(MAX($C$2:$C$301)-$M$15,"")</f>
        <v>613.80760716260113</v>
      </c>
    </row>
    <row r="19" spans="1:13" x14ac:dyDescent="0.3">
      <c r="A19" s="11">
        <v>170</v>
      </c>
      <c r="B19" s="32">
        <v>1.6959999999999999E-6</v>
      </c>
      <c r="C19" s="22">
        <f t="shared" si="0"/>
        <v>1134.1179236737169</v>
      </c>
      <c r="D19" s="28">
        <f>IF(ISNUMBER(B19),AVERAGE(INDEX($B$2:$B$301,MAX(1,18-semi)):INDEX($B$2:$B$301,MIN($M$2,18+semi))),"")</f>
        <v>1.6959999999999999E-6</v>
      </c>
      <c r="E19" s="28">
        <f t="shared" si="1"/>
        <v>6.7079986515566653E-2</v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>
        <f t="shared" si="3"/>
        <v>346.95633100407952</v>
      </c>
      <c r="J19" s="28">
        <f t="shared" si="4"/>
        <v>6.7079986515566653E-2</v>
      </c>
      <c r="K19" s="22">
        <f t="shared" si="5"/>
        <v>1</v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A20" s="11">
        <v>180</v>
      </c>
      <c r="B20" s="32">
        <v>7.1520000000000005E-7</v>
      </c>
      <c r="C20" s="22">
        <f t="shared" si="0"/>
        <v>1200.8307427133473</v>
      </c>
      <c r="D20" s="28">
        <f>IF(ISNUMBER(B20),AVERAGE(INDEX($B$2:$B$301,MAX(1,19-semi)):INDEX($B$2:$B$301,MIN($M$2,19+semi))),"")</f>
        <v>7.1520000000000005E-7</v>
      </c>
      <c r="E20" s="28">
        <f t="shared" si="1"/>
        <v>2.7303949773020492E-2</v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>
        <f t="shared" si="3"/>
        <v>413.66915004370992</v>
      </c>
      <c r="J20" s="28">
        <f t="shared" si="4"/>
        <v>2.7303949773020492E-2</v>
      </c>
      <c r="K20" s="22">
        <f t="shared" si="5"/>
        <v>1</v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el barrido no llega a las alas</v>
      </c>
    </row>
    <row r="21" spans="1:13" x14ac:dyDescent="0.3">
      <c r="A21" s="11">
        <v>190</v>
      </c>
      <c r="B21" s="32">
        <v>2.938E-7</v>
      </c>
      <c r="C21" s="22">
        <f t="shared" si="0"/>
        <v>1267.5435617529777</v>
      </c>
      <c r="D21" s="28">
        <f>IF(ISNUMBER(B21),AVERAGE(INDEX($B$2:$B$301,MAX(1,20-semi)):INDEX($B$2:$B$301,MIN($M$2,20+semi))),"")</f>
        <v>2.938E-7</v>
      </c>
      <c r="E21" s="28">
        <f t="shared" si="1"/>
        <v>1.0214204785959967E-2</v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>
        <f t="shared" si="3"/>
        <v>480.38196908334032</v>
      </c>
      <c r="J21" s="28">
        <f t="shared" si="4"/>
        <v>1.0214204785959967E-2</v>
      </c>
      <c r="K21" s="22">
        <f t="shared" si="5"/>
        <v>1</v>
      </c>
    </row>
    <row r="22" spans="1:13" x14ac:dyDescent="0.3">
      <c r="A22" s="11">
        <v>200</v>
      </c>
      <c r="B22" s="32">
        <v>6.9909999999999995E-8</v>
      </c>
      <c r="C22" s="22">
        <f t="shared" si="0"/>
        <v>1334.2563807926081</v>
      </c>
      <c r="D22" s="28">
        <f>IF(ISNUMBER(B22),AVERAGE(INDEX($B$2:$B$301,MAX(1,21-semi)):INDEX($B$2:$B$301,MIN($M$2,21+semi))),"")</f>
        <v>6.9909999999999995E-8</v>
      </c>
      <c r="E22" s="28">
        <f t="shared" si="1"/>
        <v>1.1344159744911017E-3</v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>
        <f t="shared" si="3"/>
        <v>547.09478812297073</v>
      </c>
      <c r="J22" s="28">
        <f t="shared" si="4"/>
        <v>1.1344159744911017E-3</v>
      </c>
      <c r="K22" s="22">
        <f t="shared" si="5"/>
        <v>1</v>
      </c>
      <c r="L22" s="2" t="s">
        <v>115</v>
      </c>
    </row>
    <row r="23" spans="1:13" x14ac:dyDescent="0.3">
      <c r="A23" s="11">
        <v>210</v>
      </c>
      <c r="B23" s="32">
        <v>2.796E-8</v>
      </c>
      <c r="C23" s="22">
        <f t="shared" si="0"/>
        <v>1400.9691998322385</v>
      </c>
      <c r="D23" s="28">
        <f>IF(ISNUMBER(B23),AVERAGE(INDEX($B$2:$B$301,MAX(1,22-semi)):INDEX($B$2:$B$301,MIN($M$2,22+semi))),"")</f>
        <v>2.796E-8</v>
      </c>
      <c r="E23" s="28">
        <f t="shared" si="1"/>
        <v>-5.6685313373668349E-4</v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>
        <f t="shared" si="3"/>
        <v>613.80760716260113</v>
      </c>
      <c r="J23" s="28">
        <f t="shared" si="4"/>
        <v>-5.6685313373668349E-4</v>
      </c>
      <c r="K23" s="22" t="str">
        <f t="shared" si="5"/>
        <v/>
      </c>
      <c r="L23" s="22">
        <f>IF(ISNUMBER($M$12),$M$10-$M$15,NA())</f>
        <v>-153.52444888514492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153.52444888514492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14" priority="4">
      <formula>ISERROR(I2)</formula>
    </cfRule>
  </conditionalFormatting>
  <conditionalFormatting sqref="L23:M24">
    <cfRule type="containsErrors" dxfId="13" priority="5">
      <formula>ISERROR(L23)</formula>
    </cfRule>
  </conditionalFormatting>
  <conditionalFormatting sqref="M20">
    <cfRule type="cellIs" dxfId="12" priority="1" operator="equal">
      <formula>"OK"</formula>
    </cfRule>
    <cfRule type="beginsWith" dxfId="11" priority="2" operator="beginsWith" text="Aviso">
      <formula>LEFT(M20,5)="Aviso"</formula>
    </cfRule>
    <cfRule type="beginsWith" dxfId="1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301"/>
  <sheetViews>
    <sheetView topLeftCell="B1" workbookViewId="0">
      <pane ySplit="1" topLeftCell="A3" activePane="bottomLeft" state="frozen"/>
      <selection pane="bottomLeft" activeCell="B24" sqref="B24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3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130</v>
      </c>
      <c r="M1" s="6" t="str">
        <f>"Corriente "&amp;IFERROR(INDEX('Registro piloto'!$C$5:$C$19,15),"")</f>
        <v>Corriente I2</v>
      </c>
    </row>
    <row r="2" spans="1:13" x14ac:dyDescent="0.3">
      <c r="A2" s="11">
        <v>0</v>
      </c>
      <c r="B2" s="32">
        <v>-1.4E-8</v>
      </c>
      <c r="C2" s="22">
        <f t="shared" ref="C2:C65" si="0">IF(ISNUMBER(A2),A2*conv,"")</f>
        <v>0</v>
      </c>
      <c r="D2" s="28">
        <f>IF(ISNUMBER(B2),AVERAGE(INDEX($B$2:$B$301,MAX(1,1-semi)):INDEX($B$2:$B$301,MIN($M$2,1+semi))),"")</f>
        <v>-1.4E-8</v>
      </c>
      <c r="E2" s="28">
        <f t="shared" ref="E2:E65" si="1">IF(AND(ISNUMBER(D2),ISNUMBER($M$4)),(D2-$M$4)/($M$5-$M$4),"")</f>
        <v>1.0321056021980286E-4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-780.50983477218881</v>
      </c>
      <c r="J2" s="28">
        <f t="shared" ref="J2:J65" si="4">IF(ISNUMBER(E2),E2,NA())</f>
        <v>1.0321056021980286E-4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22</v>
      </c>
    </row>
    <row r="3" spans="1:13" x14ac:dyDescent="0.3">
      <c r="A3" s="11">
        <v>10</v>
      </c>
      <c r="B3" s="32">
        <v>-1.398E-8</v>
      </c>
      <c r="C3" s="22">
        <f t="shared" si="0"/>
        <v>66.712819039630403</v>
      </c>
      <c r="D3" s="28">
        <f>IF(ISNUMBER(B3),AVERAGE(INDEX($B$2:$B$301,MAX(1,2-semi)):INDEX($B$2:$B$301,MIN($M$2,2+semi))),"")</f>
        <v>-1.398E-8</v>
      </c>
      <c r="E3" s="28">
        <f t="shared" si="1"/>
        <v>1.0380372435899711E-4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-713.79701573255841</v>
      </c>
      <c r="J3" s="28">
        <f t="shared" si="4"/>
        <v>1.0380372435899711E-4</v>
      </c>
      <c r="K3" s="22">
        <f t="shared" si="5"/>
        <v>1</v>
      </c>
      <c r="L3" s="8" t="s">
        <v>97</v>
      </c>
      <c r="M3" s="12">
        <f>COUNT($B$2:$B$301)</f>
        <v>22</v>
      </c>
    </row>
    <row r="4" spans="1:13" x14ac:dyDescent="0.3">
      <c r="A4" s="11">
        <v>20</v>
      </c>
      <c r="B4" s="11">
        <v>0</v>
      </c>
      <c r="C4" s="22">
        <f t="shared" si="0"/>
        <v>133.42563807926081</v>
      </c>
      <c r="D4" s="28">
        <f>IF(ISNUMBER(B4),AVERAGE(INDEX($B$2:$B$301,MAX(1,3-semi)):INDEX($B$2:$B$301,MIN($M$2,3+semi))),"")</f>
        <v>0</v>
      </c>
      <c r="E4" s="28">
        <f t="shared" si="1"/>
        <v>5.184254576557915E-4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-647.084196692928</v>
      </c>
      <c r="J4" s="28">
        <f t="shared" si="4"/>
        <v>5.184254576557915E-4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-1.7479999999999998E-8</v>
      </c>
    </row>
    <row r="5" spans="1:13" x14ac:dyDescent="0.3">
      <c r="A5" s="11">
        <v>30</v>
      </c>
      <c r="B5" s="11">
        <v>0</v>
      </c>
      <c r="C5" s="22">
        <f t="shared" si="0"/>
        <v>200.13845711889124</v>
      </c>
      <c r="D5" s="28">
        <f>IF(ISNUMBER(B5),AVERAGE(INDEX($B$2:$B$301,MAX(1,4-semi)):INDEX($B$2:$B$301,MIN($M$2,4+semi))),"")</f>
        <v>0</v>
      </c>
      <c r="E5" s="28">
        <f t="shared" si="1"/>
        <v>5.184254576557915E-4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-580.3713776532976</v>
      </c>
      <c r="J5" s="28">
        <f t="shared" si="4"/>
        <v>5.184254576557915E-4</v>
      </c>
      <c r="K5" s="22">
        <f t="shared" si="5"/>
        <v>1</v>
      </c>
      <c r="L5" s="8" t="s">
        <v>99</v>
      </c>
      <c r="M5" s="19">
        <f>IF($M$2&lt;2*n_fondo,"",MAX($D$2:$D$301))</f>
        <v>3.3699999999999999E-5</v>
      </c>
    </row>
    <row r="6" spans="1:13" x14ac:dyDescent="0.3">
      <c r="A6" s="11">
        <v>40</v>
      </c>
      <c r="B6" s="32">
        <v>-1.398E-8</v>
      </c>
      <c r="C6" s="22">
        <f t="shared" si="0"/>
        <v>266.85127615852161</v>
      </c>
      <c r="D6" s="28">
        <f>IF(ISNUMBER(B6),AVERAGE(INDEX($B$2:$B$301,MAX(1,5-semi)):INDEX($B$2:$B$301,MIN($M$2,5+semi))),"")</f>
        <v>-1.398E-8</v>
      </c>
      <c r="E6" s="28">
        <f t="shared" si="1"/>
        <v>1.0380372435899711E-4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-513.6585586136672</v>
      </c>
      <c r="J6" s="28">
        <f t="shared" si="4"/>
        <v>1.0380372435899711E-4</v>
      </c>
      <c r="K6" s="22">
        <f t="shared" si="5"/>
        <v>1</v>
      </c>
      <c r="L6" s="8" t="s">
        <v>100</v>
      </c>
      <c r="M6" s="12">
        <f>IFERROR(MATCH($M$5,$D$2:$D$301,0)+1,"")</f>
        <v>14</v>
      </c>
    </row>
    <row r="7" spans="1:13" x14ac:dyDescent="0.3">
      <c r="A7" s="11">
        <v>50</v>
      </c>
      <c r="B7" s="11">
        <v>0</v>
      </c>
      <c r="C7" s="22">
        <f t="shared" si="0"/>
        <v>333.56409519815202</v>
      </c>
      <c r="D7" s="28">
        <f>IF(ISNUMBER(B7),AVERAGE(INDEX($B$2:$B$301,MAX(1,6-semi)):INDEX($B$2:$B$301,MIN($M$2,6+semi))),"")</f>
        <v>0</v>
      </c>
      <c r="E7" s="28">
        <f t="shared" si="1"/>
        <v>5.184254576557915E-4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-446.94573957403679</v>
      </c>
      <c r="J7" s="28">
        <f t="shared" si="4"/>
        <v>5.184254576557915E-4</v>
      </c>
      <c r="K7" s="22">
        <f t="shared" si="5"/>
        <v>1</v>
      </c>
      <c r="L7" s="8" t="s">
        <v>101</v>
      </c>
      <c r="M7" s="17">
        <f>IFERROR(INDEX($C$1:$C$301,$M$6),"")</f>
        <v>800.55382847556496</v>
      </c>
    </row>
    <row r="8" spans="1:13" x14ac:dyDescent="0.3">
      <c r="A8" s="11">
        <v>60</v>
      </c>
      <c r="B8" s="32">
        <v>2.7959999999999999E-7</v>
      </c>
      <c r="C8" s="22">
        <f t="shared" si="0"/>
        <v>400.27691423778248</v>
      </c>
      <c r="D8" s="28">
        <f>IF(ISNUMBER(B8),AVERAGE(INDEX($B$2:$B$301,MAX(1,7-semi)):INDEX($B$2:$B$301,MIN($M$2,7+semi))),"")</f>
        <v>2.7959999999999999E-7</v>
      </c>
      <c r="E8" s="28">
        <f t="shared" si="1"/>
        <v>8.8108601235916805E-3</v>
      </c>
      <c r="F8" s="22" t="str">
        <f>IF(AND(ISNUMBER(E8),ISNUMBER(E9),ISNUMBER($M$6)),IF(AND(8&lt;$M$6,E8&lt;0.5,E9&gt;=0.5),8,""),"")</f>
        <v/>
      </c>
      <c r="G8" s="22" t="str">
        <f>IF(AND(ISNUMBER(E8),ISNUMBER(E9),ISNUMBER($M$6)),IF(AND(8&gt;=$M$6,E8&gt;=0.5,E9&lt;0.5),8,""),"")</f>
        <v/>
      </c>
      <c r="H8" s="22" t="str">
        <f t="shared" si="2"/>
        <v/>
      </c>
      <c r="I8" s="22">
        <f t="shared" si="3"/>
        <v>-380.23292053440633</v>
      </c>
      <c r="J8" s="28">
        <f t="shared" si="4"/>
        <v>8.8108601235916805E-3</v>
      </c>
      <c r="K8" s="22">
        <f t="shared" si="5"/>
        <v>1</v>
      </c>
      <c r="L8" s="8" t="s">
        <v>102</v>
      </c>
      <c r="M8" s="12">
        <f>MAX($F$2:$F$301)</f>
        <v>11</v>
      </c>
    </row>
    <row r="9" spans="1:13" x14ac:dyDescent="0.3">
      <c r="A9" s="11">
        <v>70</v>
      </c>
      <c r="B9" s="32">
        <v>9.809E-7</v>
      </c>
      <c r="C9" s="22">
        <f t="shared" si="0"/>
        <v>466.98973327741288</v>
      </c>
      <c r="D9" s="28">
        <f>IF(ISNUMBER(B9),AVERAGE(INDEX($B$2:$B$301,MAX(1,8-semi)):INDEX($B$2:$B$301,MIN($M$2,8+semi))),"")</f>
        <v>9.809E-7</v>
      </c>
      <c r="E9" s="28">
        <f t="shared" si="1"/>
        <v>2.9610160664438737E-2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-313.52010149477593</v>
      </c>
      <c r="J9" s="28">
        <f t="shared" si="4"/>
        <v>2.9610160664438737E-2</v>
      </c>
      <c r="K9" s="22">
        <f t="shared" si="5"/>
        <v>1</v>
      </c>
      <c r="L9" s="8" t="s">
        <v>103</v>
      </c>
      <c r="M9" s="12">
        <f>MIN($G$2:$G$301)</f>
        <v>15</v>
      </c>
    </row>
    <row r="10" spans="1:13" x14ac:dyDescent="0.3">
      <c r="A10" s="11">
        <v>80</v>
      </c>
      <c r="B10" s="32">
        <v>1.9489999999999999E-6</v>
      </c>
      <c r="C10" s="22">
        <f t="shared" si="0"/>
        <v>533.70255231704323</v>
      </c>
      <c r="D10" s="28">
        <f>IF(ISNUMBER(B10),AVERAGE(INDEX($B$2:$B$301,MAX(1,9-semi)):INDEX($B$2:$B$301,MIN($M$2,9+semi))),"")</f>
        <v>1.9489999999999999E-6</v>
      </c>
      <c r="E10" s="28">
        <f t="shared" si="1"/>
        <v>5.8322270822137354E-2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-246.80728245514558</v>
      </c>
      <c r="J10" s="28">
        <f t="shared" si="4"/>
        <v>5.8322270822137354E-2</v>
      </c>
      <c r="K10" s="22">
        <f t="shared" si="5"/>
        <v>1</v>
      </c>
      <c r="L10" s="8" t="s">
        <v>104</v>
      </c>
      <c r="M10" s="17">
        <f>IF($M$8&gt;0,INDEX($H$1:$H$301,$M$8),"")</f>
        <v>661.46270556158436</v>
      </c>
    </row>
    <row r="11" spans="1:13" x14ac:dyDescent="0.3">
      <c r="A11" s="11">
        <v>90</v>
      </c>
      <c r="B11" s="32">
        <v>5.0019999999999997E-6</v>
      </c>
      <c r="C11" s="22">
        <f t="shared" si="0"/>
        <v>600.41537135667363</v>
      </c>
      <c r="D11" s="28">
        <f>IF(ISNUMBER(B11),AVERAGE(INDEX($B$2:$B$301,MAX(1,10-semi)):INDEX($B$2:$B$301,MIN($M$2,10+semi))),"")</f>
        <v>5.0019999999999997E-6</v>
      </c>
      <c r="E11" s="28">
        <f t="shared" si="1"/>
        <v>0.14886877667014259</v>
      </c>
      <c r="F11" s="22">
        <f>IF(AND(ISNUMBER(E11),ISNUMBER(E12),ISNUMBER($M$6)),IF(AND(11&lt;$M$6,E11&lt;0.5,E12&gt;=0.5),11,""),"")</f>
        <v>11</v>
      </c>
      <c r="G11" s="22" t="str">
        <f>IF(AND(ISNUMBER(E11),ISNUMBER(E12),ISNUMBER($M$6)),IF(AND(11&gt;=$M$6,E11&gt;=0.5,E12&lt;0.5),11,""),"")</f>
        <v/>
      </c>
      <c r="H11" s="22">
        <f t="shared" si="2"/>
        <v>661.46270556158436</v>
      </c>
      <c r="I11" s="22">
        <f t="shared" si="3"/>
        <v>-180.09446341551518</v>
      </c>
      <c r="J11" s="28">
        <f t="shared" si="4"/>
        <v>0.14886877667014259</v>
      </c>
      <c r="K11" s="22">
        <f t="shared" si="5"/>
        <v>1</v>
      </c>
      <c r="L11" s="8" t="s">
        <v>105</v>
      </c>
      <c r="M11" s="17">
        <f>IF($M$9&gt;0,INDEX($H$1:$H$301,$M$9),"")</f>
        <v>899.55696398279326</v>
      </c>
    </row>
    <row r="12" spans="1:13" ht="15.6" x14ac:dyDescent="0.3">
      <c r="A12" s="11">
        <v>100</v>
      </c>
      <c r="B12" s="32">
        <v>1.7940000000000001E-5</v>
      </c>
      <c r="C12" s="22">
        <f t="shared" si="0"/>
        <v>667.12819039630403</v>
      </c>
      <c r="D12" s="28">
        <f>IF(ISNUMBER(B12),AVERAGE(INDEX($B$2:$B$301,MAX(1,11-semi)):INDEX($B$2:$B$301,MIN($M$2,11+semi))),"")</f>
        <v>1.7940000000000001E-5</v>
      </c>
      <c r="E12" s="28">
        <f t="shared" si="1"/>
        <v>0.53258665831491558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-113.38164437588478</v>
      </c>
      <c r="J12" s="28">
        <f t="shared" si="4"/>
        <v>0.53258665831491558</v>
      </c>
      <c r="K12" s="22">
        <f t="shared" si="5"/>
        <v>1</v>
      </c>
      <c r="L12" s="8" t="s">
        <v>106</v>
      </c>
      <c r="M12" s="23">
        <f>IF(AND($M$8&gt;0,$M$9&gt;0),ABS($M$11-$M$10),"")</f>
        <v>238.09425842120891</v>
      </c>
    </row>
    <row r="13" spans="1:13" ht="15.6" x14ac:dyDescent="0.3">
      <c r="A13" s="11">
        <v>110</v>
      </c>
      <c r="B13" s="32">
        <v>3.0750000000000002E-5</v>
      </c>
      <c r="C13" s="22">
        <f t="shared" si="0"/>
        <v>733.84100943593455</v>
      </c>
      <c r="D13" s="28">
        <f>IF(ISNUMBER(B13),AVERAGE(INDEX($B$2:$B$301,MAX(1,12-semi)):INDEX($B$2:$B$301,MIN($M$2,12+semi))),"")</f>
        <v>3.0750000000000002E-5</v>
      </c>
      <c r="E13" s="28">
        <f t="shared" si="1"/>
        <v>0.91250828946884532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-46.668825336254258</v>
      </c>
      <c r="J13" s="28">
        <f t="shared" si="4"/>
        <v>0.91250828946884532</v>
      </c>
      <c r="K13" s="22">
        <f t="shared" si="5"/>
        <v>1</v>
      </c>
      <c r="L13" s="8" t="s">
        <v>107</v>
      </c>
      <c r="M13" s="23">
        <f>IF(ISNUMBER($M$12),factor_forma*$M$12,"")</f>
        <v>154.76126797378581</v>
      </c>
    </row>
    <row r="14" spans="1:13" x14ac:dyDescent="0.3">
      <c r="A14" s="11">
        <v>120</v>
      </c>
      <c r="B14" s="32">
        <v>3.3699999999999999E-5</v>
      </c>
      <c r="C14" s="22">
        <f t="shared" si="0"/>
        <v>800.55382847556496</v>
      </c>
      <c r="D14" s="28">
        <f>IF(ISNUMBER(B14),AVERAGE(INDEX($B$2:$B$301,MAX(1,13-semi)):INDEX($B$2:$B$301,MIN($M$2,13+semi))),"")</f>
        <v>3.3699999999999999E-5</v>
      </c>
      <c r="E14" s="28">
        <f t="shared" si="1"/>
        <v>1</v>
      </c>
      <c r="F14" s="22" t="str">
        <f>IF(AND(ISNUMBER(E14),ISNUMBER(E15),ISNUMBER($M$6)),IF(AND(14&lt;$M$6,E14&lt;0.5,E15&gt;=0.5),14,""),"")</f>
        <v/>
      </c>
      <c r="G14" s="22" t="str">
        <f>IF(AND(ISNUMBER(E14),ISNUMBER(E15),ISNUMBER($M$6)),IF(AND(14&gt;=$M$6,E14&gt;=0.5,E15&lt;0.5),14,""),"")</f>
        <v/>
      </c>
      <c r="H14" s="22" t="str">
        <f t="shared" si="2"/>
        <v/>
      </c>
      <c r="I14" s="22">
        <f t="shared" si="3"/>
        <v>20.043993703376145</v>
      </c>
      <c r="J14" s="28">
        <f t="shared" si="4"/>
        <v>1</v>
      </c>
      <c r="K14" s="22">
        <f t="shared" si="5"/>
        <v>1</v>
      </c>
      <c r="L14" s="8" t="s">
        <v>108</v>
      </c>
      <c r="M14" s="17">
        <f>IF(ISNUMBER($M$12),0.7071*$M$12,"")</f>
        <v>168.35645012963681</v>
      </c>
    </row>
    <row r="15" spans="1:13" x14ac:dyDescent="0.3">
      <c r="A15" s="11">
        <v>130</v>
      </c>
      <c r="B15" s="32">
        <v>2.3240000000000001E-5</v>
      </c>
      <c r="C15" s="22">
        <f t="shared" si="0"/>
        <v>867.26664751519536</v>
      </c>
      <c r="D15" s="28">
        <f>IF(ISNUMBER(B15),AVERAGE(INDEX($B$2:$B$301,MAX(1,14-semi)):INDEX($B$2:$B$301,MIN($M$2,14+semi))),"")</f>
        <v>2.3240000000000001E-5</v>
      </c>
      <c r="E15" s="28">
        <f t="shared" si="1"/>
        <v>0.68977515520139698</v>
      </c>
      <c r="F15" s="22" t="str">
        <f>IF(AND(ISNUMBER(E15),ISNUMBER(E16),ISNUMBER($M$6)),IF(AND(15&lt;$M$6,E15&lt;0.5,E16&gt;=0.5),15,""),"")</f>
        <v/>
      </c>
      <c r="G15" s="22">
        <f>IF(AND(ISNUMBER(E15),ISNUMBER(E16),ISNUMBER($M$6)),IF(AND(15&gt;=$M$6,E15&gt;=0.5,E16&lt;0.5),15,""),"")</f>
        <v>15</v>
      </c>
      <c r="H15" s="22">
        <f t="shared" si="2"/>
        <v>899.55696398279326</v>
      </c>
      <c r="I15" s="22">
        <f t="shared" si="3"/>
        <v>86.756812743006549</v>
      </c>
      <c r="J15" s="28">
        <f t="shared" si="4"/>
        <v>0.68977515520139698</v>
      </c>
      <c r="K15" s="22">
        <f t="shared" si="5"/>
        <v>1</v>
      </c>
      <c r="L15" s="8" t="s">
        <v>109</v>
      </c>
      <c r="M15" s="17">
        <f>IF(ISNUMBER($M$12),($M$10+$M$11)/2,$M$7)</f>
        <v>780.50983477218881</v>
      </c>
    </row>
    <row r="16" spans="1:13" x14ac:dyDescent="0.3">
      <c r="A16" s="11">
        <v>140</v>
      </c>
      <c r="B16" s="32">
        <v>1.0020000000000001E-5</v>
      </c>
      <c r="C16" s="22">
        <f t="shared" si="0"/>
        <v>933.97946655482576</v>
      </c>
      <c r="D16" s="28">
        <f>IF(ISNUMBER(B16),AVERAGE(INDEX($B$2:$B$301,MAX(1,15-semi)):INDEX($B$2:$B$301,MIN($M$2,15+semi))),"")</f>
        <v>1.0020000000000001E-5</v>
      </c>
      <c r="E16" s="28">
        <f t="shared" si="1"/>
        <v>0.29769365919398483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153.46963178263695</v>
      </c>
      <c r="J16" s="28">
        <f t="shared" si="4"/>
        <v>0.29769365919398483</v>
      </c>
      <c r="K16" s="22">
        <f t="shared" si="5"/>
        <v>1</v>
      </c>
      <c r="L16" s="8" t="s">
        <v>79</v>
      </c>
      <c r="M16" s="12">
        <f>COUNTIF($E$2:$E$301,"&gt;=0.5")</f>
        <v>4</v>
      </c>
    </row>
    <row r="17" spans="1:13" x14ac:dyDescent="0.3">
      <c r="A17" s="11">
        <v>150</v>
      </c>
      <c r="B17" s="32">
        <v>3.1939999999999998E-6</v>
      </c>
      <c r="C17" s="22">
        <f t="shared" si="0"/>
        <v>1000.6922855944562</v>
      </c>
      <c r="D17" s="28">
        <f>IF(ISNUMBER(B17),AVERAGE(INDEX($B$2:$B$301,MAX(1,16-semi)):INDEX($B$2:$B$301,MIN($M$2,16+semi))),"")</f>
        <v>3.1939999999999998E-6</v>
      </c>
      <c r="E17" s="28">
        <f t="shared" si="1"/>
        <v>9.5246738486980634E-2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220.18245082226736</v>
      </c>
      <c r="J17" s="28">
        <f t="shared" si="4"/>
        <v>9.5246738486980634E-2</v>
      </c>
      <c r="K17" s="22">
        <f t="shared" si="5"/>
        <v>1</v>
      </c>
      <c r="L17" s="8" t="s">
        <v>110</v>
      </c>
      <c r="M17" s="17">
        <f>IFERROR($M$15-MIN($C$2:$C$301),"")</f>
        <v>780.50983477218881</v>
      </c>
    </row>
    <row r="18" spans="1:13" x14ac:dyDescent="0.3">
      <c r="A18" s="11">
        <v>160</v>
      </c>
      <c r="B18" s="32">
        <v>1.4980000000000001E-6</v>
      </c>
      <c r="C18" s="22">
        <f t="shared" si="0"/>
        <v>1067.4051046340865</v>
      </c>
      <c r="D18" s="28">
        <f>IF(ISNUMBER(B18),AVERAGE(INDEX($B$2:$B$301,MAX(1,17-semi)):INDEX($B$2:$B$301,MIN($M$2,17+semi))),"")</f>
        <v>1.4980000000000001E-6</v>
      </c>
      <c r="E18" s="28">
        <f t="shared" si="1"/>
        <v>4.4946419483306577E-2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286.89526986189765</v>
      </c>
      <c r="J18" s="28">
        <f t="shared" si="4"/>
        <v>4.4946419483306577E-2</v>
      </c>
      <c r="K18" s="22">
        <f t="shared" si="5"/>
        <v>1</v>
      </c>
      <c r="L18" s="8" t="s">
        <v>111</v>
      </c>
      <c r="M18" s="17">
        <f>IFERROR(MAX($C$2:$C$301)-$M$15,"")</f>
        <v>620.45936506004966</v>
      </c>
    </row>
    <row r="19" spans="1:13" x14ac:dyDescent="0.3">
      <c r="A19" s="11">
        <v>170</v>
      </c>
      <c r="B19" s="32">
        <v>5.6140000000000004E-7</v>
      </c>
      <c r="C19" s="22">
        <f t="shared" si="0"/>
        <v>1134.1179236737169</v>
      </c>
      <c r="D19" s="28">
        <f>IF(ISNUMBER(B19),AVERAGE(INDEX($B$2:$B$301,MAX(1,18-semi)):INDEX($B$2:$B$301,MIN($M$2,18+semi))),"")</f>
        <v>5.6140000000000004E-7</v>
      </c>
      <c r="E19" s="28">
        <f t="shared" si="1"/>
        <v>1.716854284483894E-2</v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>
        <f t="shared" si="3"/>
        <v>353.60808890152805</v>
      </c>
      <c r="J19" s="28">
        <f t="shared" si="4"/>
        <v>1.716854284483894E-2</v>
      </c>
      <c r="K19" s="22">
        <f t="shared" si="5"/>
        <v>1</v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A20" s="11">
        <v>180</v>
      </c>
      <c r="B20" s="32">
        <v>1.3979999999999999E-7</v>
      </c>
      <c r="C20" s="22">
        <f t="shared" si="0"/>
        <v>1200.8307427133473</v>
      </c>
      <c r="D20" s="28">
        <f>IF(ISNUMBER(B20),AVERAGE(INDEX($B$2:$B$301,MAX(1,19-semi)):INDEX($B$2:$B$301,MIN($M$2,19+semi))),"")</f>
        <v>1.3979999999999999E-7</v>
      </c>
      <c r="E20" s="28">
        <f t="shared" si="1"/>
        <v>4.664642790623735E-3</v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>
        <f t="shared" si="3"/>
        <v>420.32090794115845</v>
      </c>
      <c r="J20" s="28">
        <f t="shared" si="4"/>
        <v>4.664642790623735E-3</v>
      </c>
      <c r="K20" s="22">
        <f t="shared" si="5"/>
        <v>1</v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Aviso: pocas lecturas dentro del ancho; afinar el paso cerca del pico</v>
      </c>
    </row>
    <row r="21" spans="1:13" x14ac:dyDescent="0.3">
      <c r="A21" s="11">
        <v>190</v>
      </c>
      <c r="B21" s="32">
        <v>-1.398E-8</v>
      </c>
      <c r="C21" s="22">
        <f t="shared" si="0"/>
        <v>1267.5435617529777</v>
      </c>
      <c r="D21" s="28">
        <f>IF(ISNUMBER(B21),AVERAGE(INDEX($B$2:$B$301,MAX(1,20-semi)):INDEX($B$2:$B$301,MIN($M$2,20+semi))),"")</f>
        <v>-1.398E-8</v>
      </c>
      <c r="E21" s="28">
        <f t="shared" si="1"/>
        <v>1.0380372435899711E-4</v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>
        <f t="shared" si="3"/>
        <v>487.03372698078886</v>
      </c>
      <c r="J21" s="28">
        <f t="shared" si="4"/>
        <v>1.0380372435899711E-4</v>
      </c>
      <c r="K21" s="22">
        <f t="shared" si="5"/>
        <v>1</v>
      </c>
    </row>
    <row r="22" spans="1:13" x14ac:dyDescent="0.3">
      <c r="A22" s="11">
        <v>200</v>
      </c>
      <c r="B22" s="32">
        <v>-4.1939999999999997E-8</v>
      </c>
      <c r="C22" s="22">
        <f t="shared" si="0"/>
        <v>1334.2563807926081</v>
      </c>
      <c r="D22" s="28">
        <f>IF(ISNUMBER(B22),AVERAGE(INDEX($B$2:$B$301,MAX(1,21-semi)):INDEX($B$2:$B$301,MIN($M$2,21+semi))),"")</f>
        <v>-4.1939999999999997E-8</v>
      </c>
      <c r="E22" s="28">
        <f t="shared" si="1"/>
        <v>-7.2543974223459153E-4</v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>
        <f t="shared" si="3"/>
        <v>553.74654602041926</v>
      </c>
      <c r="J22" s="28">
        <f t="shared" si="4"/>
        <v>-7.2543974223459153E-4</v>
      </c>
      <c r="K22" s="22">
        <f t="shared" si="5"/>
        <v>1</v>
      </c>
      <c r="L22" s="2" t="s">
        <v>115</v>
      </c>
    </row>
    <row r="23" spans="1:13" x14ac:dyDescent="0.3">
      <c r="A23" s="11">
        <v>210</v>
      </c>
      <c r="B23" s="11">
        <v>0</v>
      </c>
      <c r="C23" s="22">
        <f t="shared" si="0"/>
        <v>1400.9691998322385</v>
      </c>
      <c r="D23" s="28">
        <f>IF(ISNUMBER(B23),AVERAGE(INDEX($B$2:$B$301,MAX(1,22-semi)):INDEX($B$2:$B$301,MIN($M$2,22+semi))),"")</f>
        <v>0</v>
      </c>
      <c r="E23" s="28">
        <f t="shared" si="1"/>
        <v>5.184254576557915E-4</v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>
        <f t="shared" si="3"/>
        <v>620.45936506004966</v>
      </c>
      <c r="J23" s="28">
        <f t="shared" si="4"/>
        <v>5.184254576557915E-4</v>
      </c>
      <c r="K23" s="22" t="str">
        <f t="shared" si="5"/>
        <v/>
      </c>
      <c r="L23" s="22">
        <f>IF(ISNUMBER($M$12),$M$10-$M$15,NA())</f>
        <v>-119.04712921060445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119.04712921060445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conditionalFormatting sqref="I2:J301">
    <cfRule type="containsErrors" dxfId="9" priority="4">
      <formula>ISERROR(I2)</formula>
    </cfRule>
  </conditionalFormatting>
  <conditionalFormatting sqref="L23:M24">
    <cfRule type="containsErrors" dxfId="8" priority="5">
      <formula>ISERROR(L23)</formula>
    </cfRule>
  </conditionalFormatting>
  <conditionalFormatting sqref="M20">
    <cfRule type="cellIs" dxfId="7" priority="1" operator="equal">
      <formula>"OK"</formula>
    </cfRule>
    <cfRule type="beginsWith" dxfId="6" priority="2" operator="beginsWith" text="Aviso">
      <formula>LEFT(M20,5)="Aviso"</formula>
    </cfRule>
    <cfRule type="beginsWith" dxfId="5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A6A6A6"/>
    <pageSetUpPr fitToPage="1"/>
  </sheetPr>
  <dimension ref="A1:Q301"/>
  <sheetViews>
    <sheetView topLeftCell="B1" workbookViewId="0">
      <pane ySplit="1" topLeftCell="A24" activePane="bottomLeft" state="frozen"/>
      <selection pane="bottomLeft"/>
    </sheetView>
  </sheetViews>
  <sheetFormatPr baseColWidth="10" defaultColWidth="8.88671875" defaultRowHeight="14.4" x14ac:dyDescent="0.3"/>
  <cols>
    <col min="1" max="2" width="15.6640625" style="11" customWidth="1"/>
    <col min="3" max="5" width="12.6640625" customWidth="1"/>
    <col min="6" max="8" width="9.6640625" customWidth="1"/>
    <col min="9" max="10" width="11.6640625" customWidth="1"/>
    <col min="11" max="11" width="7.6640625" customWidth="1"/>
    <col min="12" max="12" width="40.6640625" customWidth="1"/>
    <col min="13" max="13" width="14.6640625" customWidth="1"/>
  </cols>
  <sheetData>
    <row r="1" spans="1:17" ht="42" customHeight="1" x14ac:dyDescent="0.3">
      <c r="A1" s="6" t="s">
        <v>85</v>
      </c>
      <c r="B1" s="6" t="s">
        <v>86</v>
      </c>
      <c r="C1" s="6" t="s">
        <v>87</v>
      </c>
      <c r="D1" s="6" t="s">
        <v>88</v>
      </c>
      <c r="E1" s="6" t="s">
        <v>89</v>
      </c>
      <c r="F1" s="6" t="s">
        <v>90</v>
      </c>
      <c r="G1" s="6" t="s">
        <v>91</v>
      </c>
      <c r="H1" s="6" t="s">
        <v>92</v>
      </c>
      <c r="I1" s="6" t="s">
        <v>93</v>
      </c>
      <c r="J1" s="6" t="s">
        <v>94</v>
      </c>
      <c r="K1" s="6" t="s">
        <v>95</v>
      </c>
      <c r="L1" s="6" t="s">
        <v>131</v>
      </c>
      <c r="M1" s="6" t="str">
        <f>"Ejemplo"</f>
        <v>Ejemplo</v>
      </c>
    </row>
    <row r="2" spans="1:17" x14ac:dyDescent="0.3">
      <c r="A2" s="11">
        <v>12463</v>
      </c>
      <c r="B2" s="11">
        <v>0.70299999999999996</v>
      </c>
      <c r="C2" s="22">
        <f t="shared" ref="C2:C65" si="0">IF(ISNUMBER(A2),A2*conv,"")</f>
        <v>83144.186369091374</v>
      </c>
      <c r="D2" s="28">
        <f>IF(ISNUMBER(B2),AVERAGE(INDEX($B$2:$B$301,MAX(1,1-semi)):INDEX($B$2:$B$301,MIN($M$2,1+semi))),"")</f>
        <v>0.70299999999999996</v>
      </c>
      <c r="E2" s="28">
        <f t="shared" ref="E2:E65" si="1">IF(AND(ISNUMBER(D2),ISNUMBER($M$4)),(D2-$M$4)/($M$5-$M$4),"")</f>
        <v>-1.8067891910643688E-4</v>
      </c>
      <c r="F2" s="22" t="str">
        <f>IF(AND(ISNUMBER(E2),ISNUMBER(E3),ISNUMBER($M$6)),IF(AND(2&lt;$M$6,E2&lt;0.5,E3&gt;=0.5),2,""),"")</f>
        <v/>
      </c>
      <c r="G2" s="22" t="str">
        <f>IF(AND(ISNUMBER(E2),ISNUMBER(E3),ISNUMBER($M$6)),IF(AND(2&gt;=$M$6,E2&gt;=0.5,E3&lt;0.5),2,""),"")</f>
        <v/>
      </c>
      <c r="H2" s="22" t="str">
        <f t="shared" ref="H2:H65" si="2">IF(OR(ISNUMBER(F2),ISNUMBER(G2)),C2+(0.5-E2)*(C3-C2)/(E3-E2),"")</f>
        <v/>
      </c>
      <c r="I2" s="22">
        <f t="shared" ref="I2:I65" si="3">IF(AND(ISNUMBER(E2),ISNUMBER($M$15)),C2-$M$15,NA())</f>
        <v>-246.5857885149162</v>
      </c>
      <c r="J2" s="28">
        <f t="shared" ref="J2:J65" si="4">IF(ISNUMBER(E2),E2,NA())</f>
        <v>-1.8067891910643688E-4</v>
      </c>
      <c r="K2" s="22">
        <f t="shared" ref="K2:K65" si="5">IF(AND(ISNUMBER(C2),ISNUMBER(C3)),SIGN(C3-C2),"")</f>
        <v>1</v>
      </c>
      <c r="L2" s="8" t="s">
        <v>96</v>
      </c>
      <c r="M2" s="12">
        <f>COUNT($A$2:$A$301)</f>
        <v>20</v>
      </c>
      <c r="N2" s="30" t="s">
        <v>132</v>
      </c>
      <c r="O2" s="30"/>
      <c r="P2" s="30"/>
      <c r="Q2" s="30"/>
    </row>
    <row r="3" spans="1:17" x14ac:dyDescent="0.3">
      <c r="A3" s="11">
        <v>12475</v>
      </c>
      <c r="B3" s="11">
        <v>0.73199999999999998</v>
      </c>
      <c r="C3" s="22">
        <f t="shared" si="0"/>
        <v>83224.241751938942</v>
      </c>
      <c r="D3" s="28">
        <f>IF(ISNUMBER(B3),AVERAGE(INDEX($B$2:$B$301,MAX(1,2-semi)):INDEX($B$2:$B$301,MIN($M$2,2+semi))),"")</f>
        <v>0.73199999999999998</v>
      </c>
      <c r="E3" s="28">
        <f t="shared" si="1"/>
        <v>6.5767126554741909E-4</v>
      </c>
      <c r="F3" s="22" t="str">
        <f>IF(AND(ISNUMBER(E3),ISNUMBER(E4),ISNUMBER($M$6)),IF(AND(3&lt;$M$6,E3&lt;0.5,E4&gt;=0.5),3,""),"")</f>
        <v/>
      </c>
      <c r="G3" s="22" t="str">
        <f>IF(AND(ISNUMBER(E3),ISNUMBER(E4),ISNUMBER($M$6)),IF(AND(3&gt;=$M$6,E3&gt;=0.5,E4&lt;0.5),3,""),"")</f>
        <v/>
      </c>
      <c r="H3" s="22" t="str">
        <f t="shared" si="2"/>
        <v/>
      </c>
      <c r="I3" s="22">
        <f t="shared" si="3"/>
        <v>-166.53040566734853</v>
      </c>
      <c r="J3" s="28">
        <f t="shared" si="4"/>
        <v>6.5767126554741909E-4</v>
      </c>
      <c r="K3" s="22">
        <f t="shared" si="5"/>
        <v>1</v>
      </c>
      <c r="L3" s="8" t="s">
        <v>97</v>
      </c>
      <c r="M3" s="12">
        <f>COUNT($B$2:$B$301)</f>
        <v>20</v>
      </c>
      <c r="N3" s="30"/>
      <c r="O3" s="30"/>
      <c r="P3" s="30"/>
      <c r="Q3" s="30"/>
    </row>
    <row r="4" spans="1:17" x14ac:dyDescent="0.3">
      <c r="A4" s="11">
        <v>12485</v>
      </c>
      <c r="B4" s="11">
        <v>2.0670000000000002</v>
      </c>
      <c r="C4" s="22">
        <f t="shared" si="0"/>
        <v>83290.95457097856</v>
      </c>
      <c r="D4" s="28">
        <f>IF(ISNUMBER(B4),AVERAGE(INDEX($B$2:$B$301,MAX(1,3-semi)):INDEX($B$2:$B$301,MIN($M$2,3+semi))),"")</f>
        <v>2.0670000000000002</v>
      </c>
      <c r="E4" s="28">
        <f t="shared" si="1"/>
        <v>3.9250688386681797E-2</v>
      </c>
      <c r="F4" s="22" t="str">
        <f>IF(AND(ISNUMBER(E4),ISNUMBER(E5),ISNUMBER($M$6)),IF(AND(4&lt;$M$6,E4&lt;0.5,E5&gt;=0.5),4,""),"")</f>
        <v/>
      </c>
      <c r="G4" s="22" t="str">
        <f>IF(AND(ISNUMBER(E4),ISNUMBER(E5),ISNUMBER($M$6)),IF(AND(4&gt;=$M$6,E4&gt;=0.5,E5&lt;0.5),4,""),"")</f>
        <v/>
      </c>
      <c r="H4" s="22" t="str">
        <f t="shared" si="2"/>
        <v/>
      </c>
      <c r="I4" s="22">
        <f t="shared" si="3"/>
        <v>-99.817586627730634</v>
      </c>
      <c r="J4" s="28">
        <f t="shared" si="4"/>
        <v>3.9250688386681797E-2</v>
      </c>
      <c r="K4" s="22">
        <f t="shared" si="5"/>
        <v>1</v>
      </c>
      <c r="L4" s="8" t="s">
        <v>98</v>
      </c>
      <c r="M4" s="19">
        <f>IF($M$2&lt;2*n_fondo,"",(AVERAGE(INDEX($B$2:$B$301,1):INDEX($B$2:$B$301,n_fondo))+AVERAGE(INDEX($B$2:$B$301,$M$2-n_fondo+1):INDEX($B$2:$B$301,$M$2)))/2)</f>
        <v>0.70925000000000005</v>
      </c>
      <c r="N4" s="30"/>
      <c r="O4" s="30"/>
      <c r="P4" s="30"/>
      <c r="Q4" s="30"/>
    </row>
    <row r="5" spans="1:17" x14ac:dyDescent="0.3">
      <c r="A5" s="11">
        <v>12487</v>
      </c>
      <c r="B5" s="11">
        <v>3.3969999999999998</v>
      </c>
      <c r="C5" s="22">
        <f t="shared" si="0"/>
        <v>83304.297134786495</v>
      </c>
      <c r="D5" s="28">
        <f>IF(ISNUMBER(B5),AVERAGE(INDEX($B$2:$B$301,MAX(1,4-semi)):INDEX($B$2:$B$301,MIN($M$2,4+semi))),"")</f>
        <v>3.3969999999999998</v>
      </c>
      <c r="E5" s="28">
        <f t="shared" si="1"/>
        <v>7.7699162372531008E-2</v>
      </c>
      <c r="F5" s="22" t="str">
        <f>IF(AND(ISNUMBER(E5),ISNUMBER(E6),ISNUMBER($M$6)),IF(AND(5&lt;$M$6,E5&lt;0.5,E6&gt;=0.5),5,""),"")</f>
        <v/>
      </c>
      <c r="G5" s="22" t="str">
        <f>IF(AND(ISNUMBER(E5),ISNUMBER(E6),ISNUMBER($M$6)),IF(AND(5&gt;=$M$6,E5&gt;=0.5,E6&lt;0.5),5,""),"")</f>
        <v/>
      </c>
      <c r="H5" s="22" t="str">
        <f t="shared" si="2"/>
        <v/>
      </c>
      <c r="I5" s="22">
        <f t="shared" si="3"/>
        <v>-86.475022819795413</v>
      </c>
      <c r="J5" s="28">
        <f t="shared" si="4"/>
        <v>7.7699162372531008E-2</v>
      </c>
      <c r="K5" s="22">
        <f t="shared" si="5"/>
        <v>1</v>
      </c>
      <c r="L5" s="8" t="s">
        <v>99</v>
      </c>
      <c r="M5" s="19">
        <f>IF($M$2&lt;2*n_fondo,"",MAX($D$2:$D$301))</f>
        <v>35.301000000000002</v>
      </c>
      <c r="N5" s="30"/>
      <c r="O5" s="30"/>
      <c r="P5" s="30"/>
      <c r="Q5" s="30"/>
    </row>
    <row r="6" spans="1:17" x14ac:dyDescent="0.3">
      <c r="A6" s="11">
        <v>12489</v>
      </c>
      <c r="B6" s="11">
        <v>5.7050000000000001</v>
      </c>
      <c r="C6" s="22">
        <f t="shared" si="0"/>
        <v>83317.639698594416</v>
      </c>
      <c r="D6" s="28">
        <f>IF(ISNUMBER(B6),AVERAGE(INDEX($B$2:$B$301,MAX(1,5-semi)):INDEX($B$2:$B$301,MIN($M$2,5+semi))),"")</f>
        <v>5.7050000000000001</v>
      </c>
      <c r="E6" s="28">
        <f t="shared" si="1"/>
        <v>0.14442027362015508</v>
      </c>
      <c r="F6" s="22" t="str">
        <f>IF(AND(ISNUMBER(E6),ISNUMBER(E7),ISNUMBER($M$6)),IF(AND(6&lt;$M$6,E6&lt;0.5,E7&gt;=0.5),6,""),"")</f>
        <v/>
      </c>
      <c r="G6" s="22" t="str">
        <f>IF(AND(ISNUMBER(E6),ISNUMBER(E7),ISNUMBER($M$6)),IF(AND(6&gt;=$M$6,E6&gt;=0.5,E7&lt;0.5),6,""),"")</f>
        <v/>
      </c>
      <c r="H6" s="22" t="str">
        <f t="shared" si="2"/>
        <v/>
      </c>
      <c r="I6" s="22">
        <f t="shared" si="3"/>
        <v>-73.132459011874744</v>
      </c>
      <c r="J6" s="28">
        <f t="shared" si="4"/>
        <v>0.14442027362015508</v>
      </c>
      <c r="K6" s="22">
        <f t="shared" si="5"/>
        <v>1</v>
      </c>
      <c r="L6" s="8" t="s">
        <v>100</v>
      </c>
      <c r="M6" s="12">
        <f>IFERROR(MATCH($M$5,$D$2:$D$301,0)+1,"")</f>
        <v>11</v>
      </c>
      <c r="N6" s="30"/>
      <c r="O6" s="30"/>
      <c r="P6" s="30"/>
      <c r="Q6" s="30"/>
    </row>
    <row r="7" spans="1:17" x14ac:dyDescent="0.3">
      <c r="A7" s="11">
        <v>12491</v>
      </c>
      <c r="B7" s="11">
        <v>9.7249999999999996</v>
      </c>
      <c r="C7" s="22">
        <f t="shared" si="0"/>
        <v>83330.982262402351</v>
      </c>
      <c r="D7" s="28">
        <f>IF(ISNUMBER(B7),AVERAGE(INDEX($B$2:$B$301,MAX(1,6-semi)):INDEX($B$2:$B$301,MIN($M$2,6+semi))),"")</f>
        <v>9.7249999999999996</v>
      </c>
      <c r="E7" s="28">
        <f t="shared" si="1"/>
        <v>0.26063295438941358</v>
      </c>
      <c r="F7" s="22" t="str">
        <f>IF(AND(ISNUMBER(E7),ISNUMBER(E8),ISNUMBER($M$6)),IF(AND(7&lt;$M$6,E7&lt;0.5,E8&gt;=0.5),7,""),"")</f>
        <v/>
      </c>
      <c r="G7" s="22" t="str">
        <f>IF(AND(ISNUMBER(E7),ISNUMBER(E8),ISNUMBER($M$6)),IF(AND(7&gt;=$M$6,E7&gt;=0.5,E8&lt;0.5),7,""),"")</f>
        <v/>
      </c>
      <c r="H7" s="22" t="str">
        <f t="shared" si="2"/>
        <v/>
      </c>
      <c r="I7" s="22">
        <f t="shared" si="3"/>
        <v>-59.789895203939523</v>
      </c>
      <c r="J7" s="28">
        <f t="shared" si="4"/>
        <v>0.26063295438941358</v>
      </c>
      <c r="K7" s="22">
        <f t="shared" si="5"/>
        <v>1</v>
      </c>
      <c r="L7" s="8" t="s">
        <v>101</v>
      </c>
      <c r="M7" s="17">
        <f>IFERROR(INDEX($C$1:$C$301,$M$6),"")</f>
        <v>83384.352517634048</v>
      </c>
      <c r="N7" s="30"/>
      <c r="O7" s="30"/>
      <c r="P7" s="30"/>
      <c r="Q7" s="30"/>
    </row>
    <row r="8" spans="1:17" x14ac:dyDescent="0.3">
      <c r="A8" s="11">
        <v>12493</v>
      </c>
      <c r="B8" s="11">
        <v>15.852</v>
      </c>
      <c r="C8" s="22">
        <f t="shared" si="0"/>
        <v>83344.324826210272</v>
      </c>
      <c r="D8" s="28">
        <f>IF(ISNUMBER(B8),AVERAGE(INDEX($B$2:$B$301,MAX(1,7-semi)):INDEX($B$2:$B$301,MIN($M$2,7+semi))),"")</f>
        <v>15.852</v>
      </c>
      <c r="E8" s="28">
        <f t="shared" si="1"/>
        <v>0.43775611236783329</v>
      </c>
      <c r="F8" s="22">
        <f>IF(AND(ISNUMBER(E8),ISNUMBER(E9),ISNUMBER($M$6)),IF(AND(8&lt;$M$6,E8&lt;0.5,E9&gt;=0.5),8,""),"")</f>
        <v>8</v>
      </c>
      <c r="G8" s="22" t="str">
        <f>IF(AND(ISNUMBER(E8),ISNUMBER(E9),ISNUMBER($M$6)),IF(AND(8&gt;=$M$6,E8&gt;=0.5,E9&lt;0.5),8,""),"")</f>
        <v/>
      </c>
      <c r="H8" s="22">
        <f t="shared" si="2"/>
        <v>83348.488938066905</v>
      </c>
      <c r="I8" s="22">
        <f t="shared" si="3"/>
        <v>-46.447331396018853</v>
      </c>
      <c r="J8" s="28">
        <f t="shared" si="4"/>
        <v>0.43775611236783329</v>
      </c>
      <c r="K8" s="22">
        <f t="shared" si="5"/>
        <v>1</v>
      </c>
      <c r="L8" s="8" t="s">
        <v>102</v>
      </c>
      <c r="M8" s="12">
        <f>MAX($F$2:$F$301)</f>
        <v>8</v>
      </c>
      <c r="N8" s="30"/>
      <c r="O8" s="30"/>
      <c r="P8" s="30"/>
      <c r="Q8" s="30"/>
    </row>
    <row r="9" spans="1:17" x14ac:dyDescent="0.3">
      <c r="A9" s="11">
        <v>12495</v>
      </c>
      <c r="B9" s="11">
        <v>22.751000000000001</v>
      </c>
      <c r="C9" s="22">
        <f t="shared" si="0"/>
        <v>83357.667390018192</v>
      </c>
      <c r="D9" s="28">
        <f>IF(ISNUMBER(B9),AVERAGE(INDEX($B$2:$B$301,MAX(1,8-semi)):INDEX($B$2:$B$301,MIN($M$2,8+semi))),"")</f>
        <v>22.751000000000001</v>
      </c>
      <c r="E9" s="28">
        <f t="shared" si="1"/>
        <v>0.63719673043427982</v>
      </c>
      <c r="F9" s="22" t="str">
        <f>IF(AND(ISNUMBER(E9),ISNUMBER(E10),ISNUMBER($M$6)),IF(AND(9&lt;$M$6,E9&lt;0.5,E10&gt;=0.5),9,""),"")</f>
        <v/>
      </c>
      <c r="G9" s="22" t="str">
        <f>IF(AND(ISNUMBER(E9),ISNUMBER(E10),ISNUMBER($M$6)),IF(AND(9&gt;=$M$6,E9&gt;=0.5,E10&lt;0.5),9,""),"")</f>
        <v/>
      </c>
      <c r="H9" s="22" t="str">
        <f t="shared" si="2"/>
        <v/>
      </c>
      <c r="I9" s="22">
        <f t="shared" si="3"/>
        <v>-33.104767588098184</v>
      </c>
      <c r="J9" s="28">
        <f t="shared" si="4"/>
        <v>0.63719673043427982</v>
      </c>
      <c r="K9" s="22">
        <f t="shared" si="5"/>
        <v>1</v>
      </c>
      <c r="L9" s="8" t="s">
        <v>103</v>
      </c>
      <c r="M9" s="12">
        <f>MIN($G$2:$G$301)</f>
        <v>14</v>
      </c>
      <c r="N9" s="30"/>
      <c r="O9" s="30"/>
      <c r="P9" s="30"/>
      <c r="Q9" s="30"/>
    </row>
    <row r="10" spans="1:17" x14ac:dyDescent="0.3">
      <c r="A10" s="11">
        <v>12497</v>
      </c>
      <c r="B10" s="11">
        <v>30.004999999999999</v>
      </c>
      <c r="C10" s="22">
        <f t="shared" si="0"/>
        <v>83371.009953826127</v>
      </c>
      <c r="D10" s="28">
        <f>IF(ISNUMBER(B10),AVERAGE(INDEX($B$2:$B$301,MAX(1,9-semi)):INDEX($B$2:$B$301,MIN($M$2,9+semi))),"")</f>
        <v>30.004999999999999</v>
      </c>
      <c r="E10" s="28">
        <f t="shared" si="1"/>
        <v>0.84689991110597163</v>
      </c>
      <c r="F10" s="22" t="str">
        <f>IF(AND(ISNUMBER(E10),ISNUMBER(E11),ISNUMBER($M$6)),IF(AND(10&lt;$M$6,E10&lt;0.5,E11&gt;=0.5),10,""),"")</f>
        <v/>
      </c>
      <c r="G10" s="22" t="str">
        <f>IF(AND(ISNUMBER(E10),ISNUMBER(E11),ISNUMBER($M$6)),IF(AND(10&gt;=$M$6,E10&gt;=0.5,E11&lt;0.5),10,""),"")</f>
        <v/>
      </c>
      <c r="H10" s="22" t="str">
        <f t="shared" si="2"/>
        <v/>
      </c>
      <c r="I10" s="22">
        <f t="shared" si="3"/>
        <v>-19.762203780162963</v>
      </c>
      <c r="J10" s="28">
        <f t="shared" si="4"/>
        <v>0.84689991110597163</v>
      </c>
      <c r="K10" s="22">
        <f t="shared" si="5"/>
        <v>1</v>
      </c>
      <c r="L10" s="8" t="s">
        <v>104</v>
      </c>
      <c r="M10" s="17">
        <f>IF($M$8&gt;0,INDEX($H$1:$H$301,$M$8),"")</f>
        <v>83348.488938066905</v>
      </c>
    </row>
    <row r="11" spans="1:17" x14ac:dyDescent="0.3">
      <c r="A11" s="11">
        <v>12499</v>
      </c>
      <c r="B11" s="11">
        <v>35.301000000000002</v>
      </c>
      <c r="C11" s="22">
        <f t="shared" si="0"/>
        <v>83384.352517634048</v>
      </c>
      <c r="D11" s="28">
        <f>IF(ISNUMBER(B11),AVERAGE(INDEX($B$2:$B$301,MAX(1,10-semi)):INDEX($B$2:$B$301,MIN($M$2,10+semi))),"")</f>
        <v>35.301000000000002</v>
      </c>
      <c r="E11" s="28">
        <f t="shared" si="1"/>
        <v>1</v>
      </c>
      <c r="F11" s="22" t="str">
        <f>IF(AND(ISNUMBER(E11),ISNUMBER(E12),ISNUMBER($M$6)),IF(AND(11&lt;$M$6,E11&lt;0.5,E12&gt;=0.5),11,""),"")</f>
        <v/>
      </c>
      <c r="G11" s="22" t="str">
        <f>IF(AND(ISNUMBER(E11),ISNUMBER(E12),ISNUMBER($M$6)),IF(AND(11&gt;=$M$6,E11&gt;=0.5,E12&lt;0.5),11,""),"")</f>
        <v/>
      </c>
      <c r="H11" s="22" t="str">
        <f t="shared" si="2"/>
        <v/>
      </c>
      <c r="I11" s="22">
        <f t="shared" si="3"/>
        <v>-6.4196399722422939</v>
      </c>
      <c r="J11" s="28">
        <f t="shared" si="4"/>
        <v>1</v>
      </c>
      <c r="K11" s="22">
        <f t="shared" si="5"/>
        <v>1</v>
      </c>
      <c r="L11" s="8" t="s">
        <v>105</v>
      </c>
      <c r="M11" s="17">
        <f>IF($M$9&gt;0,INDEX($H$1:$H$301,$M$9),"")</f>
        <v>83433.055377145691</v>
      </c>
    </row>
    <row r="12" spans="1:17" ht="15.6" x14ac:dyDescent="0.3">
      <c r="A12" s="11">
        <v>12501</v>
      </c>
      <c r="B12" s="11">
        <v>35.231000000000002</v>
      </c>
      <c r="C12" s="22">
        <f t="shared" si="0"/>
        <v>83397.695081441969</v>
      </c>
      <c r="D12" s="28">
        <f>IF(ISNUMBER(B12),AVERAGE(INDEX($B$2:$B$301,MAX(1,11-semi)):INDEX($B$2:$B$301,MIN($M$2,11+semi))),"")</f>
        <v>35.231000000000002</v>
      </c>
      <c r="E12" s="28">
        <f t="shared" si="1"/>
        <v>0.99797639610600797</v>
      </c>
      <c r="F12" s="22" t="str">
        <f>IF(AND(ISNUMBER(E12),ISNUMBER(E13),ISNUMBER($M$6)),IF(AND(12&lt;$M$6,E12&lt;0.5,E13&gt;=0.5),12,""),"")</f>
        <v/>
      </c>
      <c r="G12" s="22" t="str">
        <f>IF(AND(ISNUMBER(E12),ISNUMBER(E13),ISNUMBER($M$6)),IF(AND(12&gt;=$M$6,E12&gt;=0.5,E13&lt;0.5),12,""),"")</f>
        <v/>
      </c>
      <c r="H12" s="22" t="str">
        <f t="shared" si="2"/>
        <v/>
      </c>
      <c r="I12" s="22">
        <f t="shared" si="3"/>
        <v>6.9229238356783753</v>
      </c>
      <c r="J12" s="28">
        <f t="shared" si="4"/>
        <v>0.99797639610600797</v>
      </c>
      <c r="K12" s="22">
        <f t="shared" si="5"/>
        <v>1</v>
      </c>
      <c r="L12" s="8" t="s">
        <v>106</v>
      </c>
      <c r="M12" s="23">
        <f>IF(AND($M$8&gt;0,$M$9&gt;0),ABS($M$11-$M$10),"")</f>
        <v>84.566439078786061</v>
      </c>
    </row>
    <row r="13" spans="1:17" ht="15.6" x14ac:dyDescent="0.3">
      <c r="A13" s="11">
        <v>12503</v>
      </c>
      <c r="B13" s="11">
        <v>30.335000000000001</v>
      </c>
      <c r="C13" s="22">
        <f t="shared" si="0"/>
        <v>83411.037645249904</v>
      </c>
      <c r="D13" s="28">
        <f>IF(ISNUMBER(B13),AVERAGE(INDEX($B$2:$B$301,MAX(1,12-semi)):INDEX($B$2:$B$301,MIN($M$2,12+semi))),"")</f>
        <v>30.335000000000001</v>
      </c>
      <c r="E13" s="28">
        <f t="shared" si="1"/>
        <v>0.85643975803479144</v>
      </c>
      <c r="F13" s="22" t="str">
        <f>IF(AND(ISNUMBER(E13),ISNUMBER(E14),ISNUMBER($M$6)),IF(AND(13&lt;$M$6,E13&lt;0.5,E14&gt;=0.5),13,""),"")</f>
        <v/>
      </c>
      <c r="G13" s="22" t="str">
        <f>IF(AND(ISNUMBER(E13),ISNUMBER(E14),ISNUMBER($M$6)),IF(AND(13&gt;=$M$6,E13&gt;=0.5,E14&lt;0.5),13,""),"")</f>
        <v/>
      </c>
      <c r="H13" s="22" t="str">
        <f t="shared" si="2"/>
        <v/>
      </c>
      <c r="I13" s="22">
        <f t="shared" si="3"/>
        <v>20.265487643613596</v>
      </c>
      <c r="J13" s="28">
        <f t="shared" si="4"/>
        <v>0.85643975803479144</v>
      </c>
      <c r="K13" s="22">
        <f t="shared" si="5"/>
        <v>1</v>
      </c>
      <c r="L13" s="8" t="s">
        <v>107</v>
      </c>
      <c r="M13" s="23">
        <f>IF(ISNUMBER($M$12),factor_forma*$M$12,"")</f>
        <v>54.968185401210938</v>
      </c>
    </row>
    <row r="14" spans="1:17" x14ac:dyDescent="0.3">
      <c r="A14" s="11">
        <v>12505</v>
      </c>
      <c r="B14" s="11">
        <v>22.6</v>
      </c>
      <c r="C14" s="22">
        <f t="shared" si="0"/>
        <v>83424.380209057825</v>
      </c>
      <c r="D14" s="28">
        <f>IF(ISNUMBER(B14),AVERAGE(INDEX($B$2:$B$301,MAX(1,13-semi)):INDEX($B$2:$B$301,MIN($M$2,13+semi))),"")</f>
        <v>22.6</v>
      </c>
      <c r="E14" s="28">
        <f t="shared" si="1"/>
        <v>0.63283152774866835</v>
      </c>
      <c r="F14" s="22" t="str">
        <f>IF(AND(ISNUMBER(E14),ISNUMBER(E15),ISNUMBER($M$6)),IF(AND(14&lt;$M$6,E14&lt;0.5,E15&gt;=0.5),14,""),"")</f>
        <v/>
      </c>
      <c r="G14" s="22">
        <f>IF(AND(ISNUMBER(E14),ISNUMBER(E15),ISNUMBER($M$6)),IF(AND(14&gt;=$M$6,E14&gt;=0.5,E15&lt;0.5),14,""),"")</f>
        <v>14</v>
      </c>
      <c r="H14" s="22">
        <f t="shared" si="2"/>
        <v>83433.055377145691</v>
      </c>
      <c r="I14" s="22">
        <f t="shared" si="3"/>
        <v>33.608051451534266</v>
      </c>
      <c r="J14" s="28">
        <f t="shared" si="4"/>
        <v>0.63283152774866835</v>
      </c>
      <c r="K14" s="22">
        <f t="shared" si="5"/>
        <v>1</v>
      </c>
      <c r="L14" s="8" t="s">
        <v>108</v>
      </c>
      <c r="M14" s="17">
        <f>IF(ISNUMBER($M$12),0.7071*$M$12,"")</f>
        <v>59.796929072609622</v>
      </c>
    </row>
    <row r="15" spans="1:17" x14ac:dyDescent="0.3">
      <c r="A15" s="11">
        <v>12507</v>
      </c>
      <c r="B15" s="11">
        <v>15.532999999999999</v>
      </c>
      <c r="C15" s="22">
        <f t="shared" si="0"/>
        <v>83437.722772865745</v>
      </c>
      <c r="D15" s="28">
        <f>IF(ISNUMBER(B15),AVERAGE(INDEX($B$2:$B$301,MAX(1,14-semi)):INDEX($B$2:$B$301,MIN($M$2,14+semi))),"")</f>
        <v>15.532999999999999</v>
      </c>
      <c r="E15" s="28">
        <f t="shared" si="1"/>
        <v>0.42853426033664088</v>
      </c>
      <c r="F15" s="22" t="str">
        <f>IF(AND(ISNUMBER(E15),ISNUMBER(E16),ISNUMBER($M$6)),IF(AND(15&lt;$M$6,E15&lt;0.5,E16&gt;=0.5),15,""),"")</f>
        <v/>
      </c>
      <c r="G15" s="22" t="str">
        <f>IF(AND(ISNUMBER(E15),ISNUMBER(E16),ISNUMBER($M$6)),IF(AND(15&gt;=$M$6,E15&gt;=0.5,E16&lt;0.5),15,""),"")</f>
        <v/>
      </c>
      <c r="H15" s="22" t="str">
        <f t="shared" si="2"/>
        <v/>
      </c>
      <c r="I15" s="22">
        <f t="shared" si="3"/>
        <v>46.950615259454935</v>
      </c>
      <c r="J15" s="28">
        <f t="shared" si="4"/>
        <v>0.42853426033664088</v>
      </c>
      <c r="K15" s="22">
        <f t="shared" si="5"/>
        <v>1</v>
      </c>
      <c r="L15" s="8" t="s">
        <v>109</v>
      </c>
      <c r="M15" s="17">
        <f>IF(ISNUMBER($M$12),($M$10+$M$11)/2,$M$7)</f>
        <v>83390.77215760629</v>
      </c>
    </row>
    <row r="16" spans="1:17" x14ac:dyDescent="0.3">
      <c r="A16" s="11">
        <v>12509</v>
      </c>
      <c r="B16" s="11">
        <v>9.8179999999999996</v>
      </c>
      <c r="C16" s="22">
        <f t="shared" si="0"/>
        <v>83451.065336673681</v>
      </c>
      <c r="D16" s="28">
        <f>IF(ISNUMBER(B16),AVERAGE(INDEX($B$2:$B$301,MAX(1,15-semi)):INDEX($B$2:$B$301,MIN($M$2,15+semi))),"")</f>
        <v>9.8179999999999996</v>
      </c>
      <c r="E16" s="28">
        <f t="shared" si="1"/>
        <v>0.26332145670571733</v>
      </c>
      <c r="F16" s="22" t="str">
        <f>IF(AND(ISNUMBER(E16),ISNUMBER(E17),ISNUMBER($M$6)),IF(AND(16&lt;$M$6,E16&lt;0.5,E17&gt;=0.5),16,""),"")</f>
        <v/>
      </c>
      <c r="G16" s="22" t="str">
        <f>IF(AND(ISNUMBER(E16),ISNUMBER(E17),ISNUMBER($M$6)),IF(AND(16&gt;=$M$6,E16&gt;=0.5,E17&lt;0.5),16,""),"")</f>
        <v/>
      </c>
      <c r="H16" s="22" t="str">
        <f t="shared" si="2"/>
        <v/>
      </c>
      <c r="I16" s="22">
        <f t="shared" si="3"/>
        <v>60.293179067390156</v>
      </c>
      <c r="J16" s="28">
        <f t="shared" si="4"/>
        <v>0.26332145670571733</v>
      </c>
      <c r="K16" s="22">
        <f t="shared" si="5"/>
        <v>1</v>
      </c>
      <c r="L16" s="8" t="s">
        <v>79</v>
      </c>
      <c r="M16" s="12">
        <f>COUNTIF($E$2:$E$301,"&gt;=0.5")</f>
        <v>6</v>
      </c>
    </row>
    <row r="17" spans="1:13" x14ac:dyDescent="0.3">
      <c r="A17" s="11">
        <v>12511</v>
      </c>
      <c r="B17" s="11">
        <v>5.6749999999999998</v>
      </c>
      <c r="C17" s="22">
        <f t="shared" si="0"/>
        <v>83464.407900481601</v>
      </c>
      <c r="D17" s="28">
        <f>IF(ISNUMBER(B17),AVERAGE(INDEX($B$2:$B$301,MAX(1,16-semi)):INDEX($B$2:$B$301,MIN($M$2,16+semi))),"")</f>
        <v>5.6749999999999998</v>
      </c>
      <c r="E17" s="28">
        <f t="shared" si="1"/>
        <v>0.14355301480844418</v>
      </c>
      <c r="F17" s="22" t="str">
        <f>IF(AND(ISNUMBER(E17),ISNUMBER(E18),ISNUMBER($M$6)),IF(AND(17&lt;$M$6,E17&lt;0.5,E18&gt;=0.5),17,""),"")</f>
        <v/>
      </c>
      <c r="G17" s="22" t="str">
        <f>IF(AND(ISNUMBER(E17),ISNUMBER(E18),ISNUMBER($M$6)),IF(AND(17&gt;=$M$6,E17&gt;=0.5,E18&lt;0.5),17,""),"")</f>
        <v/>
      </c>
      <c r="H17" s="22" t="str">
        <f t="shared" si="2"/>
        <v/>
      </c>
      <c r="I17" s="22">
        <f t="shared" si="3"/>
        <v>73.635742875310825</v>
      </c>
      <c r="J17" s="28">
        <f t="shared" si="4"/>
        <v>0.14355301480844418</v>
      </c>
      <c r="K17" s="22">
        <f t="shared" si="5"/>
        <v>1</v>
      </c>
      <c r="L17" s="8" t="s">
        <v>110</v>
      </c>
      <c r="M17" s="17">
        <f>IFERROR($M$15-MIN($C$2:$C$301),"")</f>
        <v>246.5857885149162</v>
      </c>
    </row>
    <row r="18" spans="1:13" x14ac:dyDescent="0.3">
      <c r="A18" s="11">
        <v>12513</v>
      </c>
      <c r="B18" s="11">
        <v>3.3969999999999998</v>
      </c>
      <c r="C18" s="22">
        <f t="shared" si="0"/>
        <v>83477.750464289536</v>
      </c>
      <c r="D18" s="28">
        <f>IF(ISNUMBER(B18),AVERAGE(INDEX($B$2:$B$301,MAX(1,17-semi)):INDEX($B$2:$B$301,MIN($M$2,17+semi))),"")</f>
        <v>3.3969999999999998</v>
      </c>
      <c r="E18" s="28">
        <f t="shared" si="1"/>
        <v>7.7699162372531008E-2</v>
      </c>
      <c r="F18" s="22" t="str">
        <f>IF(AND(ISNUMBER(E18),ISNUMBER(E19),ISNUMBER($M$6)),IF(AND(18&lt;$M$6,E18&lt;0.5,E19&gt;=0.5),18,""),"")</f>
        <v/>
      </c>
      <c r="G18" s="22" t="str">
        <f>IF(AND(ISNUMBER(E18),ISNUMBER(E19),ISNUMBER($M$6)),IF(AND(18&gt;=$M$6,E18&gt;=0.5,E19&lt;0.5),18,""),"")</f>
        <v/>
      </c>
      <c r="H18" s="22" t="str">
        <f t="shared" si="2"/>
        <v/>
      </c>
      <c r="I18" s="22">
        <f t="shared" si="3"/>
        <v>86.978306683246046</v>
      </c>
      <c r="J18" s="28">
        <f t="shared" si="4"/>
        <v>7.7699162372531008E-2</v>
      </c>
      <c r="K18" s="22">
        <f t="shared" si="5"/>
        <v>1</v>
      </c>
      <c r="L18" s="8" t="s">
        <v>111</v>
      </c>
      <c r="M18" s="17">
        <f>IFERROR(MAX($C$2:$C$301)-$M$15,"")</f>
        <v>253.76035428231989</v>
      </c>
    </row>
    <row r="19" spans="1:13" x14ac:dyDescent="0.3">
      <c r="A19" s="11">
        <v>12515</v>
      </c>
      <c r="B19" s="11">
        <v>2.0350000000000001</v>
      </c>
      <c r="C19" s="22">
        <f t="shared" si="0"/>
        <v>83491.093028097457</v>
      </c>
      <c r="D19" s="28">
        <f>IF(ISNUMBER(B19),AVERAGE(INDEX($B$2:$B$301,MAX(1,18-semi)):INDEX($B$2:$B$301,MIN($M$2,18+semi))),"")</f>
        <v>2.0350000000000001</v>
      </c>
      <c r="E19" s="28">
        <f t="shared" si="1"/>
        <v>3.832561232085685E-2</v>
      </c>
      <c r="F19" s="22" t="str">
        <f>IF(AND(ISNUMBER(E19),ISNUMBER(E20),ISNUMBER($M$6)),IF(AND(19&lt;$M$6,E19&lt;0.5,E20&gt;=0.5),19,""),"")</f>
        <v/>
      </c>
      <c r="G19" s="22" t="str">
        <f>IF(AND(ISNUMBER(E19),ISNUMBER(E20),ISNUMBER($M$6)),IF(AND(19&gt;=$M$6,E19&gt;=0.5,E20&lt;0.5),19,""),"")</f>
        <v/>
      </c>
      <c r="H19" s="22" t="str">
        <f t="shared" si="2"/>
        <v/>
      </c>
      <c r="I19" s="22">
        <f t="shared" si="3"/>
        <v>100.32087049116672</v>
      </c>
      <c r="J19" s="28">
        <f t="shared" si="4"/>
        <v>3.832561232085685E-2</v>
      </c>
      <c r="K19" s="22">
        <f t="shared" si="5"/>
        <v>1</v>
      </c>
      <c r="L19" s="8" t="s">
        <v>112</v>
      </c>
      <c r="M19" s="8" t="str">
        <f>IF(COUNTIF($K$2:$K$301,0)&gt;0,"No: posición repetida",IF(AND(COUNTIF($K$2:$K$301,1)&gt;0,COUNTIF($K$2:$K$301,-1)&gt;0),"No","Sí"))</f>
        <v>Sí</v>
      </c>
    </row>
    <row r="20" spans="1:13" x14ac:dyDescent="0.3">
      <c r="A20" s="11">
        <v>12525</v>
      </c>
      <c r="B20" s="11">
        <v>0.72099999999999997</v>
      </c>
      <c r="C20" s="22">
        <f t="shared" si="0"/>
        <v>83557.80584713709</v>
      </c>
      <c r="D20" s="28">
        <f>IF(ISNUMBER(B20),AVERAGE(INDEX($B$2:$B$301,MAX(1,19-semi)):INDEX($B$2:$B$301,MIN($M$2,19+semi))),"")</f>
        <v>0.72099999999999997</v>
      </c>
      <c r="E20" s="28">
        <f t="shared" si="1"/>
        <v>3.3967636792009442E-4</v>
      </c>
      <c r="F20" s="22" t="str">
        <f>IF(AND(ISNUMBER(E20),ISNUMBER(E21),ISNUMBER($M$6)),IF(AND(20&lt;$M$6,E20&lt;0.5,E21&gt;=0.5),20,""),"")</f>
        <v/>
      </c>
      <c r="G20" s="22" t="str">
        <f>IF(AND(ISNUMBER(E20),ISNUMBER(E21),ISNUMBER($M$6)),IF(AND(20&gt;=$M$6,E20&gt;=0.5,E21&lt;0.5),20,""),"")</f>
        <v/>
      </c>
      <c r="H20" s="22" t="str">
        <f t="shared" si="2"/>
        <v/>
      </c>
      <c r="I20" s="22">
        <f t="shared" si="3"/>
        <v>167.03368953079917</v>
      </c>
      <c r="J20" s="28">
        <f t="shared" si="4"/>
        <v>3.3967636792009442E-4</v>
      </c>
      <c r="K20" s="22">
        <f t="shared" si="5"/>
        <v>1</v>
      </c>
      <c r="L20" s="8" t="s">
        <v>113</v>
      </c>
      <c r="M20" s="29" t="str">
        <f>IF($M$2=0,"Sin datos",IF($M$2&lt;&gt;$M$3,"Revisar: columnas A y B con distinto número de datos",IF($M$2&lt;2*n_fondo+5,"Revisar: muy pocos puntos",IF($M$19&lt;&gt;"Sí","Revisar: las posiciones no van en un solo sentido (ordenar A:B por la columna A)",IF(OR($M$8=0,$M$9=0),"Revisar: no se hallaron los dos cruces de media altura",IF($M$16&lt;pts_min,"Aviso: pocas lecturas dentro del ancho; afinar el paso cerca del pico",IF(MIN($M$17,$M$18)&lt;rec_min*$M$12,"Aviso: el barrido no llega a las alas","OK")))))))</f>
        <v>OK</v>
      </c>
    </row>
    <row r="21" spans="1:13" x14ac:dyDescent="0.3">
      <c r="A21" s="11">
        <v>12538</v>
      </c>
      <c r="B21" s="11">
        <v>0.68100000000000005</v>
      </c>
      <c r="C21" s="22">
        <f t="shared" si="0"/>
        <v>83644.53251188861</v>
      </c>
      <c r="D21" s="28">
        <f>IF(ISNUMBER(B21),AVERAGE(INDEX($B$2:$B$301,MAX(1,20-semi)):INDEX($B$2:$B$301,MIN($M$2,20+semi))),"")</f>
        <v>0.68100000000000005</v>
      </c>
      <c r="E21" s="28">
        <f t="shared" si="1"/>
        <v>-8.1666871436108298E-4</v>
      </c>
      <c r="F21" s="22" t="str">
        <f>IF(AND(ISNUMBER(E21),ISNUMBER(E22),ISNUMBER($M$6)),IF(AND(21&lt;$M$6,E21&lt;0.5,E22&gt;=0.5),21,""),"")</f>
        <v/>
      </c>
      <c r="G21" s="22" t="str">
        <f>IF(AND(ISNUMBER(E21),ISNUMBER(E22),ISNUMBER($M$6)),IF(AND(21&gt;=$M$6,E21&gt;=0.5,E22&lt;0.5),21,""),"")</f>
        <v/>
      </c>
      <c r="H21" s="22" t="str">
        <f t="shared" si="2"/>
        <v/>
      </c>
      <c r="I21" s="22">
        <f t="shared" si="3"/>
        <v>253.76035428231989</v>
      </c>
      <c r="J21" s="28">
        <f t="shared" si="4"/>
        <v>-8.1666871436108298E-4</v>
      </c>
      <c r="K21" s="22" t="str">
        <f t="shared" si="5"/>
        <v/>
      </c>
    </row>
    <row r="22" spans="1:13" x14ac:dyDescent="0.3">
      <c r="C22" s="22" t="str">
        <f t="shared" si="0"/>
        <v/>
      </c>
      <c r="D22" s="28" t="str">
        <f>IF(ISNUMBER(B22),AVERAGE(INDEX($B$2:$B$301,MAX(1,21-semi)):INDEX($B$2:$B$301,MIN($M$2,21+semi))),"")</f>
        <v/>
      </c>
      <c r="E22" s="28" t="str">
        <f t="shared" si="1"/>
        <v/>
      </c>
      <c r="F22" s="22" t="str">
        <f>IF(AND(ISNUMBER(E22),ISNUMBER(E23),ISNUMBER($M$6)),IF(AND(22&lt;$M$6,E22&lt;0.5,E23&gt;=0.5),22,""),"")</f>
        <v/>
      </c>
      <c r="G22" s="22" t="str">
        <f>IF(AND(ISNUMBER(E22),ISNUMBER(E23),ISNUMBER($M$6)),IF(AND(22&gt;=$M$6,E22&gt;=0.5,E23&lt;0.5),22,""),"")</f>
        <v/>
      </c>
      <c r="H22" s="22" t="str">
        <f t="shared" si="2"/>
        <v/>
      </c>
      <c r="I22" s="22" t="e">
        <f t="shared" si="3"/>
        <v>#N/A</v>
      </c>
      <c r="J22" s="28" t="e">
        <f t="shared" si="4"/>
        <v>#N/A</v>
      </c>
      <c r="K22" s="22" t="str">
        <f t="shared" si="5"/>
        <v/>
      </c>
      <c r="L22" s="2" t="s">
        <v>115</v>
      </c>
    </row>
    <row r="23" spans="1:13" x14ac:dyDescent="0.3">
      <c r="C23" s="22" t="str">
        <f t="shared" si="0"/>
        <v/>
      </c>
      <c r="D23" s="28" t="str">
        <f>IF(ISNUMBER(B23),AVERAGE(INDEX($B$2:$B$301,MAX(1,22-semi)):INDEX($B$2:$B$301,MIN($M$2,22+semi))),"")</f>
        <v/>
      </c>
      <c r="E23" s="28" t="str">
        <f t="shared" si="1"/>
        <v/>
      </c>
      <c r="F23" s="22" t="str">
        <f>IF(AND(ISNUMBER(E23),ISNUMBER(E24),ISNUMBER($M$6)),IF(AND(23&lt;$M$6,E23&lt;0.5,E24&gt;=0.5),23,""),"")</f>
        <v/>
      </c>
      <c r="G23" s="22" t="str">
        <f>IF(AND(ISNUMBER(E23),ISNUMBER(E24),ISNUMBER($M$6)),IF(AND(23&gt;=$M$6,E23&gt;=0.5,E24&lt;0.5),23,""),"")</f>
        <v/>
      </c>
      <c r="H23" s="22" t="str">
        <f t="shared" si="2"/>
        <v/>
      </c>
      <c r="I23" s="22" t="e">
        <f t="shared" si="3"/>
        <v>#N/A</v>
      </c>
      <c r="J23" s="28" t="e">
        <f t="shared" si="4"/>
        <v>#N/A</v>
      </c>
      <c r="K23" s="22" t="str">
        <f t="shared" si="5"/>
        <v/>
      </c>
      <c r="L23" s="22">
        <f>IF(ISNUMBER($M$12),$M$10-$M$15,NA())</f>
        <v>-42.283219539385755</v>
      </c>
      <c r="M23" s="22">
        <f>IF(ISNUMBER($M$12),0.5,NA())</f>
        <v>0.5</v>
      </c>
    </row>
    <row r="24" spans="1:13" x14ac:dyDescent="0.3">
      <c r="C24" s="22" t="str">
        <f t="shared" si="0"/>
        <v/>
      </c>
      <c r="D24" s="28" t="str">
        <f>IF(ISNUMBER(B24),AVERAGE(INDEX($B$2:$B$301,MAX(1,23-semi)):INDEX($B$2:$B$301,MIN($M$2,23+semi))),"")</f>
        <v/>
      </c>
      <c r="E24" s="28" t="str">
        <f t="shared" si="1"/>
        <v/>
      </c>
      <c r="F24" s="22" t="str">
        <f>IF(AND(ISNUMBER(E24),ISNUMBER(E25),ISNUMBER($M$6)),IF(AND(24&lt;$M$6,E24&lt;0.5,E25&gt;=0.5),24,""),"")</f>
        <v/>
      </c>
      <c r="G24" s="22" t="str">
        <f>IF(AND(ISNUMBER(E24),ISNUMBER(E25),ISNUMBER($M$6)),IF(AND(24&gt;=$M$6,E24&gt;=0.5,E25&lt;0.5),24,""),"")</f>
        <v/>
      </c>
      <c r="H24" s="22" t="str">
        <f t="shared" si="2"/>
        <v/>
      </c>
      <c r="I24" s="22" t="e">
        <f t="shared" si="3"/>
        <v>#N/A</v>
      </c>
      <c r="J24" s="28" t="e">
        <f t="shared" si="4"/>
        <v>#N/A</v>
      </c>
      <c r="K24" s="22" t="str">
        <f t="shared" si="5"/>
        <v/>
      </c>
      <c r="L24" s="22">
        <f>IF(ISNUMBER($M$12),$M$11-$M$15,NA())</f>
        <v>42.283219539400307</v>
      </c>
      <c r="M24" s="22">
        <f>IF(ISNUMBER($M$12),0.5,NA())</f>
        <v>0.5</v>
      </c>
    </row>
    <row r="25" spans="1:13" x14ac:dyDescent="0.3">
      <c r="C25" s="22" t="str">
        <f t="shared" si="0"/>
        <v/>
      </c>
      <c r="D25" s="28" t="str">
        <f>IF(ISNUMBER(B25),AVERAGE(INDEX($B$2:$B$301,MAX(1,24-semi)):INDEX($B$2:$B$301,MIN($M$2,24+semi))),"")</f>
        <v/>
      </c>
      <c r="E25" s="28" t="str">
        <f t="shared" si="1"/>
        <v/>
      </c>
      <c r="F25" s="22" t="str">
        <f>IF(AND(ISNUMBER(E25),ISNUMBER(E26),ISNUMBER($M$6)),IF(AND(25&lt;$M$6,E25&lt;0.5,E26&gt;=0.5),25,""),"")</f>
        <v/>
      </c>
      <c r="G25" s="22" t="str">
        <f>IF(AND(ISNUMBER(E25),ISNUMBER(E26),ISNUMBER($M$6)),IF(AND(25&gt;=$M$6,E25&gt;=0.5,E26&lt;0.5),25,""),"")</f>
        <v/>
      </c>
      <c r="H25" s="22" t="str">
        <f t="shared" si="2"/>
        <v/>
      </c>
      <c r="I25" s="22" t="e">
        <f t="shared" si="3"/>
        <v>#N/A</v>
      </c>
      <c r="J25" s="28" t="e">
        <f t="shared" si="4"/>
        <v>#N/A</v>
      </c>
      <c r="K25" s="22" t="str">
        <f t="shared" si="5"/>
        <v/>
      </c>
    </row>
    <row r="26" spans="1:13" ht="52.8" x14ac:dyDescent="0.3">
      <c r="C26" s="22" t="str">
        <f t="shared" si="0"/>
        <v/>
      </c>
      <c r="D26" s="28" t="str">
        <f>IF(ISNUMBER(B26),AVERAGE(INDEX($B$2:$B$301,MAX(1,25-semi)):INDEX($B$2:$B$301,MIN($M$2,25+semi))),"")</f>
        <v/>
      </c>
      <c r="E26" s="28" t="str">
        <f t="shared" si="1"/>
        <v/>
      </c>
      <c r="F26" s="22" t="str">
        <f>IF(AND(ISNUMBER(E26),ISNUMBER(E27),ISNUMBER($M$6)),IF(AND(26&lt;$M$6,E26&lt;0.5,E27&gt;=0.5),26,""),"")</f>
        <v/>
      </c>
      <c r="G26" s="22" t="str">
        <f>IF(AND(ISNUMBER(E26),ISNUMBER(E27),ISNUMBER($M$6)),IF(AND(26&gt;=$M$6,E26&gt;=0.5,E27&lt;0.5),26,""),"")</f>
        <v/>
      </c>
      <c r="H26" s="22" t="str">
        <f t="shared" si="2"/>
        <v/>
      </c>
      <c r="I26" s="22" t="e">
        <f t="shared" si="3"/>
        <v>#N/A</v>
      </c>
      <c r="J26" s="28" t="e">
        <f t="shared" si="4"/>
        <v>#N/A</v>
      </c>
      <c r="K26" s="22" t="str">
        <f t="shared" si="5"/>
        <v/>
      </c>
      <c r="L26" s="10" t="s">
        <v>116</v>
      </c>
    </row>
    <row r="27" spans="1:13" x14ac:dyDescent="0.3">
      <c r="C27" s="22" t="str">
        <f t="shared" si="0"/>
        <v/>
      </c>
      <c r="D27" s="28" t="str">
        <f>IF(ISNUMBER(B27),AVERAGE(INDEX($B$2:$B$301,MAX(1,26-semi)):INDEX($B$2:$B$301,MIN($M$2,26+semi))),"")</f>
        <v/>
      </c>
      <c r="E27" s="28" t="str">
        <f t="shared" si="1"/>
        <v/>
      </c>
      <c r="F27" s="22" t="str">
        <f>IF(AND(ISNUMBER(E27),ISNUMBER(E28),ISNUMBER($M$6)),IF(AND(27&lt;$M$6,E27&lt;0.5,E28&gt;=0.5),27,""),"")</f>
        <v/>
      </c>
      <c r="G27" s="22" t="str">
        <f>IF(AND(ISNUMBER(E27),ISNUMBER(E28),ISNUMBER($M$6)),IF(AND(27&gt;=$M$6,E27&gt;=0.5,E28&lt;0.5),27,""),"")</f>
        <v/>
      </c>
      <c r="H27" s="22" t="str">
        <f t="shared" si="2"/>
        <v/>
      </c>
      <c r="I27" s="22" t="e">
        <f t="shared" si="3"/>
        <v>#N/A</v>
      </c>
      <c r="J27" s="28" t="e">
        <f t="shared" si="4"/>
        <v>#N/A</v>
      </c>
      <c r="K27" s="22" t="str">
        <f t="shared" si="5"/>
        <v/>
      </c>
    </row>
    <row r="28" spans="1:13" x14ac:dyDescent="0.3">
      <c r="C28" s="22" t="str">
        <f t="shared" si="0"/>
        <v/>
      </c>
      <c r="D28" s="28" t="str">
        <f>IF(ISNUMBER(B28),AVERAGE(INDEX($B$2:$B$301,MAX(1,27-semi)):INDEX($B$2:$B$301,MIN($M$2,27+semi))),"")</f>
        <v/>
      </c>
      <c r="E28" s="28" t="str">
        <f t="shared" si="1"/>
        <v/>
      </c>
      <c r="F28" s="22" t="str">
        <f>IF(AND(ISNUMBER(E28),ISNUMBER(E29),ISNUMBER($M$6)),IF(AND(28&lt;$M$6,E28&lt;0.5,E29&gt;=0.5),28,""),"")</f>
        <v/>
      </c>
      <c r="G28" s="22" t="str">
        <f>IF(AND(ISNUMBER(E28),ISNUMBER(E29),ISNUMBER($M$6)),IF(AND(28&gt;=$M$6,E28&gt;=0.5,E29&lt;0.5),28,""),"")</f>
        <v/>
      </c>
      <c r="H28" s="22" t="str">
        <f t="shared" si="2"/>
        <v/>
      </c>
      <c r="I28" s="22" t="e">
        <f t="shared" si="3"/>
        <v>#N/A</v>
      </c>
      <c r="J28" s="28" t="e">
        <f t="shared" si="4"/>
        <v>#N/A</v>
      </c>
      <c r="K28" s="22" t="str">
        <f t="shared" si="5"/>
        <v/>
      </c>
    </row>
    <row r="29" spans="1:13" x14ac:dyDescent="0.3">
      <c r="C29" s="22" t="str">
        <f t="shared" si="0"/>
        <v/>
      </c>
      <c r="D29" s="28" t="str">
        <f>IF(ISNUMBER(B29),AVERAGE(INDEX($B$2:$B$301,MAX(1,28-semi)):INDEX($B$2:$B$301,MIN($M$2,28+semi))),"")</f>
        <v/>
      </c>
      <c r="E29" s="28" t="str">
        <f t="shared" si="1"/>
        <v/>
      </c>
      <c r="F29" s="22" t="str">
        <f>IF(AND(ISNUMBER(E29),ISNUMBER(E30),ISNUMBER($M$6)),IF(AND(29&lt;$M$6,E29&lt;0.5,E30&gt;=0.5),29,""),"")</f>
        <v/>
      </c>
      <c r="G29" s="22" t="str">
        <f>IF(AND(ISNUMBER(E29),ISNUMBER(E30),ISNUMBER($M$6)),IF(AND(29&gt;=$M$6,E29&gt;=0.5,E30&lt;0.5),29,""),"")</f>
        <v/>
      </c>
      <c r="H29" s="22" t="str">
        <f t="shared" si="2"/>
        <v/>
      </c>
      <c r="I29" s="22" t="e">
        <f t="shared" si="3"/>
        <v>#N/A</v>
      </c>
      <c r="J29" s="28" t="e">
        <f t="shared" si="4"/>
        <v>#N/A</v>
      </c>
      <c r="K29" s="22" t="str">
        <f t="shared" si="5"/>
        <v/>
      </c>
    </row>
    <row r="30" spans="1:13" x14ac:dyDescent="0.3">
      <c r="C30" s="22" t="str">
        <f t="shared" si="0"/>
        <v/>
      </c>
      <c r="D30" s="28" t="str">
        <f>IF(ISNUMBER(B30),AVERAGE(INDEX($B$2:$B$301,MAX(1,29-semi)):INDEX($B$2:$B$301,MIN($M$2,29+semi))),"")</f>
        <v/>
      </c>
      <c r="E30" s="28" t="str">
        <f t="shared" si="1"/>
        <v/>
      </c>
      <c r="F30" s="22" t="str">
        <f>IF(AND(ISNUMBER(E30),ISNUMBER(E31),ISNUMBER($M$6)),IF(AND(30&lt;$M$6,E30&lt;0.5,E31&gt;=0.5),30,""),"")</f>
        <v/>
      </c>
      <c r="G30" s="22" t="str">
        <f>IF(AND(ISNUMBER(E30),ISNUMBER(E31),ISNUMBER($M$6)),IF(AND(30&gt;=$M$6,E30&gt;=0.5,E31&lt;0.5),30,""),"")</f>
        <v/>
      </c>
      <c r="H30" s="22" t="str">
        <f t="shared" si="2"/>
        <v/>
      </c>
      <c r="I30" s="22" t="e">
        <f t="shared" si="3"/>
        <v>#N/A</v>
      </c>
      <c r="J30" s="28" t="e">
        <f t="shared" si="4"/>
        <v>#N/A</v>
      </c>
      <c r="K30" s="22" t="str">
        <f t="shared" si="5"/>
        <v/>
      </c>
    </row>
    <row r="31" spans="1:13" x14ac:dyDescent="0.3">
      <c r="C31" s="22" t="str">
        <f t="shared" si="0"/>
        <v/>
      </c>
      <c r="D31" s="28" t="str">
        <f>IF(ISNUMBER(B31),AVERAGE(INDEX($B$2:$B$301,MAX(1,30-semi)):INDEX($B$2:$B$301,MIN($M$2,30+semi))),"")</f>
        <v/>
      </c>
      <c r="E31" s="28" t="str">
        <f t="shared" si="1"/>
        <v/>
      </c>
      <c r="F31" s="22" t="str">
        <f>IF(AND(ISNUMBER(E31),ISNUMBER(E32),ISNUMBER($M$6)),IF(AND(31&lt;$M$6,E31&lt;0.5,E32&gt;=0.5),31,""),"")</f>
        <v/>
      </c>
      <c r="G31" s="22" t="str">
        <f>IF(AND(ISNUMBER(E31),ISNUMBER(E32),ISNUMBER($M$6)),IF(AND(31&gt;=$M$6,E31&gt;=0.5,E32&lt;0.5),31,""),"")</f>
        <v/>
      </c>
      <c r="H31" s="22" t="str">
        <f t="shared" si="2"/>
        <v/>
      </c>
      <c r="I31" s="22" t="e">
        <f t="shared" si="3"/>
        <v>#N/A</v>
      </c>
      <c r="J31" s="28" t="e">
        <f t="shared" si="4"/>
        <v>#N/A</v>
      </c>
      <c r="K31" s="22" t="str">
        <f t="shared" si="5"/>
        <v/>
      </c>
    </row>
    <row r="32" spans="1:13" x14ac:dyDescent="0.3">
      <c r="C32" s="22" t="str">
        <f t="shared" si="0"/>
        <v/>
      </c>
      <c r="D32" s="28" t="str">
        <f>IF(ISNUMBER(B32),AVERAGE(INDEX($B$2:$B$301,MAX(1,31-semi)):INDEX($B$2:$B$301,MIN($M$2,31+semi))),"")</f>
        <v/>
      </c>
      <c r="E32" s="28" t="str">
        <f t="shared" si="1"/>
        <v/>
      </c>
      <c r="F32" s="22" t="str">
        <f>IF(AND(ISNUMBER(E32),ISNUMBER(E33),ISNUMBER($M$6)),IF(AND(32&lt;$M$6,E32&lt;0.5,E33&gt;=0.5),32,""),"")</f>
        <v/>
      </c>
      <c r="G32" s="22" t="str">
        <f>IF(AND(ISNUMBER(E32),ISNUMBER(E33),ISNUMBER($M$6)),IF(AND(32&gt;=$M$6,E32&gt;=0.5,E33&lt;0.5),32,""),"")</f>
        <v/>
      </c>
      <c r="H32" s="22" t="str">
        <f t="shared" si="2"/>
        <v/>
      </c>
      <c r="I32" s="22" t="e">
        <f t="shared" si="3"/>
        <v>#N/A</v>
      </c>
      <c r="J32" s="28" t="e">
        <f t="shared" si="4"/>
        <v>#N/A</v>
      </c>
      <c r="K32" s="22" t="str">
        <f t="shared" si="5"/>
        <v/>
      </c>
    </row>
    <row r="33" spans="3:11" x14ac:dyDescent="0.3">
      <c r="C33" s="22" t="str">
        <f t="shared" si="0"/>
        <v/>
      </c>
      <c r="D33" s="28" t="str">
        <f>IF(ISNUMBER(B33),AVERAGE(INDEX($B$2:$B$301,MAX(1,32-semi)):INDEX($B$2:$B$301,MIN($M$2,32+semi))),"")</f>
        <v/>
      </c>
      <c r="E33" s="28" t="str">
        <f t="shared" si="1"/>
        <v/>
      </c>
      <c r="F33" s="22" t="str">
        <f>IF(AND(ISNUMBER(E33),ISNUMBER(E34),ISNUMBER($M$6)),IF(AND(33&lt;$M$6,E33&lt;0.5,E34&gt;=0.5),33,""),"")</f>
        <v/>
      </c>
      <c r="G33" s="22" t="str">
        <f>IF(AND(ISNUMBER(E33),ISNUMBER(E34),ISNUMBER($M$6)),IF(AND(33&gt;=$M$6,E33&gt;=0.5,E34&lt;0.5),33,""),"")</f>
        <v/>
      </c>
      <c r="H33" s="22" t="str">
        <f t="shared" si="2"/>
        <v/>
      </c>
      <c r="I33" s="22" t="e">
        <f t="shared" si="3"/>
        <v>#N/A</v>
      </c>
      <c r="J33" s="28" t="e">
        <f t="shared" si="4"/>
        <v>#N/A</v>
      </c>
      <c r="K33" s="22" t="str">
        <f t="shared" si="5"/>
        <v/>
      </c>
    </row>
    <row r="34" spans="3:11" x14ac:dyDescent="0.3">
      <c r="C34" s="22" t="str">
        <f t="shared" si="0"/>
        <v/>
      </c>
      <c r="D34" s="28" t="str">
        <f>IF(ISNUMBER(B34),AVERAGE(INDEX($B$2:$B$301,MAX(1,33-semi)):INDEX($B$2:$B$301,MIN($M$2,33+semi))),"")</f>
        <v/>
      </c>
      <c r="E34" s="28" t="str">
        <f t="shared" si="1"/>
        <v/>
      </c>
      <c r="F34" s="22" t="str">
        <f>IF(AND(ISNUMBER(E34),ISNUMBER(E35),ISNUMBER($M$6)),IF(AND(34&lt;$M$6,E34&lt;0.5,E35&gt;=0.5),34,""),"")</f>
        <v/>
      </c>
      <c r="G34" s="22" t="str">
        <f>IF(AND(ISNUMBER(E34),ISNUMBER(E35),ISNUMBER($M$6)),IF(AND(34&gt;=$M$6,E34&gt;=0.5,E35&lt;0.5),34,""),"")</f>
        <v/>
      </c>
      <c r="H34" s="22" t="str">
        <f t="shared" si="2"/>
        <v/>
      </c>
      <c r="I34" s="22" t="e">
        <f t="shared" si="3"/>
        <v>#N/A</v>
      </c>
      <c r="J34" s="28" t="e">
        <f t="shared" si="4"/>
        <v>#N/A</v>
      </c>
      <c r="K34" s="22" t="str">
        <f t="shared" si="5"/>
        <v/>
      </c>
    </row>
    <row r="35" spans="3:11" x14ac:dyDescent="0.3">
      <c r="C35" s="22" t="str">
        <f t="shared" si="0"/>
        <v/>
      </c>
      <c r="D35" s="28" t="str">
        <f>IF(ISNUMBER(B35),AVERAGE(INDEX($B$2:$B$301,MAX(1,34-semi)):INDEX($B$2:$B$301,MIN($M$2,34+semi))),"")</f>
        <v/>
      </c>
      <c r="E35" s="28" t="str">
        <f t="shared" si="1"/>
        <v/>
      </c>
      <c r="F35" s="22" t="str">
        <f>IF(AND(ISNUMBER(E35),ISNUMBER(E36),ISNUMBER($M$6)),IF(AND(35&lt;$M$6,E35&lt;0.5,E36&gt;=0.5),35,""),"")</f>
        <v/>
      </c>
      <c r="G35" s="22" t="str">
        <f>IF(AND(ISNUMBER(E35),ISNUMBER(E36),ISNUMBER($M$6)),IF(AND(35&gt;=$M$6,E35&gt;=0.5,E36&lt;0.5),35,""),"")</f>
        <v/>
      </c>
      <c r="H35" s="22" t="str">
        <f t="shared" si="2"/>
        <v/>
      </c>
      <c r="I35" s="22" t="e">
        <f t="shared" si="3"/>
        <v>#N/A</v>
      </c>
      <c r="J35" s="28" t="e">
        <f t="shared" si="4"/>
        <v>#N/A</v>
      </c>
      <c r="K35" s="22" t="str">
        <f t="shared" si="5"/>
        <v/>
      </c>
    </row>
    <row r="36" spans="3:11" x14ac:dyDescent="0.3">
      <c r="C36" s="22" t="str">
        <f t="shared" si="0"/>
        <v/>
      </c>
      <c r="D36" s="28" t="str">
        <f>IF(ISNUMBER(B36),AVERAGE(INDEX($B$2:$B$301,MAX(1,35-semi)):INDEX($B$2:$B$301,MIN($M$2,35+semi))),"")</f>
        <v/>
      </c>
      <c r="E36" s="28" t="str">
        <f t="shared" si="1"/>
        <v/>
      </c>
      <c r="F36" s="22" t="str">
        <f>IF(AND(ISNUMBER(E36),ISNUMBER(E37),ISNUMBER($M$6)),IF(AND(36&lt;$M$6,E36&lt;0.5,E37&gt;=0.5),36,""),"")</f>
        <v/>
      </c>
      <c r="G36" s="22" t="str">
        <f>IF(AND(ISNUMBER(E36),ISNUMBER(E37),ISNUMBER($M$6)),IF(AND(36&gt;=$M$6,E36&gt;=0.5,E37&lt;0.5),36,""),"")</f>
        <v/>
      </c>
      <c r="H36" s="22" t="str">
        <f t="shared" si="2"/>
        <v/>
      </c>
      <c r="I36" s="22" t="e">
        <f t="shared" si="3"/>
        <v>#N/A</v>
      </c>
      <c r="J36" s="28" t="e">
        <f t="shared" si="4"/>
        <v>#N/A</v>
      </c>
      <c r="K36" s="22" t="str">
        <f t="shared" si="5"/>
        <v/>
      </c>
    </row>
    <row r="37" spans="3:11" x14ac:dyDescent="0.3">
      <c r="C37" s="22" t="str">
        <f t="shared" si="0"/>
        <v/>
      </c>
      <c r="D37" s="28" t="str">
        <f>IF(ISNUMBER(B37),AVERAGE(INDEX($B$2:$B$301,MAX(1,36-semi)):INDEX($B$2:$B$301,MIN($M$2,36+semi))),"")</f>
        <v/>
      </c>
      <c r="E37" s="28" t="str">
        <f t="shared" si="1"/>
        <v/>
      </c>
      <c r="F37" s="22" t="str">
        <f>IF(AND(ISNUMBER(E37),ISNUMBER(E38),ISNUMBER($M$6)),IF(AND(37&lt;$M$6,E37&lt;0.5,E38&gt;=0.5),37,""),"")</f>
        <v/>
      </c>
      <c r="G37" s="22" t="str">
        <f>IF(AND(ISNUMBER(E37),ISNUMBER(E38),ISNUMBER($M$6)),IF(AND(37&gt;=$M$6,E37&gt;=0.5,E38&lt;0.5),37,""),"")</f>
        <v/>
      </c>
      <c r="H37" s="22" t="str">
        <f t="shared" si="2"/>
        <v/>
      </c>
      <c r="I37" s="22" t="e">
        <f t="shared" si="3"/>
        <v>#N/A</v>
      </c>
      <c r="J37" s="28" t="e">
        <f t="shared" si="4"/>
        <v>#N/A</v>
      </c>
      <c r="K37" s="22" t="str">
        <f t="shared" si="5"/>
        <v/>
      </c>
    </row>
    <row r="38" spans="3:11" x14ac:dyDescent="0.3">
      <c r="C38" s="22" t="str">
        <f t="shared" si="0"/>
        <v/>
      </c>
      <c r="D38" s="28" t="str">
        <f>IF(ISNUMBER(B38),AVERAGE(INDEX($B$2:$B$301,MAX(1,37-semi)):INDEX($B$2:$B$301,MIN($M$2,37+semi))),"")</f>
        <v/>
      </c>
      <c r="E38" s="28" t="str">
        <f t="shared" si="1"/>
        <v/>
      </c>
      <c r="F38" s="22" t="str">
        <f>IF(AND(ISNUMBER(E38),ISNUMBER(E39),ISNUMBER($M$6)),IF(AND(38&lt;$M$6,E38&lt;0.5,E39&gt;=0.5),38,""),"")</f>
        <v/>
      </c>
      <c r="G38" s="22" t="str">
        <f>IF(AND(ISNUMBER(E38),ISNUMBER(E39),ISNUMBER($M$6)),IF(AND(38&gt;=$M$6,E38&gt;=0.5,E39&lt;0.5),38,""),"")</f>
        <v/>
      </c>
      <c r="H38" s="22" t="str">
        <f t="shared" si="2"/>
        <v/>
      </c>
      <c r="I38" s="22" t="e">
        <f t="shared" si="3"/>
        <v>#N/A</v>
      </c>
      <c r="J38" s="28" t="e">
        <f t="shared" si="4"/>
        <v>#N/A</v>
      </c>
      <c r="K38" s="22" t="str">
        <f t="shared" si="5"/>
        <v/>
      </c>
    </row>
    <row r="39" spans="3:11" x14ac:dyDescent="0.3">
      <c r="C39" s="22" t="str">
        <f t="shared" si="0"/>
        <v/>
      </c>
      <c r="D39" s="28" t="str">
        <f>IF(ISNUMBER(B39),AVERAGE(INDEX($B$2:$B$301,MAX(1,38-semi)):INDEX($B$2:$B$301,MIN($M$2,38+semi))),"")</f>
        <v/>
      </c>
      <c r="E39" s="28" t="str">
        <f t="shared" si="1"/>
        <v/>
      </c>
      <c r="F39" s="22" t="str">
        <f>IF(AND(ISNUMBER(E39),ISNUMBER(E40),ISNUMBER($M$6)),IF(AND(39&lt;$M$6,E39&lt;0.5,E40&gt;=0.5),39,""),"")</f>
        <v/>
      </c>
      <c r="G39" s="22" t="str">
        <f>IF(AND(ISNUMBER(E39),ISNUMBER(E40),ISNUMBER($M$6)),IF(AND(39&gt;=$M$6,E39&gt;=0.5,E40&lt;0.5),39,""),"")</f>
        <v/>
      </c>
      <c r="H39" s="22" t="str">
        <f t="shared" si="2"/>
        <v/>
      </c>
      <c r="I39" s="22" t="e">
        <f t="shared" si="3"/>
        <v>#N/A</v>
      </c>
      <c r="J39" s="28" t="e">
        <f t="shared" si="4"/>
        <v>#N/A</v>
      </c>
      <c r="K39" s="22" t="str">
        <f t="shared" si="5"/>
        <v/>
      </c>
    </row>
    <row r="40" spans="3:11" x14ac:dyDescent="0.3">
      <c r="C40" s="22" t="str">
        <f t="shared" si="0"/>
        <v/>
      </c>
      <c r="D40" s="28" t="str">
        <f>IF(ISNUMBER(B40),AVERAGE(INDEX($B$2:$B$301,MAX(1,39-semi)):INDEX($B$2:$B$301,MIN($M$2,39+semi))),"")</f>
        <v/>
      </c>
      <c r="E40" s="28" t="str">
        <f t="shared" si="1"/>
        <v/>
      </c>
      <c r="F40" s="22" t="str">
        <f>IF(AND(ISNUMBER(E40),ISNUMBER(E41),ISNUMBER($M$6)),IF(AND(40&lt;$M$6,E40&lt;0.5,E41&gt;=0.5),40,""),"")</f>
        <v/>
      </c>
      <c r="G40" s="22" t="str">
        <f>IF(AND(ISNUMBER(E40),ISNUMBER(E41),ISNUMBER($M$6)),IF(AND(40&gt;=$M$6,E40&gt;=0.5,E41&lt;0.5),40,""),"")</f>
        <v/>
      </c>
      <c r="H40" s="22" t="str">
        <f t="shared" si="2"/>
        <v/>
      </c>
      <c r="I40" s="22" t="e">
        <f t="shared" si="3"/>
        <v>#N/A</v>
      </c>
      <c r="J40" s="28" t="e">
        <f t="shared" si="4"/>
        <v>#N/A</v>
      </c>
      <c r="K40" s="22" t="str">
        <f t="shared" si="5"/>
        <v/>
      </c>
    </row>
    <row r="41" spans="3:11" x14ac:dyDescent="0.3">
      <c r="C41" s="22" t="str">
        <f t="shared" si="0"/>
        <v/>
      </c>
      <c r="D41" s="28" t="str">
        <f>IF(ISNUMBER(B41),AVERAGE(INDEX($B$2:$B$301,MAX(1,40-semi)):INDEX($B$2:$B$301,MIN($M$2,40+semi))),"")</f>
        <v/>
      </c>
      <c r="E41" s="28" t="str">
        <f t="shared" si="1"/>
        <v/>
      </c>
      <c r="F41" s="22" t="str">
        <f>IF(AND(ISNUMBER(E41),ISNUMBER(E42),ISNUMBER($M$6)),IF(AND(41&lt;$M$6,E41&lt;0.5,E42&gt;=0.5),41,""),"")</f>
        <v/>
      </c>
      <c r="G41" s="22" t="str">
        <f>IF(AND(ISNUMBER(E41),ISNUMBER(E42),ISNUMBER($M$6)),IF(AND(41&gt;=$M$6,E41&gt;=0.5,E42&lt;0.5),41,""),"")</f>
        <v/>
      </c>
      <c r="H41" s="22" t="str">
        <f t="shared" si="2"/>
        <v/>
      </c>
      <c r="I41" s="22" t="e">
        <f t="shared" si="3"/>
        <v>#N/A</v>
      </c>
      <c r="J41" s="28" t="e">
        <f t="shared" si="4"/>
        <v>#N/A</v>
      </c>
      <c r="K41" s="22" t="str">
        <f t="shared" si="5"/>
        <v/>
      </c>
    </row>
    <row r="42" spans="3:11" x14ac:dyDescent="0.3">
      <c r="C42" s="22" t="str">
        <f t="shared" si="0"/>
        <v/>
      </c>
      <c r="D42" s="28" t="str">
        <f>IF(ISNUMBER(B42),AVERAGE(INDEX($B$2:$B$301,MAX(1,41-semi)):INDEX($B$2:$B$301,MIN($M$2,41+semi))),"")</f>
        <v/>
      </c>
      <c r="E42" s="28" t="str">
        <f t="shared" si="1"/>
        <v/>
      </c>
      <c r="F42" s="22" t="str">
        <f>IF(AND(ISNUMBER(E42),ISNUMBER(E43),ISNUMBER($M$6)),IF(AND(42&lt;$M$6,E42&lt;0.5,E43&gt;=0.5),42,""),"")</f>
        <v/>
      </c>
      <c r="G42" s="22" t="str">
        <f>IF(AND(ISNUMBER(E42),ISNUMBER(E43),ISNUMBER($M$6)),IF(AND(42&gt;=$M$6,E42&gt;=0.5,E43&lt;0.5),42,""),"")</f>
        <v/>
      </c>
      <c r="H42" s="22" t="str">
        <f t="shared" si="2"/>
        <v/>
      </c>
      <c r="I42" s="22" t="e">
        <f t="shared" si="3"/>
        <v>#N/A</v>
      </c>
      <c r="J42" s="28" t="e">
        <f t="shared" si="4"/>
        <v>#N/A</v>
      </c>
      <c r="K42" s="22" t="str">
        <f t="shared" si="5"/>
        <v/>
      </c>
    </row>
    <row r="43" spans="3:11" x14ac:dyDescent="0.3">
      <c r="C43" s="22" t="str">
        <f t="shared" si="0"/>
        <v/>
      </c>
      <c r="D43" s="28" t="str">
        <f>IF(ISNUMBER(B43),AVERAGE(INDEX($B$2:$B$301,MAX(1,42-semi)):INDEX($B$2:$B$301,MIN($M$2,42+semi))),"")</f>
        <v/>
      </c>
      <c r="E43" s="28" t="str">
        <f t="shared" si="1"/>
        <v/>
      </c>
      <c r="F43" s="22" t="str">
        <f>IF(AND(ISNUMBER(E43),ISNUMBER(E44),ISNUMBER($M$6)),IF(AND(43&lt;$M$6,E43&lt;0.5,E44&gt;=0.5),43,""),"")</f>
        <v/>
      </c>
      <c r="G43" s="22" t="str">
        <f>IF(AND(ISNUMBER(E43),ISNUMBER(E44),ISNUMBER($M$6)),IF(AND(43&gt;=$M$6,E43&gt;=0.5,E44&lt;0.5),43,""),"")</f>
        <v/>
      </c>
      <c r="H43" s="22" t="str">
        <f t="shared" si="2"/>
        <v/>
      </c>
      <c r="I43" s="22" t="e">
        <f t="shared" si="3"/>
        <v>#N/A</v>
      </c>
      <c r="J43" s="28" t="e">
        <f t="shared" si="4"/>
        <v>#N/A</v>
      </c>
      <c r="K43" s="22" t="str">
        <f t="shared" si="5"/>
        <v/>
      </c>
    </row>
    <row r="44" spans="3:11" x14ac:dyDescent="0.3">
      <c r="C44" s="22" t="str">
        <f t="shared" si="0"/>
        <v/>
      </c>
      <c r="D44" s="28" t="str">
        <f>IF(ISNUMBER(B44),AVERAGE(INDEX($B$2:$B$301,MAX(1,43-semi)):INDEX($B$2:$B$301,MIN($M$2,43+semi))),"")</f>
        <v/>
      </c>
      <c r="E44" s="28" t="str">
        <f t="shared" si="1"/>
        <v/>
      </c>
      <c r="F44" s="22" t="str">
        <f>IF(AND(ISNUMBER(E44),ISNUMBER(E45),ISNUMBER($M$6)),IF(AND(44&lt;$M$6,E44&lt;0.5,E45&gt;=0.5),44,""),"")</f>
        <v/>
      </c>
      <c r="G44" s="22" t="str">
        <f>IF(AND(ISNUMBER(E44),ISNUMBER(E45),ISNUMBER($M$6)),IF(AND(44&gt;=$M$6,E44&gt;=0.5,E45&lt;0.5),44,""),"")</f>
        <v/>
      </c>
      <c r="H44" s="22" t="str">
        <f t="shared" si="2"/>
        <v/>
      </c>
      <c r="I44" s="22" t="e">
        <f t="shared" si="3"/>
        <v>#N/A</v>
      </c>
      <c r="J44" s="28" t="e">
        <f t="shared" si="4"/>
        <v>#N/A</v>
      </c>
      <c r="K44" s="22" t="str">
        <f t="shared" si="5"/>
        <v/>
      </c>
    </row>
    <row r="45" spans="3:11" x14ac:dyDescent="0.3">
      <c r="C45" s="22" t="str">
        <f t="shared" si="0"/>
        <v/>
      </c>
      <c r="D45" s="28" t="str">
        <f>IF(ISNUMBER(B45),AVERAGE(INDEX($B$2:$B$301,MAX(1,44-semi)):INDEX($B$2:$B$301,MIN($M$2,44+semi))),"")</f>
        <v/>
      </c>
      <c r="E45" s="28" t="str">
        <f t="shared" si="1"/>
        <v/>
      </c>
      <c r="F45" s="22" t="str">
        <f>IF(AND(ISNUMBER(E45),ISNUMBER(E46),ISNUMBER($M$6)),IF(AND(45&lt;$M$6,E45&lt;0.5,E46&gt;=0.5),45,""),"")</f>
        <v/>
      </c>
      <c r="G45" s="22" t="str">
        <f>IF(AND(ISNUMBER(E45),ISNUMBER(E46),ISNUMBER($M$6)),IF(AND(45&gt;=$M$6,E45&gt;=0.5,E46&lt;0.5),45,""),"")</f>
        <v/>
      </c>
      <c r="H45" s="22" t="str">
        <f t="shared" si="2"/>
        <v/>
      </c>
      <c r="I45" s="22" t="e">
        <f t="shared" si="3"/>
        <v>#N/A</v>
      </c>
      <c r="J45" s="28" t="e">
        <f t="shared" si="4"/>
        <v>#N/A</v>
      </c>
      <c r="K45" s="22" t="str">
        <f t="shared" si="5"/>
        <v/>
      </c>
    </row>
    <row r="46" spans="3:11" x14ac:dyDescent="0.3">
      <c r="C46" s="22" t="str">
        <f t="shared" si="0"/>
        <v/>
      </c>
      <c r="D46" s="28" t="str">
        <f>IF(ISNUMBER(B46),AVERAGE(INDEX($B$2:$B$301,MAX(1,45-semi)):INDEX($B$2:$B$301,MIN($M$2,45+semi))),"")</f>
        <v/>
      </c>
      <c r="E46" s="28" t="str">
        <f t="shared" si="1"/>
        <v/>
      </c>
      <c r="F46" s="22" t="str">
        <f>IF(AND(ISNUMBER(E46),ISNUMBER(E47),ISNUMBER($M$6)),IF(AND(46&lt;$M$6,E46&lt;0.5,E47&gt;=0.5),46,""),"")</f>
        <v/>
      </c>
      <c r="G46" s="22" t="str">
        <f>IF(AND(ISNUMBER(E46),ISNUMBER(E47),ISNUMBER($M$6)),IF(AND(46&gt;=$M$6,E46&gt;=0.5,E47&lt;0.5),46,""),"")</f>
        <v/>
      </c>
      <c r="H46" s="22" t="str">
        <f t="shared" si="2"/>
        <v/>
      </c>
      <c r="I46" s="22" t="e">
        <f t="shared" si="3"/>
        <v>#N/A</v>
      </c>
      <c r="J46" s="28" t="e">
        <f t="shared" si="4"/>
        <v>#N/A</v>
      </c>
      <c r="K46" s="22" t="str">
        <f t="shared" si="5"/>
        <v/>
      </c>
    </row>
    <row r="47" spans="3:11" x14ac:dyDescent="0.3">
      <c r="C47" s="22" t="str">
        <f t="shared" si="0"/>
        <v/>
      </c>
      <c r="D47" s="28" t="str">
        <f>IF(ISNUMBER(B47),AVERAGE(INDEX($B$2:$B$301,MAX(1,46-semi)):INDEX($B$2:$B$301,MIN($M$2,46+semi))),"")</f>
        <v/>
      </c>
      <c r="E47" s="28" t="str">
        <f t="shared" si="1"/>
        <v/>
      </c>
      <c r="F47" s="22" t="str">
        <f>IF(AND(ISNUMBER(E47),ISNUMBER(E48),ISNUMBER($M$6)),IF(AND(47&lt;$M$6,E47&lt;0.5,E48&gt;=0.5),47,""),"")</f>
        <v/>
      </c>
      <c r="G47" s="22" t="str">
        <f>IF(AND(ISNUMBER(E47),ISNUMBER(E48),ISNUMBER($M$6)),IF(AND(47&gt;=$M$6,E47&gt;=0.5,E48&lt;0.5),47,""),"")</f>
        <v/>
      </c>
      <c r="H47" s="22" t="str">
        <f t="shared" si="2"/>
        <v/>
      </c>
      <c r="I47" s="22" t="e">
        <f t="shared" si="3"/>
        <v>#N/A</v>
      </c>
      <c r="J47" s="28" t="e">
        <f t="shared" si="4"/>
        <v>#N/A</v>
      </c>
      <c r="K47" s="22" t="str">
        <f t="shared" si="5"/>
        <v/>
      </c>
    </row>
    <row r="48" spans="3:11" x14ac:dyDescent="0.3">
      <c r="C48" s="22" t="str">
        <f t="shared" si="0"/>
        <v/>
      </c>
      <c r="D48" s="28" t="str">
        <f>IF(ISNUMBER(B48),AVERAGE(INDEX($B$2:$B$301,MAX(1,47-semi)):INDEX($B$2:$B$301,MIN($M$2,47+semi))),"")</f>
        <v/>
      </c>
      <c r="E48" s="28" t="str">
        <f t="shared" si="1"/>
        <v/>
      </c>
      <c r="F48" s="22" t="str">
        <f>IF(AND(ISNUMBER(E48),ISNUMBER(E49),ISNUMBER($M$6)),IF(AND(48&lt;$M$6,E48&lt;0.5,E49&gt;=0.5),48,""),"")</f>
        <v/>
      </c>
      <c r="G48" s="22" t="str">
        <f>IF(AND(ISNUMBER(E48),ISNUMBER(E49),ISNUMBER($M$6)),IF(AND(48&gt;=$M$6,E48&gt;=0.5,E49&lt;0.5),48,""),"")</f>
        <v/>
      </c>
      <c r="H48" s="22" t="str">
        <f t="shared" si="2"/>
        <v/>
      </c>
      <c r="I48" s="22" t="e">
        <f t="shared" si="3"/>
        <v>#N/A</v>
      </c>
      <c r="J48" s="28" t="e">
        <f t="shared" si="4"/>
        <v>#N/A</v>
      </c>
      <c r="K48" s="22" t="str">
        <f t="shared" si="5"/>
        <v/>
      </c>
    </row>
    <row r="49" spans="3:11" x14ac:dyDescent="0.3">
      <c r="C49" s="22" t="str">
        <f t="shared" si="0"/>
        <v/>
      </c>
      <c r="D49" s="28" t="str">
        <f>IF(ISNUMBER(B49),AVERAGE(INDEX($B$2:$B$301,MAX(1,48-semi)):INDEX($B$2:$B$301,MIN($M$2,48+semi))),"")</f>
        <v/>
      </c>
      <c r="E49" s="28" t="str">
        <f t="shared" si="1"/>
        <v/>
      </c>
      <c r="F49" s="22" t="str">
        <f>IF(AND(ISNUMBER(E49),ISNUMBER(E50),ISNUMBER($M$6)),IF(AND(49&lt;$M$6,E49&lt;0.5,E50&gt;=0.5),49,""),"")</f>
        <v/>
      </c>
      <c r="G49" s="22" t="str">
        <f>IF(AND(ISNUMBER(E49),ISNUMBER(E50),ISNUMBER($M$6)),IF(AND(49&gt;=$M$6,E49&gt;=0.5,E50&lt;0.5),49,""),"")</f>
        <v/>
      </c>
      <c r="H49" s="22" t="str">
        <f t="shared" si="2"/>
        <v/>
      </c>
      <c r="I49" s="22" t="e">
        <f t="shared" si="3"/>
        <v>#N/A</v>
      </c>
      <c r="J49" s="28" t="e">
        <f t="shared" si="4"/>
        <v>#N/A</v>
      </c>
      <c r="K49" s="22" t="str">
        <f t="shared" si="5"/>
        <v/>
      </c>
    </row>
    <row r="50" spans="3:11" x14ac:dyDescent="0.3">
      <c r="C50" s="22" t="str">
        <f t="shared" si="0"/>
        <v/>
      </c>
      <c r="D50" s="28" t="str">
        <f>IF(ISNUMBER(B50),AVERAGE(INDEX($B$2:$B$301,MAX(1,49-semi)):INDEX($B$2:$B$301,MIN($M$2,49+semi))),"")</f>
        <v/>
      </c>
      <c r="E50" s="28" t="str">
        <f t="shared" si="1"/>
        <v/>
      </c>
      <c r="F50" s="22" t="str">
        <f>IF(AND(ISNUMBER(E50),ISNUMBER(E51),ISNUMBER($M$6)),IF(AND(50&lt;$M$6,E50&lt;0.5,E51&gt;=0.5),50,""),"")</f>
        <v/>
      </c>
      <c r="G50" s="22" t="str">
        <f>IF(AND(ISNUMBER(E50),ISNUMBER(E51),ISNUMBER($M$6)),IF(AND(50&gt;=$M$6,E50&gt;=0.5,E51&lt;0.5),50,""),"")</f>
        <v/>
      </c>
      <c r="H50" s="22" t="str">
        <f t="shared" si="2"/>
        <v/>
      </c>
      <c r="I50" s="22" t="e">
        <f t="shared" si="3"/>
        <v>#N/A</v>
      </c>
      <c r="J50" s="28" t="e">
        <f t="shared" si="4"/>
        <v>#N/A</v>
      </c>
      <c r="K50" s="22" t="str">
        <f t="shared" si="5"/>
        <v/>
      </c>
    </row>
    <row r="51" spans="3:11" x14ac:dyDescent="0.3">
      <c r="C51" s="22" t="str">
        <f t="shared" si="0"/>
        <v/>
      </c>
      <c r="D51" s="28" t="str">
        <f>IF(ISNUMBER(B51),AVERAGE(INDEX($B$2:$B$301,MAX(1,50-semi)):INDEX($B$2:$B$301,MIN($M$2,50+semi))),"")</f>
        <v/>
      </c>
      <c r="E51" s="28" t="str">
        <f t="shared" si="1"/>
        <v/>
      </c>
      <c r="F51" s="22" t="str">
        <f>IF(AND(ISNUMBER(E51),ISNUMBER(E52),ISNUMBER($M$6)),IF(AND(51&lt;$M$6,E51&lt;0.5,E52&gt;=0.5),51,""),"")</f>
        <v/>
      </c>
      <c r="G51" s="22" t="str">
        <f>IF(AND(ISNUMBER(E51),ISNUMBER(E52),ISNUMBER($M$6)),IF(AND(51&gt;=$M$6,E51&gt;=0.5,E52&lt;0.5),51,""),"")</f>
        <v/>
      </c>
      <c r="H51" s="22" t="str">
        <f t="shared" si="2"/>
        <v/>
      </c>
      <c r="I51" s="22" t="e">
        <f t="shared" si="3"/>
        <v>#N/A</v>
      </c>
      <c r="J51" s="28" t="e">
        <f t="shared" si="4"/>
        <v>#N/A</v>
      </c>
      <c r="K51" s="22" t="str">
        <f t="shared" si="5"/>
        <v/>
      </c>
    </row>
    <row r="52" spans="3:11" x14ac:dyDescent="0.3">
      <c r="C52" s="22" t="str">
        <f t="shared" si="0"/>
        <v/>
      </c>
      <c r="D52" s="28" t="str">
        <f>IF(ISNUMBER(B52),AVERAGE(INDEX($B$2:$B$301,MAX(1,51-semi)):INDEX($B$2:$B$301,MIN($M$2,51+semi))),"")</f>
        <v/>
      </c>
      <c r="E52" s="28" t="str">
        <f t="shared" si="1"/>
        <v/>
      </c>
      <c r="F52" s="22" t="str">
        <f>IF(AND(ISNUMBER(E52),ISNUMBER(E53),ISNUMBER($M$6)),IF(AND(52&lt;$M$6,E52&lt;0.5,E53&gt;=0.5),52,""),"")</f>
        <v/>
      </c>
      <c r="G52" s="22" t="str">
        <f>IF(AND(ISNUMBER(E52),ISNUMBER(E53),ISNUMBER($M$6)),IF(AND(52&gt;=$M$6,E52&gt;=0.5,E53&lt;0.5),52,""),"")</f>
        <v/>
      </c>
      <c r="H52" s="22" t="str">
        <f t="shared" si="2"/>
        <v/>
      </c>
      <c r="I52" s="22" t="e">
        <f t="shared" si="3"/>
        <v>#N/A</v>
      </c>
      <c r="J52" s="28" t="e">
        <f t="shared" si="4"/>
        <v>#N/A</v>
      </c>
      <c r="K52" s="22" t="str">
        <f t="shared" si="5"/>
        <v/>
      </c>
    </row>
    <row r="53" spans="3:11" x14ac:dyDescent="0.3">
      <c r="C53" s="22" t="str">
        <f t="shared" si="0"/>
        <v/>
      </c>
      <c r="D53" s="28" t="str">
        <f>IF(ISNUMBER(B53),AVERAGE(INDEX($B$2:$B$301,MAX(1,52-semi)):INDEX($B$2:$B$301,MIN($M$2,52+semi))),"")</f>
        <v/>
      </c>
      <c r="E53" s="28" t="str">
        <f t="shared" si="1"/>
        <v/>
      </c>
      <c r="F53" s="22" t="str">
        <f>IF(AND(ISNUMBER(E53),ISNUMBER(E54),ISNUMBER($M$6)),IF(AND(53&lt;$M$6,E53&lt;0.5,E54&gt;=0.5),53,""),"")</f>
        <v/>
      </c>
      <c r="G53" s="22" t="str">
        <f>IF(AND(ISNUMBER(E53),ISNUMBER(E54),ISNUMBER($M$6)),IF(AND(53&gt;=$M$6,E53&gt;=0.5,E54&lt;0.5),53,""),"")</f>
        <v/>
      </c>
      <c r="H53" s="22" t="str">
        <f t="shared" si="2"/>
        <v/>
      </c>
      <c r="I53" s="22" t="e">
        <f t="shared" si="3"/>
        <v>#N/A</v>
      </c>
      <c r="J53" s="28" t="e">
        <f t="shared" si="4"/>
        <v>#N/A</v>
      </c>
      <c r="K53" s="22" t="str">
        <f t="shared" si="5"/>
        <v/>
      </c>
    </row>
    <row r="54" spans="3:11" x14ac:dyDescent="0.3">
      <c r="C54" s="22" t="str">
        <f t="shared" si="0"/>
        <v/>
      </c>
      <c r="D54" s="28" t="str">
        <f>IF(ISNUMBER(B54),AVERAGE(INDEX($B$2:$B$301,MAX(1,53-semi)):INDEX($B$2:$B$301,MIN($M$2,53+semi))),"")</f>
        <v/>
      </c>
      <c r="E54" s="28" t="str">
        <f t="shared" si="1"/>
        <v/>
      </c>
      <c r="F54" s="22" t="str">
        <f>IF(AND(ISNUMBER(E54),ISNUMBER(E55),ISNUMBER($M$6)),IF(AND(54&lt;$M$6,E54&lt;0.5,E55&gt;=0.5),54,""),"")</f>
        <v/>
      </c>
      <c r="G54" s="22" t="str">
        <f>IF(AND(ISNUMBER(E54),ISNUMBER(E55),ISNUMBER($M$6)),IF(AND(54&gt;=$M$6,E54&gt;=0.5,E55&lt;0.5),54,""),"")</f>
        <v/>
      </c>
      <c r="H54" s="22" t="str">
        <f t="shared" si="2"/>
        <v/>
      </c>
      <c r="I54" s="22" t="e">
        <f t="shared" si="3"/>
        <v>#N/A</v>
      </c>
      <c r="J54" s="28" t="e">
        <f t="shared" si="4"/>
        <v>#N/A</v>
      </c>
      <c r="K54" s="22" t="str">
        <f t="shared" si="5"/>
        <v/>
      </c>
    </row>
    <row r="55" spans="3:11" x14ac:dyDescent="0.3">
      <c r="C55" s="22" t="str">
        <f t="shared" si="0"/>
        <v/>
      </c>
      <c r="D55" s="28" t="str">
        <f>IF(ISNUMBER(B55),AVERAGE(INDEX($B$2:$B$301,MAX(1,54-semi)):INDEX($B$2:$B$301,MIN($M$2,54+semi))),"")</f>
        <v/>
      </c>
      <c r="E55" s="28" t="str">
        <f t="shared" si="1"/>
        <v/>
      </c>
      <c r="F55" s="22" t="str">
        <f>IF(AND(ISNUMBER(E55),ISNUMBER(E56),ISNUMBER($M$6)),IF(AND(55&lt;$M$6,E55&lt;0.5,E56&gt;=0.5),55,""),"")</f>
        <v/>
      </c>
      <c r="G55" s="22" t="str">
        <f>IF(AND(ISNUMBER(E55),ISNUMBER(E56),ISNUMBER($M$6)),IF(AND(55&gt;=$M$6,E55&gt;=0.5,E56&lt;0.5),55,""),"")</f>
        <v/>
      </c>
      <c r="H55" s="22" t="str">
        <f t="shared" si="2"/>
        <v/>
      </c>
      <c r="I55" s="22" t="e">
        <f t="shared" si="3"/>
        <v>#N/A</v>
      </c>
      <c r="J55" s="28" t="e">
        <f t="shared" si="4"/>
        <v>#N/A</v>
      </c>
      <c r="K55" s="22" t="str">
        <f t="shared" si="5"/>
        <v/>
      </c>
    </row>
    <row r="56" spans="3:11" x14ac:dyDescent="0.3">
      <c r="C56" s="22" t="str">
        <f t="shared" si="0"/>
        <v/>
      </c>
      <c r="D56" s="28" t="str">
        <f>IF(ISNUMBER(B56),AVERAGE(INDEX($B$2:$B$301,MAX(1,55-semi)):INDEX($B$2:$B$301,MIN($M$2,55+semi))),"")</f>
        <v/>
      </c>
      <c r="E56" s="28" t="str">
        <f t="shared" si="1"/>
        <v/>
      </c>
      <c r="F56" s="22" t="str">
        <f>IF(AND(ISNUMBER(E56),ISNUMBER(E57),ISNUMBER($M$6)),IF(AND(56&lt;$M$6,E56&lt;0.5,E57&gt;=0.5),56,""),"")</f>
        <v/>
      </c>
      <c r="G56" s="22" t="str">
        <f>IF(AND(ISNUMBER(E56),ISNUMBER(E57),ISNUMBER($M$6)),IF(AND(56&gt;=$M$6,E56&gt;=0.5,E57&lt;0.5),56,""),"")</f>
        <v/>
      </c>
      <c r="H56" s="22" t="str">
        <f t="shared" si="2"/>
        <v/>
      </c>
      <c r="I56" s="22" t="e">
        <f t="shared" si="3"/>
        <v>#N/A</v>
      </c>
      <c r="J56" s="28" t="e">
        <f t="shared" si="4"/>
        <v>#N/A</v>
      </c>
      <c r="K56" s="22" t="str">
        <f t="shared" si="5"/>
        <v/>
      </c>
    </row>
    <row r="57" spans="3:11" x14ac:dyDescent="0.3">
      <c r="C57" s="22" t="str">
        <f t="shared" si="0"/>
        <v/>
      </c>
      <c r="D57" s="28" t="str">
        <f>IF(ISNUMBER(B57),AVERAGE(INDEX($B$2:$B$301,MAX(1,56-semi)):INDEX($B$2:$B$301,MIN($M$2,56+semi))),"")</f>
        <v/>
      </c>
      <c r="E57" s="28" t="str">
        <f t="shared" si="1"/>
        <v/>
      </c>
      <c r="F57" s="22" t="str">
        <f>IF(AND(ISNUMBER(E57),ISNUMBER(E58),ISNUMBER($M$6)),IF(AND(57&lt;$M$6,E57&lt;0.5,E58&gt;=0.5),57,""),"")</f>
        <v/>
      </c>
      <c r="G57" s="22" t="str">
        <f>IF(AND(ISNUMBER(E57),ISNUMBER(E58),ISNUMBER($M$6)),IF(AND(57&gt;=$M$6,E57&gt;=0.5,E58&lt;0.5),57,""),"")</f>
        <v/>
      </c>
      <c r="H57" s="22" t="str">
        <f t="shared" si="2"/>
        <v/>
      </c>
      <c r="I57" s="22" t="e">
        <f t="shared" si="3"/>
        <v>#N/A</v>
      </c>
      <c r="J57" s="28" t="e">
        <f t="shared" si="4"/>
        <v>#N/A</v>
      </c>
      <c r="K57" s="22" t="str">
        <f t="shared" si="5"/>
        <v/>
      </c>
    </row>
    <row r="58" spans="3:11" x14ac:dyDescent="0.3">
      <c r="C58" s="22" t="str">
        <f t="shared" si="0"/>
        <v/>
      </c>
      <c r="D58" s="28" t="str">
        <f>IF(ISNUMBER(B58),AVERAGE(INDEX($B$2:$B$301,MAX(1,57-semi)):INDEX($B$2:$B$301,MIN($M$2,57+semi))),"")</f>
        <v/>
      </c>
      <c r="E58" s="28" t="str">
        <f t="shared" si="1"/>
        <v/>
      </c>
      <c r="F58" s="22" t="str">
        <f>IF(AND(ISNUMBER(E58),ISNUMBER(E59),ISNUMBER($M$6)),IF(AND(58&lt;$M$6,E58&lt;0.5,E59&gt;=0.5),58,""),"")</f>
        <v/>
      </c>
      <c r="G58" s="22" t="str">
        <f>IF(AND(ISNUMBER(E58),ISNUMBER(E59),ISNUMBER($M$6)),IF(AND(58&gt;=$M$6,E58&gt;=0.5,E59&lt;0.5),58,""),"")</f>
        <v/>
      </c>
      <c r="H58" s="22" t="str">
        <f t="shared" si="2"/>
        <v/>
      </c>
      <c r="I58" s="22" t="e">
        <f t="shared" si="3"/>
        <v>#N/A</v>
      </c>
      <c r="J58" s="28" t="e">
        <f t="shared" si="4"/>
        <v>#N/A</v>
      </c>
      <c r="K58" s="22" t="str">
        <f t="shared" si="5"/>
        <v/>
      </c>
    </row>
    <row r="59" spans="3:11" x14ac:dyDescent="0.3">
      <c r="C59" s="22" t="str">
        <f t="shared" si="0"/>
        <v/>
      </c>
      <c r="D59" s="28" t="str">
        <f>IF(ISNUMBER(B59),AVERAGE(INDEX($B$2:$B$301,MAX(1,58-semi)):INDEX($B$2:$B$301,MIN($M$2,58+semi))),"")</f>
        <v/>
      </c>
      <c r="E59" s="28" t="str">
        <f t="shared" si="1"/>
        <v/>
      </c>
      <c r="F59" s="22" t="str">
        <f>IF(AND(ISNUMBER(E59),ISNUMBER(E60),ISNUMBER($M$6)),IF(AND(59&lt;$M$6,E59&lt;0.5,E60&gt;=0.5),59,""),"")</f>
        <v/>
      </c>
      <c r="G59" s="22" t="str">
        <f>IF(AND(ISNUMBER(E59),ISNUMBER(E60),ISNUMBER($M$6)),IF(AND(59&gt;=$M$6,E59&gt;=0.5,E60&lt;0.5),59,""),"")</f>
        <v/>
      </c>
      <c r="H59" s="22" t="str">
        <f t="shared" si="2"/>
        <v/>
      </c>
      <c r="I59" s="22" t="e">
        <f t="shared" si="3"/>
        <v>#N/A</v>
      </c>
      <c r="J59" s="28" t="e">
        <f t="shared" si="4"/>
        <v>#N/A</v>
      </c>
      <c r="K59" s="22" t="str">
        <f t="shared" si="5"/>
        <v/>
      </c>
    </row>
    <row r="60" spans="3:11" x14ac:dyDescent="0.3">
      <c r="C60" s="22" t="str">
        <f t="shared" si="0"/>
        <v/>
      </c>
      <c r="D60" s="28" t="str">
        <f>IF(ISNUMBER(B60),AVERAGE(INDEX($B$2:$B$301,MAX(1,59-semi)):INDEX($B$2:$B$301,MIN($M$2,59+semi))),"")</f>
        <v/>
      </c>
      <c r="E60" s="28" t="str">
        <f t="shared" si="1"/>
        <v/>
      </c>
      <c r="F60" s="22" t="str">
        <f>IF(AND(ISNUMBER(E60),ISNUMBER(E61),ISNUMBER($M$6)),IF(AND(60&lt;$M$6,E60&lt;0.5,E61&gt;=0.5),60,""),"")</f>
        <v/>
      </c>
      <c r="G60" s="22" t="str">
        <f>IF(AND(ISNUMBER(E60),ISNUMBER(E61),ISNUMBER($M$6)),IF(AND(60&gt;=$M$6,E60&gt;=0.5,E61&lt;0.5),60,""),"")</f>
        <v/>
      </c>
      <c r="H60" s="22" t="str">
        <f t="shared" si="2"/>
        <v/>
      </c>
      <c r="I60" s="22" t="e">
        <f t="shared" si="3"/>
        <v>#N/A</v>
      </c>
      <c r="J60" s="28" t="e">
        <f t="shared" si="4"/>
        <v>#N/A</v>
      </c>
      <c r="K60" s="22" t="str">
        <f t="shared" si="5"/>
        <v/>
      </c>
    </row>
    <row r="61" spans="3:11" x14ac:dyDescent="0.3">
      <c r="C61" s="22" t="str">
        <f t="shared" si="0"/>
        <v/>
      </c>
      <c r="D61" s="28" t="str">
        <f>IF(ISNUMBER(B61),AVERAGE(INDEX($B$2:$B$301,MAX(1,60-semi)):INDEX($B$2:$B$301,MIN($M$2,60+semi))),"")</f>
        <v/>
      </c>
      <c r="E61" s="28" t="str">
        <f t="shared" si="1"/>
        <v/>
      </c>
      <c r="F61" s="22" t="str">
        <f>IF(AND(ISNUMBER(E61),ISNUMBER(E62),ISNUMBER($M$6)),IF(AND(61&lt;$M$6,E61&lt;0.5,E62&gt;=0.5),61,""),"")</f>
        <v/>
      </c>
      <c r="G61" s="22" t="str">
        <f>IF(AND(ISNUMBER(E61),ISNUMBER(E62),ISNUMBER($M$6)),IF(AND(61&gt;=$M$6,E61&gt;=0.5,E62&lt;0.5),61,""),"")</f>
        <v/>
      </c>
      <c r="H61" s="22" t="str">
        <f t="shared" si="2"/>
        <v/>
      </c>
      <c r="I61" s="22" t="e">
        <f t="shared" si="3"/>
        <v>#N/A</v>
      </c>
      <c r="J61" s="28" t="e">
        <f t="shared" si="4"/>
        <v>#N/A</v>
      </c>
      <c r="K61" s="22" t="str">
        <f t="shared" si="5"/>
        <v/>
      </c>
    </row>
    <row r="62" spans="3:11" x14ac:dyDescent="0.3">
      <c r="C62" s="22" t="str">
        <f t="shared" si="0"/>
        <v/>
      </c>
      <c r="D62" s="28" t="str">
        <f>IF(ISNUMBER(B62),AVERAGE(INDEX($B$2:$B$301,MAX(1,61-semi)):INDEX($B$2:$B$301,MIN($M$2,61+semi))),"")</f>
        <v/>
      </c>
      <c r="E62" s="28" t="str">
        <f t="shared" si="1"/>
        <v/>
      </c>
      <c r="F62" s="22" t="str">
        <f>IF(AND(ISNUMBER(E62),ISNUMBER(E63),ISNUMBER($M$6)),IF(AND(62&lt;$M$6,E62&lt;0.5,E63&gt;=0.5),62,""),"")</f>
        <v/>
      </c>
      <c r="G62" s="22" t="str">
        <f>IF(AND(ISNUMBER(E62),ISNUMBER(E63),ISNUMBER($M$6)),IF(AND(62&gt;=$M$6,E62&gt;=0.5,E63&lt;0.5),62,""),"")</f>
        <v/>
      </c>
      <c r="H62" s="22" t="str">
        <f t="shared" si="2"/>
        <v/>
      </c>
      <c r="I62" s="22" t="e">
        <f t="shared" si="3"/>
        <v>#N/A</v>
      </c>
      <c r="J62" s="28" t="e">
        <f t="shared" si="4"/>
        <v>#N/A</v>
      </c>
      <c r="K62" s="22" t="str">
        <f t="shared" si="5"/>
        <v/>
      </c>
    </row>
    <row r="63" spans="3:11" x14ac:dyDescent="0.3">
      <c r="C63" s="22" t="str">
        <f t="shared" si="0"/>
        <v/>
      </c>
      <c r="D63" s="28" t="str">
        <f>IF(ISNUMBER(B63),AVERAGE(INDEX($B$2:$B$301,MAX(1,62-semi)):INDEX($B$2:$B$301,MIN($M$2,62+semi))),"")</f>
        <v/>
      </c>
      <c r="E63" s="28" t="str">
        <f t="shared" si="1"/>
        <v/>
      </c>
      <c r="F63" s="22" t="str">
        <f>IF(AND(ISNUMBER(E63),ISNUMBER(E64),ISNUMBER($M$6)),IF(AND(63&lt;$M$6,E63&lt;0.5,E64&gt;=0.5),63,""),"")</f>
        <v/>
      </c>
      <c r="G63" s="22" t="str">
        <f>IF(AND(ISNUMBER(E63),ISNUMBER(E64),ISNUMBER($M$6)),IF(AND(63&gt;=$M$6,E63&gt;=0.5,E64&lt;0.5),63,""),"")</f>
        <v/>
      </c>
      <c r="H63" s="22" t="str">
        <f t="shared" si="2"/>
        <v/>
      </c>
      <c r="I63" s="22" t="e">
        <f t="shared" si="3"/>
        <v>#N/A</v>
      </c>
      <c r="J63" s="28" t="e">
        <f t="shared" si="4"/>
        <v>#N/A</v>
      </c>
      <c r="K63" s="22" t="str">
        <f t="shared" si="5"/>
        <v/>
      </c>
    </row>
    <row r="64" spans="3:11" x14ac:dyDescent="0.3">
      <c r="C64" s="22" t="str">
        <f t="shared" si="0"/>
        <v/>
      </c>
      <c r="D64" s="28" t="str">
        <f>IF(ISNUMBER(B64),AVERAGE(INDEX($B$2:$B$301,MAX(1,63-semi)):INDEX($B$2:$B$301,MIN($M$2,63+semi))),"")</f>
        <v/>
      </c>
      <c r="E64" s="28" t="str">
        <f t="shared" si="1"/>
        <v/>
      </c>
      <c r="F64" s="22" t="str">
        <f>IF(AND(ISNUMBER(E64),ISNUMBER(E65),ISNUMBER($M$6)),IF(AND(64&lt;$M$6,E64&lt;0.5,E65&gt;=0.5),64,""),"")</f>
        <v/>
      </c>
      <c r="G64" s="22" t="str">
        <f>IF(AND(ISNUMBER(E64),ISNUMBER(E65),ISNUMBER($M$6)),IF(AND(64&gt;=$M$6,E64&gt;=0.5,E65&lt;0.5),64,""),"")</f>
        <v/>
      </c>
      <c r="H64" s="22" t="str">
        <f t="shared" si="2"/>
        <v/>
      </c>
      <c r="I64" s="22" t="e">
        <f t="shared" si="3"/>
        <v>#N/A</v>
      </c>
      <c r="J64" s="28" t="e">
        <f t="shared" si="4"/>
        <v>#N/A</v>
      </c>
      <c r="K64" s="22" t="str">
        <f t="shared" si="5"/>
        <v/>
      </c>
    </row>
    <row r="65" spans="3:11" x14ac:dyDescent="0.3">
      <c r="C65" s="22" t="str">
        <f t="shared" si="0"/>
        <v/>
      </c>
      <c r="D65" s="28" t="str">
        <f>IF(ISNUMBER(B65),AVERAGE(INDEX($B$2:$B$301,MAX(1,64-semi)):INDEX($B$2:$B$301,MIN($M$2,64+semi))),"")</f>
        <v/>
      </c>
      <c r="E65" s="28" t="str">
        <f t="shared" si="1"/>
        <v/>
      </c>
      <c r="F65" s="22" t="str">
        <f>IF(AND(ISNUMBER(E65),ISNUMBER(E66),ISNUMBER($M$6)),IF(AND(65&lt;$M$6,E65&lt;0.5,E66&gt;=0.5),65,""),"")</f>
        <v/>
      </c>
      <c r="G65" s="22" t="str">
        <f>IF(AND(ISNUMBER(E65),ISNUMBER(E66),ISNUMBER($M$6)),IF(AND(65&gt;=$M$6,E65&gt;=0.5,E66&lt;0.5),65,""),"")</f>
        <v/>
      </c>
      <c r="H65" s="22" t="str">
        <f t="shared" si="2"/>
        <v/>
      </c>
      <c r="I65" s="22" t="e">
        <f t="shared" si="3"/>
        <v>#N/A</v>
      </c>
      <c r="J65" s="28" t="e">
        <f t="shared" si="4"/>
        <v>#N/A</v>
      </c>
      <c r="K65" s="22" t="str">
        <f t="shared" si="5"/>
        <v/>
      </c>
    </row>
    <row r="66" spans="3:11" x14ac:dyDescent="0.3">
      <c r="C66" s="22" t="str">
        <f t="shared" ref="C66:C129" si="6">IF(ISNUMBER(A66),A66*conv,"")</f>
        <v/>
      </c>
      <c r="D66" s="28" t="str">
        <f>IF(ISNUMBER(B66),AVERAGE(INDEX($B$2:$B$301,MAX(1,65-semi)):INDEX($B$2:$B$301,MIN($M$2,65+semi))),"")</f>
        <v/>
      </c>
      <c r="E66" s="28" t="str">
        <f t="shared" ref="E66:E129" si="7">IF(AND(ISNUMBER(D66),ISNUMBER($M$4)),(D66-$M$4)/($M$5-$M$4),"")</f>
        <v/>
      </c>
      <c r="F66" s="22" t="str">
        <f>IF(AND(ISNUMBER(E66),ISNUMBER(E67),ISNUMBER($M$6)),IF(AND(66&lt;$M$6,E66&lt;0.5,E67&gt;=0.5),66,""),"")</f>
        <v/>
      </c>
      <c r="G66" s="22" t="str">
        <f>IF(AND(ISNUMBER(E66),ISNUMBER(E67),ISNUMBER($M$6)),IF(AND(66&gt;=$M$6,E66&gt;=0.5,E67&lt;0.5),66,""),"")</f>
        <v/>
      </c>
      <c r="H66" s="22" t="str">
        <f t="shared" ref="H66:H129" si="8">IF(OR(ISNUMBER(F66),ISNUMBER(G66)),C66+(0.5-E66)*(C67-C66)/(E67-E66),"")</f>
        <v/>
      </c>
      <c r="I66" s="22" t="e">
        <f t="shared" ref="I66:I129" si="9">IF(AND(ISNUMBER(E66),ISNUMBER($M$15)),C66-$M$15,NA())</f>
        <v>#N/A</v>
      </c>
      <c r="J66" s="28" t="e">
        <f t="shared" ref="J66:J129" si="10">IF(ISNUMBER(E66),E66,NA())</f>
        <v>#N/A</v>
      </c>
      <c r="K66" s="22" t="str">
        <f t="shared" ref="K66:K129" si="11">IF(AND(ISNUMBER(C66),ISNUMBER(C67)),SIGN(C67-C66),"")</f>
        <v/>
      </c>
    </row>
    <row r="67" spans="3:11" x14ac:dyDescent="0.3">
      <c r="C67" s="22" t="str">
        <f t="shared" si="6"/>
        <v/>
      </c>
      <c r="D67" s="28" t="str">
        <f>IF(ISNUMBER(B67),AVERAGE(INDEX($B$2:$B$301,MAX(1,66-semi)):INDEX($B$2:$B$301,MIN($M$2,66+semi))),"")</f>
        <v/>
      </c>
      <c r="E67" s="28" t="str">
        <f t="shared" si="7"/>
        <v/>
      </c>
      <c r="F67" s="22" t="str">
        <f>IF(AND(ISNUMBER(E67),ISNUMBER(E68),ISNUMBER($M$6)),IF(AND(67&lt;$M$6,E67&lt;0.5,E68&gt;=0.5),67,""),"")</f>
        <v/>
      </c>
      <c r="G67" s="22" t="str">
        <f>IF(AND(ISNUMBER(E67),ISNUMBER(E68),ISNUMBER($M$6)),IF(AND(67&gt;=$M$6,E67&gt;=0.5,E68&lt;0.5),67,""),"")</f>
        <v/>
      </c>
      <c r="H67" s="22" t="str">
        <f t="shared" si="8"/>
        <v/>
      </c>
      <c r="I67" s="22" t="e">
        <f t="shared" si="9"/>
        <v>#N/A</v>
      </c>
      <c r="J67" s="28" t="e">
        <f t="shared" si="10"/>
        <v>#N/A</v>
      </c>
      <c r="K67" s="22" t="str">
        <f t="shared" si="11"/>
        <v/>
      </c>
    </row>
    <row r="68" spans="3:11" x14ac:dyDescent="0.3">
      <c r="C68" s="22" t="str">
        <f t="shared" si="6"/>
        <v/>
      </c>
      <c r="D68" s="28" t="str">
        <f>IF(ISNUMBER(B68),AVERAGE(INDEX($B$2:$B$301,MAX(1,67-semi)):INDEX($B$2:$B$301,MIN($M$2,67+semi))),"")</f>
        <v/>
      </c>
      <c r="E68" s="28" t="str">
        <f t="shared" si="7"/>
        <v/>
      </c>
      <c r="F68" s="22" t="str">
        <f>IF(AND(ISNUMBER(E68),ISNUMBER(E69),ISNUMBER($M$6)),IF(AND(68&lt;$M$6,E68&lt;0.5,E69&gt;=0.5),68,""),"")</f>
        <v/>
      </c>
      <c r="G68" s="22" t="str">
        <f>IF(AND(ISNUMBER(E68),ISNUMBER(E69),ISNUMBER($M$6)),IF(AND(68&gt;=$M$6,E68&gt;=0.5,E69&lt;0.5),68,""),"")</f>
        <v/>
      </c>
      <c r="H68" s="22" t="str">
        <f t="shared" si="8"/>
        <v/>
      </c>
      <c r="I68" s="22" t="e">
        <f t="shared" si="9"/>
        <v>#N/A</v>
      </c>
      <c r="J68" s="28" t="e">
        <f t="shared" si="10"/>
        <v>#N/A</v>
      </c>
      <c r="K68" s="22" t="str">
        <f t="shared" si="11"/>
        <v/>
      </c>
    </row>
    <row r="69" spans="3:11" x14ac:dyDescent="0.3">
      <c r="C69" s="22" t="str">
        <f t="shared" si="6"/>
        <v/>
      </c>
      <c r="D69" s="28" t="str">
        <f>IF(ISNUMBER(B69),AVERAGE(INDEX($B$2:$B$301,MAX(1,68-semi)):INDEX($B$2:$B$301,MIN($M$2,68+semi))),"")</f>
        <v/>
      </c>
      <c r="E69" s="28" t="str">
        <f t="shared" si="7"/>
        <v/>
      </c>
      <c r="F69" s="22" t="str">
        <f>IF(AND(ISNUMBER(E69),ISNUMBER(E70),ISNUMBER($M$6)),IF(AND(69&lt;$M$6,E69&lt;0.5,E70&gt;=0.5),69,""),"")</f>
        <v/>
      </c>
      <c r="G69" s="22" t="str">
        <f>IF(AND(ISNUMBER(E69),ISNUMBER(E70),ISNUMBER($M$6)),IF(AND(69&gt;=$M$6,E69&gt;=0.5,E70&lt;0.5),69,""),"")</f>
        <v/>
      </c>
      <c r="H69" s="22" t="str">
        <f t="shared" si="8"/>
        <v/>
      </c>
      <c r="I69" s="22" t="e">
        <f t="shared" si="9"/>
        <v>#N/A</v>
      </c>
      <c r="J69" s="28" t="e">
        <f t="shared" si="10"/>
        <v>#N/A</v>
      </c>
      <c r="K69" s="22" t="str">
        <f t="shared" si="11"/>
        <v/>
      </c>
    </row>
    <row r="70" spans="3:11" x14ac:dyDescent="0.3">
      <c r="C70" s="22" t="str">
        <f t="shared" si="6"/>
        <v/>
      </c>
      <c r="D70" s="28" t="str">
        <f>IF(ISNUMBER(B70),AVERAGE(INDEX($B$2:$B$301,MAX(1,69-semi)):INDEX($B$2:$B$301,MIN($M$2,69+semi))),"")</f>
        <v/>
      </c>
      <c r="E70" s="28" t="str">
        <f t="shared" si="7"/>
        <v/>
      </c>
      <c r="F70" s="22" t="str">
        <f>IF(AND(ISNUMBER(E70),ISNUMBER(E71),ISNUMBER($M$6)),IF(AND(70&lt;$M$6,E70&lt;0.5,E71&gt;=0.5),70,""),"")</f>
        <v/>
      </c>
      <c r="G70" s="22" t="str">
        <f>IF(AND(ISNUMBER(E70),ISNUMBER(E71),ISNUMBER($M$6)),IF(AND(70&gt;=$M$6,E70&gt;=0.5,E71&lt;0.5),70,""),"")</f>
        <v/>
      </c>
      <c r="H70" s="22" t="str">
        <f t="shared" si="8"/>
        <v/>
      </c>
      <c r="I70" s="22" t="e">
        <f t="shared" si="9"/>
        <v>#N/A</v>
      </c>
      <c r="J70" s="28" t="e">
        <f t="shared" si="10"/>
        <v>#N/A</v>
      </c>
      <c r="K70" s="22" t="str">
        <f t="shared" si="11"/>
        <v/>
      </c>
    </row>
    <row r="71" spans="3:11" x14ac:dyDescent="0.3">
      <c r="C71" s="22" t="str">
        <f t="shared" si="6"/>
        <v/>
      </c>
      <c r="D71" s="28" t="str">
        <f>IF(ISNUMBER(B71),AVERAGE(INDEX($B$2:$B$301,MAX(1,70-semi)):INDEX($B$2:$B$301,MIN($M$2,70+semi))),"")</f>
        <v/>
      </c>
      <c r="E71" s="28" t="str">
        <f t="shared" si="7"/>
        <v/>
      </c>
      <c r="F71" s="22" t="str">
        <f>IF(AND(ISNUMBER(E71),ISNUMBER(E72),ISNUMBER($M$6)),IF(AND(71&lt;$M$6,E71&lt;0.5,E72&gt;=0.5),71,""),"")</f>
        <v/>
      </c>
      <c r="G71" s="22" t="str">
        <f>IF(AND(ISNUMBER(E71),ISNUMBER(E72),ISNUMBER($M$6)),IF(AND(71&gt;=$M$6,E71&gt;=0.5,E72&lt;0.5),71,""),"")</f>
        <v/>
      </c>
      <c r="H71" s="22" t="str">
        <f t="shared" si="8"/>
        <v/>
      </c>
      <c r="I71" s="22" t="e">
        <f t="shared" si="9"/>
        <v>#N/A</v>
      </c>
      <c r="J71" s="28" t="e">
        <f t="shared" si="10"/>
        <v>#N/A</v>
      </c>
      <c r="K71" s="22" t="str">
        <f t="shared" si="11"/>
        <v/>
      </c>
    </row>
    <row r="72" spans="3:11" x14ac:dyDescent="0.3">
      <c r="C72" s="22" t="str">
        <f t="shared" si="6"/>
        <v/>
      </c>
      <c r="D72" s="28" t="str">
        <f>IF(ISNUMBER(B72),AVERAGE(INDEX($B$2:$B$301,MAX(1,71-semi)):INDEX($B$2:$B$301,MIN($M$2,71+semi))),"")</f>
        <v/>
      </c>
      <c r="E72" s="28" t="str">
        <f t="shared" si="7"/>
        <v/>
      </c>
      <c r="F72" s="22" t="str">
        <f>IF(AND(ISNUMBER(E72),ISNUMBER(E73),ISNUMBER($M$6)),IF(AND(72&lt;$M$6,E72&lt;0.5,E73&gt;=0.5),72,""),"")</f>
        <v/>
      </c>
      <c r="G72" s="22" t="str">
        <f>IF(AND(ISNUMBER(E72),ISNUMBER(E73),ISNUMBER($M$6)),IF(AND(72&gt;=$M$6,E72&gt;=0.5,E73&lt;0.5),72,""),"")</f>
        <v/>
      </c>
      <c r="H72" s="22" t="str">
        <f t="shared" si="8"/>
        <v/>
      </c>
      <c r="I72" s="22" t="e">
        <f t="shared" si="9"/>
        <v>#N/A</v>
      </c>
      <c r="J72" s="28" t="e">
        <f t="shared" si="10"/>
        <v>#N/A</v>
      </c>
      <c r="K72" s="22" t="str">
        <f t="shared" si="11"/>
        <v/>
      </c>
    </row>
    <row r="73" spans="3:11" x14ac:dyDescent="0.3">
      <c r="C73" s="22" t="str">
        <f t="shared" si="6"/>
        <v/>
      </c>
      <c r="D73" s="28" t="str">
        <f>IF(ISNUMBER(B73),AVERAGE(INDEX($B$2:$B$301,MAX(1,72-semi)):INDEX($B$2:$B$301,MIN($M$2,72+semi))),"")</f>
        <v/>
      </c>
      <c r="E73" s="28" t="str">
        <f t="shared" si="7"/>
        <v/>
      </c>
      <c r="F73" s="22" t="str">
        <f>IF(AND(ISNUMBER(E73),ISNUMBER(E74),ISNUMBER($M$6)),IF(AND(73&lt;$M$6,E73&lt;0.5,E74&gt;=0.5),73,""),"")</f>
        <v/>
      </c>
      <c r="G73" s="22" t="str">
        <f>IF(AND(ISNUMBER(E73),ISNUMBER(E74),ISNUMBER($M$6)),IF(AND(73&gt;=$M$6,E73&gt;=0.5,E74&lt;0.5),73,""),"")</f>
        <v/>
      </c>
      <c r="H73" s="22" t="str">
        <f t="shared" si="8"/>
        <v/>
      </c>
      <c r="I73" s="22" t="e">
        <f t="shared" si="9"/>
        <v>#N/A</v>
      </c>
      <c r="J73" s="28" t="e">
        <f t="shared" si="10"/>
        <v>#N/A</v>
      </c>
      <c r="K73" s="22" t="str">
        <f t="shared" si="11"/>
        <v/>
      </c>
    </row>
    <row r="74" spans="3:11" x14ac:dyDescent="0.3">
      <c r="C74" s="22" t="str">
        <f t="shared" si="6"/>
        <v/>
      </c>
      <c r="D74" s="28" t="str">
        <f>IF(ISNUMBER(B74),AVERAGE(INDEX($B$2:$B$301,MAX(1,73-semi)):INDEX($B$2:$B$301,MIN($M$2,73+semi))),"")</f>
        <v/>
      </c>
      <c r="E74" s="28" t="str">
        <f t="shared" si="7"/>
        <v/>
      </c>
      <c r="F74" s="22" t="str">
        <f>IF(AND(ISNUMBER(E74),ISNUMBER(E75),ISNUMBER($M$6)),IF(AND(74&lt;$M$6,E74&lt;0.5,E75&gt;=0.5),74,""),"")</f>
        <v/>
      </c>
      <c r="G74" s="22" t="str">
        <f>IF(AND(ISNUMBER(E74),ISNUMBER(E75),ISNUMBER($M$6)),IF(AND(74&gt;=$M$6,E74&gt;=0.5,E75&lt;0.5),74,""),"")</f>
        <v/>
      </c>
      <c r="H74" s="22" t="str">
        <f t="shared" si="8"/>
        <v/>
      </c>
      <c r="I74" s="22" t="e">
        <f t="shared" si="9"/>
        <v>#N/A</v>
      </c>
      <c r="J74" s="28" t="e">
        <f t="shared" si="10"/>
        <v>#N/A</v>
      </c>
      <c r="K74" s="22" t="str">
        <f t="shared" si="11"/>
        <v/>
      </c>
    </row>
    <row r="75" spans="3:11" x14ac:dyDescent="0.3">
      <c r="C75" s="22" t="str">
        <f t="shared" si="6"/>
        <v/>
      </c>
      <c r="D75" s="28" t="str">
        <f>IF(ISNUMBER(B75),AVERAGE(INDEX($B$2:$B$301,MAX(1,74-semi)):INDEX($B$2:$B$301,MIN($M$2,74+semi))),"")</f>
        <v/>
      </c>
      <c r="E75" s="28" t="str">
        <f t="shared" si="7"/>
        <v/>
      </c>
      <c r="F75" s="22" t="str">
        <f>IF(AND(ISNUMBER(E75),ISNUMBER(E76),ISNUMBER($M$6)),IF(AND(75&lt;$M$6,E75&lt;0.5,E76&gt;=0.5),75,""),"")</f>
        <v/>
      </c>
      <c r="G75" s="22" t="str">
        <f>IF(AND(ISNUMBER(E75),ISNUMBER(E76),ISNUMBER($M$6)),IF(AND(75&gt;=$M$6,E75&gt;=0.5,E76&lt;0.5),75,""),"")</f>
        <v/>
      </c>
      <c r="H75" s="22" t="str">
        <f t="shared" si="8"/>
        <v/>
      </c>
      <c r="I75" s="22" t="e">
        <f t="shared" si="9"/>
        <v>#N/A</v>
      </c>
      <c r="J75" s="28" t="e">
        <f t="shared" si="10"/>
        <v>#N/A</v>
      </c>
      <c r="K75" s="22" t="str">
        <f t="shared" si="11"/>
        <v/>
      </c>
    </row>
    <row r="76" spans="3:11" x14ac:dyDescent="0.3">
      <c r="C76" s="22" t="str">
        <f t="shared" si="6"/>
        <v/>
      </c>
      <c r="D76" s="28" t="str">
        <f>IF(ISNUMBER(B76),AVERAGE(INDEX($B$2:$B$301,MAX(1,75-semi)):INDEX($B$2:$B$301,MIN($M$2,75+semi))),"")</f>
        <v/>
      </c>
      <c r="E76" s="28" t="str">
        <f t="shared" si="7"/>
        <v/>
      </c>
      <c r="F76" s="22" t="str">
        <f>IF(AND(ISNUMBER(E76),ISNUMBER(E77),ISNUMBER($M$6)),IF(AND(76&lt;$M$6,E76&lt;0.5,E77&gt;=0.5),76,""),"")</f>
        <v/>
      </c>
      <c r="G76" s="22" t="str">
        <f>IF(AND(ISNUMBER(E76),ISNUMBER(E77),ISNUMBER($M$6)),IF(AND(76&gt;=$M$6,E76&gt;=0.5,E77&lt;0.5),76,""),"")</f>
        <v/>
      </c>
      <c r="H76" s="22" t="str">
        <f t="shared" si="8"/>
        <v/>
      </c>
      <c r="I76" s="22" t="e">
        <f t="shared" si="9"/>
        <v>#N/A</v>
      </c>
      <c r="J76" s="28" t="e">
        <f t="shared" si="10"/>
        <v>#N/A</v>
      </c>
      <c r="K76" s="22" t="str">
        <f t="shared" si="11"/>
        <v/>
      </c>
    </row>
    <row r="77" spans="3:11" x14ac:dyDescent="0.3">
      <c r="C77" s="22" t="str">
        <f t="shared" si="6"/>
        <v/>
      </c>
      <c r="D77" s="28" t="str">
        <f>IF(ISNUMBER(B77),AVERAGE(INDEX($B$2:$B$301,MAX(1,76-semi)):INDEX($B$2:$B$301,MIN($M$2,76+semi))),"")</f>
        <v/>
      </c>
      <c r="E77" s="28" t="str">
        <f t="shared" si="7"/>
        <v/>
      </c>
      <c r="F77" s="22" t="str">
        <f>IF(AND(ISNUMBER(E77),ISNUMBER(E78),ISNUMBER($M$6)),IF(AND(77&lt;$M$6,E77&lt;0.5,E78&gt;=0.5),77,""),"")</f>
        <v/>
      </c>
      <c r="G77" s="22" t="str">
        <f>IF(AND(ISNUMBER(E77),ISNUMBER(E78),ISNUMBER($M$6)),IF(AND(77&gt;=$M$6,E77&gt;=0.5,E78&lt;0.5),77,""),"")</f>
        <v/>
      </c>
      <c r="H77" s="22" t="str">
        <f t="shared" si="8"/>
        <v/>
      </c>
      <c r="I77" s="22" t="e">
        <f t="shared" si="9"/>
        <v>#N/A</v>
      </c>
      <c r="J77" s="28" t="e">
        <f t="shared" si="10"/>
        <v>#N/A</v>
      </c>
      <c r="K77" s="22" t="str">
        <f t="shared" si="11"/>
        <v/>
      </c>
    </row>
    <row r="78" spans="3:11" x14ac:dyDescent="0.3">
      <c r="C78" s="22" t="str">
        <f t="shared" si="6"/>
        <v/>
      </c>
      <c r="D78" s="28" t="str">
        <f>IF(ISNUMBER(B78),AVERAGE(INDEX($B$2:$B$301,MAX(1,77-semi)):INDEX($B$2:$B$301,MIN($M$2,77+semi))),"")</f>
        <v/>
      </c>
      <c r="E78" s="28" t="str">
        <f t="shared" si="7"/>
        <v/>
      </c>
      <c r="F78" s="22" t="str">
        <f>IF(AND(ISNUMBER(E78),ISNUMBER(E79),ISNUMBER($M$6)),IF(AND(78&lt;$M$6,E78&lt;0.5,E79&gt;=0.5),78,""),"")</f>
        <v/>
      </c>
      <c r="G78" s="22" t="str">
        <f>IF(AND(ISNUMBER(E78),ISNUMBER(E79),ISNUMBER($M$6)),IF(AND(78&gt;=$M$6,E78&gt;=0.5,E79&lt;0.5),78,""),"")</f>
        <v/>
      </c>
      <c r="H78" s="22" t="str">
        <f t="shared" si="8"/>
        <v/>
      </c>
      <c r="I78" s="22" t="e">
        <f t="shared" si="9"/>
        <v>#N/A</v>
      </c>
      <c r="J78" s="28" t="e">
        <f t="shared" si="10"/>
        <v>#N/A</v>
      </c>
      <c r="K78" s="22" t="str">
        <f t="shared" si="11"/>
        <v/>
      </c>
    </row>
    <row r="79" spans="3:11" x14ac:dyDescent="0.3">
      <c r="C79" s="22" t="str">
        <f t="shared" si="6"/>
        <v/>
      </c>
      <c r="D79" s="28" t="str">
        <f>IF(ISNUMBER(B79),AVERAGE(INDEX($B$2:$B$301,MAX(1,78-semi)):INDEX($B$2:$B$301,MIN($M$2,78+semi))),"")</f>
        <v/>
      </c>
      <c r="E79" s="28" t="str">
        <f t="shared" si="7"/>
        <v/>
      </c>
      <c r="F79" s="22" t="str">
        <f>IF(AND(ISNUMBER(E79),ISNUMBER(E80),ISNUMBER($M$6)),IF(AND(79&lt;$M$6,E79&lt;0.5,E80&gt;=0.5),79,""),"")</f>
        <v/>
      </c>
      <c r="G79" s="22" t="str">
        <f>IF(AND(ISNUMBER(E79),ISNUMBER(E80),ISNUMBER($M$6)),IF(AND(79&gt;=$M$6,E79&gt;=0.5,E80&lt;0.5),79,""),"")</f>
        <v/>
      </c>
      <c r="H79" s="22" t="str">
        <f t="shared" si="8"/>
        <v/>
      </c>
      <c r="I79" s="22" t="e">
        <f t="shared" si="9"/>
        <v>#N/A</v>
      </c>
      <c r="J79" s="28" t="e">
        <f t="shared" si="10"/>
        <v>#N/A</v>
      </c>
      <c r="K79" s="22" t="str">
        <f t="shared" si="11"/>
        <v/>
      </c>
    </row>
    <row r="80" spans="3:11" x14ac:dyDescent="0.3">
      <c r="C80" s="22" t="str">
        <f t="shared" si="6"/>
        <v/>
      </c>
      <c r="D80" s="28" t="str">
        <f>IF(ISNUMBER(B80),AVERAGE(INDEX($B$2:$B$301,MAX(1,79-semi)):INDEX($B$2:$B$301,MIN($M$2,79+semi))),"")</f>
        <v/>
      </c>
      <c r="E80" s="28" t="str">
        <f t="shared" si="7"/>
        <v/>
      </c>
      <c r="F80" s="22" t="str">
        <f>IF(AND(ISNUMBER(E80),ISNUMBER(E81),ISNUMBER($M$6)),IF(AND(80&lt;$M$6,E80&lt;0.5,E81&gt;=0.5),80,""),"")</f>
        <v/>
      </c>
      <c r="G80" s="22" t="str">
        <f>IF(AND(ISNUMBER(E80),ISNUMBER(E81),ISNUMBER($M$6)),IF(AND(80&gt;=$M$6,E80&gt;=0.5,E81&lt;0.5),80,""),"")</f>
        <v/>
      </c>
      <c r="H80" s="22" t="str">
        <f t="shared" si="8"/>
        <v/>
      </c>
      <c r="I80" s="22" t="e">
        <f t="shared" si="9"/>
        <v>#N/A</v>
      </c>
      <c r="J80" s="28" t="e">
        <f t="shared" si="10"/>
        <v>#N/A</v>
      </c>
      <c r="K80" s="22" t="str">
        <f t="shared" si="11"/>
        <v/>
      </c>
    </row>
    <row r="81" spans="3:11" x14ac:dyDescent="0.3">
      <c r="C81" s="22" t="str">
        <f t="shared" si="6"/>
        <v/>
      </c>
      <c r="D81" s="28" t="str">
        <f>IF(ISNUMBER(B81),AVERAGE(INDEX($B$2:$B$301,MAX(1,80-semi)):INDEX($B$2:$B$301,MIN($M$2,80+semi))),"")</f>
        <v/>
      </c>
      <c r="E81" s="28" t="str">
        <f t="shared" si="7"/>
        <v/>
      </c>
      <c r="F81" s="22" t="str">
        <f>IF(AND(ISNUMBER(E81),ISNUMBER(E82),ISNUMBER($M$6)),IF(AND(81&lt;$M$6,E81&lt;0.5,E82&gt;=0.5),81,""),"")</f>
        <v/>
      </c>
      <c r="G81" s="22" t="str">
        <f>IF(AND(ISNUMBER(E81),ISNUMBER(E82),ISNUMBER($M$6)),IF(AND(81&gt;=$M$6,E81&gt;=0.5,E82&lt;0.5),81,""),"")</f>
        <v/>
      </c>
      <c r="H81" s="22" t="str">
        <f t="shared" si="8"/>
        <v/>
      </c>
      <c r="I81" s="22" t="e">
        <f t="shared" si="9"/>
        <v>#N/A</v>
      </c>
      <c r="J81" s="28" t="e">
        <f t="shared" si="10"/>
        <v>#N/A</v>
      </c>
      <c r="K81" s="22" t="str">
        <f t="shared" si="11"/>
        <v/>
      </c>
    </row>
    <row r="82" spans="3:11" x14ac:dyDescent="0.3">
      <c r="C82" s="22" t="str">
        <f t="shared" si="6"/>
        <v/>
      </c>
      <c r="D82" s="28" t="str">
        <f>IF(ISNUMBER(B82),AVERAGE(INDEX($B$2:$B$301,MAX(1,81-semi)):INDEX($B$2:$B$301,MIN($M$2,81+semi))),"")</f>
        <v/>
      </c>
      <c r="E82" s="28" t="str">
        <f t="shared" si="7"/>
        <v/>
      </c>
      <c r="F82" s="22" t="str">
        <f>IF(AND(ISNUMBER(E82),ISNUMBER(E83),ISNUMBER($M$6)),IF(AND(82&lt;$M$6,E82&lt;0.5,E83&gt;=0.5),82,""),"")</f>
        <v/>
      </c>
      <c r="G82" s="22" t="str">
        <f>IF(AND(ISNUMBER(E82),ISNUMBER(E83),ISNUMBER($M$6)),IF(AND(82&gt;=$M$6,E82&gt;=0.5,E83&lt;0.5),82,""),"")</f>
        <v/>
      </c>
      <c r="H82" s="22" t="str">
        <f t="shared" si="8"/>
        <v/>
      </c>
      <c r="I82" s="22" t="e">
        <f t="shared" si="9"/>
        <v>#N/A</v>
      </c>
      <c r="J82" s="28" t="e">
        <f t="shared" si="10"/>
        <v>#N/A</v>
      </c>
      <c r="K82" s="22" t="str">
        <f t="shared" si="11"/>
        <v/>
      </c>
    </row>
    <row r="83" spans="3:11" x14ac:dyDescent="0.3">
      <c r="C83" s="22" t="str">
        <f t="shared" si="6"/>
        <v/>
      </c>
      <c r="D83" s="28" t="str">
        <f>IF(ISNUMBER(B83),AVERAGE(INDEX($B$2:$B$301,MAX(1,82-semi)):INDEX($B$2:$B$301,MIN($M$2,82+semi))),"")</f>
        <v/>
      </c>
      <c r="E83" s="28" t="str">
        <f t="shared" si="7"/>
        <v/>
      </c>
      <c r="F83" s="22" t="str">
        <f>IF(AND(ISNUMBER(E83),ISNUMBER(E84),ISNUMBER($M$6)),IF(AND(83&lt;$M$6,E83&lt;0.5,E84&gt;=0.5),83,""),"")</f>
        <v/>
      </c>
      <c r="G83" s="22" t="str">
        <f>IF(AND(ISNUMBER(E83),ISNUMBER(E84),ISNUMBER($M$6)),IF(AND(83&gt;=$M$6,E83&gt;=0.5,E84&lt;0.5),83,""),"")</f>
        <v/>
      </c>
      <c r="H83" s="22" t="str">
        <f t="shared" si="8"/>
        <v/>
      </c>
      <c r="I83" s="22" t="e">
        <f t="shared" si="9"/>
        <v>#N/A</v>
      </c>
      <c r="J83" s="28" t="e">
        <f t="shared" si="10"/>
        <v>#N/A</v>
      </c>
      <c r="K83" s="22" t="str">
        <f t="shared" si="11"/>
        <v/>
      </c>
    </row>
    <row r="84" spans="3:11" x14ac:dyDescent="0.3">
      <c r="C84" s="22" t="str">
        <f t="shared" si="6"/>
        <v/>
      </c>
      <c r="D84" s="28" t="str">
        <f>IF(ISNUMBER(B84),AVERAGE(INDEX($B$2:$B$301,MAX(1,83-semi)):INDEX($B$2:$B$301,MIN($M$2,83+semi))),"")</f>
        <v/>
      </c>
      <c r="E84" s="28" t="str">
        <f t="shared" si="7"/>
        <v/>
      </c>
      <c r="F84" s="22" t="str">
        <f>IF(AND(ISNUMBER(E84),ISNUMBER(E85),ISNUMBER($M$6)),IF(AND(84&lt;$M$6,E84&lt;0.5,E85&gt;=0.5),84,""),"")</f>
        <v/>
      </c>
      <c r="G84" s="22" t="str">
        <f>IF(AND(ISNUMBER(E84),ISNUMBER(E85),ISNUMBER($M$6)),IF(AND(84&gt;=$M$6,E84&gt;=0.5,E85&lt;0.5),84,""),"")</f>
        <v/>
      </c>
      <c r="H84" s="22" t="str">
        <f t="shared" si="8"/>
        <v/>
      </c>
      <c r="I84" s="22" t="e">
        <f t="shared" si="9"/>
        <v>#N/A</v>
      </c>
      <c r="J84" s="28" t="e">
        <f t="shared" si="10"/>
        <v>#N/A</v>
      </c>
      <c r="K84" s="22" t="str">
        <f t="shared" si="11"/>
        <v/>
      </c>
    </row>
    <row r="85" spans="3:11" x14ac:dyDescent="0.3">
      <c r="C85" s="22" t="str">
        <f t="shared" si="6"/>
        <v/>
      </c>
      <c r="D85" s="28" t="str">
        <f>IF(ISNUMBER(B85),AVERAGE(INDEX($B$2:$B$301,MAX(1,84-semi)):INDEX($B$2:$B$301,MIN($M$2,84+semi))),"")</f>
        <v/>
      </c>
      <c r="E85" s="28" t="str">
        <f t="shared" si="7"/>
        <v/>
      </c>
      <c r="F85" s="22" t="str">
        <f>IF(AND(ISNUMBER(E85),ISNUMBER(E86),ISNUMBER($M$6)),IF(AND(85&lt;$M$6,E85&lt;0.5,E86&gt;=0.5),85,""),"")</f>
        <v/>
      </c>
      <c r="G85" s="22" t="str">
        <f>IF(AND(ISNUMBER(E85),ISNUMBER(E86),ISNUMBER($M$6)),IF(AND(85&gt;=$M$6,E85&gt;=0.5,E86&lt;0.5),85,""),"")</f>
        <v/>
      </c>
      <c r="H85" s="22" t="str">
        <f t="shared" si="8"/>
        <v/>
      </c>
      <c r="I85" s="22" t="e">
        <f t="shared" si="9"/>
        <v>#N/A</v>
      </c>
      <c r="J85" s="28" t="e">
        <f t="shared" si="10"/>
        <v>#N/A</v>
      </c>
      <c r="K85" s="22" t="str">
        <f t="shared" si="11"/>
        <v/>
      </c>
    </row>
    <row r="86" spans="3:11" x14ac:dyDescent="0.3">
      <c r="C86" s="22" t="str">
        <f t="shared" si="6"/>
        <v/>
      </c>
      <c r="D86" s="28" t="str">
        <f>IF(ISNUMBER(B86),AVERAGE(INDEX($B$2:$B$301,MAX(1,85-semi)):INDEX($B$2:$B$301,MIN($M$2,85+semi))),"")</f>
        <v/>
      </c>
      <c r="E86" s="28" t="str">
        <f t="shared" si="7"/>
        <v/>
      </c>
      <c r="F86" s="22" t="str">
        <f>IF(AND(ISNUMBER(E86),ISNUMBER(E87),ISNUMBER($M$6)),IF(AND(86&lt;$M$6,E86&lt;0.5,E87&gt;=0.5),86,""),"")</f>
        <v/>
      </c>
      <c r="G86" s="22" t="str">
        <f>IF(AND(ISNUMBER(E86),ISNUMBER(E87),ISNUMBER($M$6)),IF(AND(86&gt;=$M$6,E86&gt;=0.5,E87&lt;0.5),86,""),"")</f>
        <v/>
      </c>
      <c r="H86" s="22" t="str">
        <f t="shared" si="8"/>
        <v/>
      </c>
      <c r="I86" s="22" t="e">
        <f t="shared" si="9"/>
        <v>#N/A</v>
      </c>
      <c r="J86" s="28" t="e">
        <f t="shared" si="10"/>
        <v>#N/A</v>
      </c>
      <c r="K86" s="22" t="str">
        <f t="shared" si="11"/>
        <v/>
      </c>
    </row>
    <row r="87" spans="3:11" x14ac:dyDescent="0.3">
      <c r="C87" s="22" t="str">
        <f t="shared" si="6"/>
        <v/>
      </c>
      <c r="D87" s="28" t="str">
        <f>IF(ISNUMBER(B87),AVERAGE(INDEX($B$2:$B$301,MAX(1,86-semi)):INDEX($B$2:$B$301,MIN($M$2,86+semi))),"")</f>
        <v/>
      </c>
      <c r="E87" s="28" t="str">
        <f t="shared" si="7"/>
        <v/>
      </c>
      <c r="F87" s="22" t="str">
        <f>IF(AND(ISNUMBER(E87),ISNUMBER(E88),ISNUMBER($M$6)),IF(AND(87&lt;$M$6,E87&lt;0.5,E88&gt;=0.5),87,""),"")</f>
        <v/>
      </c>
      <c r="G87" s="22" t="str">
        <f>IF(AND(ISNUMBER(E87),ISNUMBER(E88),ISNUMBER($M$6)),IF(AND(87&gt;=$M$6,E87&gt;=0.5,E88&lt;0.5),87,""),"")</f>
        <v/>
      </c>
      <c r="H87" s="22" t="str">
        <f t="shared" si="8"/>
        <v/>
      </c>
      <c r="I87" s="22" t="e">
        <f t="shared" si="9"/>
        <v>#N/A</v>
      </c>
      <c r="J87" s="28" t="e">
        <f t="shared" si="10"/>
        <v>#N/A</v>
      </c>
      <c r="K87" s="22" t="str">
        <f t="shared" si="11"/>
        <v/>
      </c>
    </row>
    <row r="88" spans="3:11" x14ac:dyDescent="0.3">
      <c r="C88" s="22" t="str">
        <f t="shared" si="6"/>
        <v/>
      </c>
      <c r="D88" s="28" t="str">
        <f>IF(ISNUMBER(B88),AVERAGE(INDEX($B$2:$B$301,MAX(1,87-semi)):INDEX($B$2:$B$301,MIN($M$2,87+semi))),"")</f>
        <v/>
      </c>
      <c r="E88" s="28" t="str">
        <f t="shared" si="7"/>
        <v/>
      </c>
      <c r="F88" s="22" t="str">
        <f>IF(AND(ISNUMBER(E88),ISNUMBER(E89),ISNUMBER($M$6)),IF(AND(88&lt;$M$6,E88&lt;0.5,E89&gt;=0.5),88,""),"")</f>
        <v/>
      </c>
      <c r="G88" s="22" t="str">
        <f>IF(AND(ISNUMBER(E88),ISNUMBER(E89),ISNUMBER($M$6)),IF(AND(88&gt;=$M$6,E88&gt;=0.5,E89&lt;0.5),88,""),"")</f>
        <v/>
      </c>
      <c r="H88" s="22" t="str">
        <f t="shared" si="8"/>
        <v/>
      </c>
      <c r="I88" s="22" t="e">
        <f t="shared" si="9"/>
        <v>#N/A</v>
      </c>
      <c r="J88" s="28" t="e">
        <f t="shared" si="10"/>
        <v>#N/A</v>
      </c>
      <c r="K88" s="22" t="str">
        <f t="shared" si="11"/>
        <v/>
      </c>
    </row>
    <row r="89" spans="3:11" x14ac:dyDescent="0.3">
      <c r="C89" s="22" t="str">
        <f t="shared" si="6"/>
        <v/>
      </c>
      <c r="D89" s="28" t="str">
        <f>IF(ISNUMBER(B89),AVERAGE(INDEX($B$2:$B$301,MAX(1,88-semi)):INDEX($B$2:$B$301,MIN($M$2,88+semi))),"")</f>
        <v/>
      </c>
      <c r="E89" s="28" t="str">
        <f t="shared" si="7"/>
        <v/>
      </c>
      <c r="F89" s="22" t="str">
        <f>IF(AND(ISNUMBER(E89),ISNUMBER(E90),ISNUMBER($M$6)),IF(AND(89&lt;$M$6,E89&lt;0.5,E90&gt;=0.5),89,""),"")</f>
        <v/>
      </c>
      <c r="G89" s="22" t="str">
        <f>IF(AND(ISNUMBER(E89),ISNUMBER(E90),ISNUMBER($M$6)),IF(AND(89&gt;=$M$6,E89&gt;=0.5,E90&lt;0.5),89,""),"")</f>
        <v/>
      </c>
      <c r="H89" s="22" t="str">
        <f t="shared" si="8"/>
        <v/>
      </c>
      <c r="I89" s="22" t="e">
        <f t="shared" si="9"/>
        <v>#N/A</v>
      </c>
      <c r="J89" s="28" t="e">
        <f t="shared" si="10"/>
        <v>#N/A</v>
      </c>
      <c r="K89" s="22" t="str">
        <f t="shared" si="11"/>
        <v/>
      </c>
    </row>
    <row r="90" spans="3:11" x14ac:dyDescent="0.3">
      <c r="C90" s="22" t="str">
        <f t="shared" si="6"/>
        <v/>
      </c>
      <c r="D90" s="28" t="str">
        <f>IF(ISNUMBER(B90),AVERAGE(INDEX($B$2:$B$301,MAX(1,89-semi)):INDEX($B$2:$B$301,MIN($M$2,89+semi))),"")</f>
        <v/>
      </c>
      <c r="E90" s="28" t="str">
        <f t="shared" si="7"/>
        <v/>
      </c>
      <c r="F90" s="22" t="str">
        <f>IF(AND(ISNUMBER(E90),ISNUMBER(E91),ISNUMBER($M$6)),IF(AND(90&lt;$M$6,E90&lt;0.5,E91&gt;=0.5),90,""),"")</f>
        <v/>
      </c>
      <c r="G90" s="22" t="str">
        <f>IF(AND(ISNUMBER(E90),ISNUMBER(E91),ISNUMBER($M$6)),IF(AND(90&gt;=$M$6,E90&gt;=0.5,E91&lt;0.5),90,""),"")</f>
        <v/>
      </c>
      <c r="H90" s="22" t="str">
        <f t="shared" si="8"/>
        <v/>
      </c>
      <c r="I90" s="22" t="e">
        <f t="shared" si="9"/>
        <v>#N/A</v>
      </c>
      <c r="J90" s="28" t="e">
        <f t="shared" si="10"/>
        <v>#N/A</v>
      </c>
      <c r="K90" s="22" t="str">
        <f t="shared" si="11"/>
        <v/>
      </c>
    </row>
    <row r="91" spans="3:11" x14ac:dyDescent="0.3">
      <c r="C91" s="22" t="str">
        <f t="shared" si="6"/>
        <v/>
      </c>
      <c r="D91" s="28" t="str">
        <f>IF(ISNUMBER(B91),AVERAGE(INDEX($B$2:$B$301,MAX(1,90-semi)):INDEX($B$2:$B$301,MIN($M$2,90+semi))),"")</f>
        <v/>
      </c>
      <c r="E91" s="28" t="str">
        <f t="shared" si="7"/>
        <v/>
      </c>
      <c r="F91" s="22" t="str">
        <f>IF(AND(ISNUMBER(E91),ISNUMBER(E92),ISNUMBER($M$6)),IF(AND(91&lt;$M$6,E91&lt;0.5,E92&gt;=0.5),91,""),"")</f>
        <v/>
      </c>
      <c r="G91" s="22" t="str">
        <f>IF(AND(ISNUMBER(E91),ISNUMBER(E92),ISNUMBER($M$6)),IF(AND(91&gt;=$M$6,E91&gt;=0.5,E92&lt;0.5),91,""),"")</f>
        <v/>
      </c>
      <c r="H91" s="22" t="str">
        <f t="shared" si="8"/>
        <v/>
      </c>
      <c r="I91" s="22" t="e">
        <f t="shared" si="9"/>
        <v>#N/A</v>
      </c>
      <c r="J91" s="28" t="e">
        <f t="shared" si="10"/>
        <v>#N/A</v>
      </c>
      <c r="K91" s="22" t="str">
        <f t="shared" si="11"/>
        <v/>
      </c>
    </row>
    <row r="92" spans="3:11" x14ac:dyDescent="0.3">
      <c r="C92" s="22" t="str">
        <f t="shared" si="6"/>
        <v/>
      </c>
      <c r="D92" s="28" t="str">
        <f>IF(ISNUMBER(B92),AVERAGE(INDEX($B$2:$B$301,MAX(1,91-semi)):INDEX($B$2:$B$301,MIN($M$2,91+semi))),"")</f>
        <v/>
      </c>
      <c r="E92" s="28" t="str">
        <f t="shared" si="7"/>
        <v/>
      </c>
      <c r="F92" s="22" t="str">
        <f>IF(AND(ISNUMBER(E92),ISNUMBER(E93),ISNUMBER($M$6)),IF(AND(92&lt;$M$6,E92&lt;0.5,E93&gt;=0.5),92,""),"")</f>
        <v/>
      </c>
      <c r="G92" s="22" t="str">
        <f>IF(AND(ISNUMBER(E92),ISNUMBER(E93),ISNUMBER($M$6)),IF(AND(92&gt;=$M$6,E92&gt;=0.5,E93&lt;0.5),92,""),"")</f>
        <v/>
      </c>
      <c r="H92" s="22" t="str">
        <f t="shared" si="8"/>
        <v/>
      </c>
      <c r="I92" s="22" t="e">
        <f t="shared" si="9"/>
        <v>#N/A</v>
      </c>
      <c r="J92" s="28" t="e">
        <f t="shared" si="10"/>
        <v>#N/A</v>
      </c>
      <c r="K92" s="22" t="str">
        <f t="shared" si="11"/>
        <v/>
      </c>
    </row>
    <row r="93" spans="3:11" x14ac:dyDescent="0.3">
      <c r="C93" s="22" t="str">
        <f t="shared" si="6"/>
        <v/>
      </c>
      <c r="D93" s="28" t="str">
        <f>IF(ISNUMBER(B93),AVERAGE(INDEX($B$2:$B$301,MAX(1,92-semi)):INDEX($B$2:$B$301,MIN($M$2,92+semi))),"")</f>
        <v/>
      </c>
      <c r="E93" s="28" t="str">
        <f t="shared" si="7"/>
        <v/>
      </c>
      <c r="F93" s="22" t="str">
        <f>IF(AND(ISNUMBER(E93),ISNUMBER(E94),ISNUMBER($M$6)),IF(AND(93&lt;$M$6,E93&lt;0.5,E94&gt;=0.5),93,""),"")</f>
        <v/>
      </c>
      <c r="G93" s="22" t="str">
        <f>IF(AND(ISNUMBER(E93),ISNUMBER(E94),ISNUMBER($M$6)),IF(AND(93&gt;=$M$6,E93&gt;=0.5,E94&lt;0.5),93,""),"")</f>
        <v/>
      </c>
      <c r="H93" s="22" t="str">
        <f t="shared" si="8"/>
        <v/>
      </c>
      <c r="I93" s="22" t="e">
        <f t="shared" si="9"/>
        <v>#N/A</v>
      </c>
      <c r="J93" s="28" t="e">
        <f t="shared" si="10"/>
        <v>#N/A</v>
      </c>
      <c r="K93" s="22" t="str">
        <f t="shared" si="11"/>
        <v/>
      </c>
    </row>
    <row r="94" spans="3:11" x14ac:dyDescent="0.3">
      <c r="C94" s="22" t="str">
        <f t="shared" si="6"/>
        <v/>
      </c>
      <c r="D94" s="28" t="str">
        <f>IF(ISNUMBER(B94),AVERAGE(INDEX($B$2:$B$301,MAX(1,93-semi)):INDEX($B$2:$B$301,MIN($M$2,93+semi))),"")</f>
        <v/>
      </c>
      <c r="E94" s="28" t="str">
        <f t="shared" si="7"/>
        <v/>
      </c>
      <c r="F94" s="22" t="str">
        <f>IF(AND(ISNUMBER(E94),ISNUMBER(E95),ISNUMBER($M$6)),IF(AND(94&lt;$M$6,E94&lt;0.5,E95&gt;=0.5),94,""),"")</f>
        <v/>
      </c>
      <c r="G94" s="22" t="str">
        <f>IF(AND(ISNUMBER(E94),ISNUMBER(E95),ISNUMBER($M$6)),IF(AND(94&gt;=$M$6,E94&gt;=0.5,E95&lt;0.5),94,""),"")</f>
        <v/>
      </c>
      <c r="H94" s="22" t="str">
        <f t="shared" si="8"/>
        <v/>
      </c>
      <c r="I94" s="22" t="e">
        <f t="shared" si="9"/>
        <v>#N/A</v>
      </c>
      <c r="J94" s="28" t="e">
        <f t="shared" si="10"/>
        <v>#N/A</v>
      </c>
      <c r="K94" s="22" t="str">
        <f t="shared" si="11"/>
        <v/>
      </c>
    </row>
    <row r="95" spans="3:11" x14ac:dyDescent="0.3">
      <c r="C95" s="22" t="str">
        <f t="shared" si="6"/>
        <v/>
      </c>
      <c r="D95" s="28" t="str">
        <f>IF(ISNUMBER(B95),AVERAGE(INDEX($B$2:$B$301,MAX(1,94-semi)):INDEX($B$2:$B$301,MIN($M$2,94+semi))),"")</f>
        <v/>
      </c>
      <c r="E95" s="28" t="str">
        <f t="shared" si="7"/>
        <v/>
      </c>
      <c r="F95" s="22" t="str">
        <f>IF(AND(ISNUMBER(E95),ISNUMBER(E96),ISNUMBER($M$6)),IF(AND(95&lt;$M$6,E95&lt;0.5,E96&gt;=0.5),95,""),"")</f>
        <v/>
      </c>
      <c r="G95" s="22" t="str">
        <f>IF(AND(ISNUMBER(E95),ISNUMBER(E96),ISNUMBER($M$6)),IF(AND(95&gt;=$M$6,E95&gt;=0.5,E96&lt;0.5),95,""),"")</f>
        <v/>
      </c>
      <c r="H95" s="22" t="str">
        <f t="shared" si="8"/>
        <v/>
      </c>
      <c r="I95" s="22" t="e">
        <f t="shared" si="9"/>
        <v>#N/A</v>
      </c>
      <c r="J95" s="28" t="e">
        <f t="shared" si="10"/>
        <v>#N/A</v>
      </c>
      <c r="K95" s="22" t="str">
        <f t="shared" si="11"/>
        <v/>
      </c>
    </row>
    <row r="96" spans="3:11" x14ac:dyDescent="0.3">
      <c r="C96" s="22" t="str">
        <f t="shared" si="6"/>
        <v/>
      </c>
      <c r="D96" s="28" t="str">
        <f>IF(ISNUMBER(B96),AVERAGE(INDEX($B$2:$B$301,MAX(1,95-semi)):INDEX($B$2:$B$301,MIN($M$2,95+semi))),"")</f>
        <v/>
      </c>
      <c r="E96" s="28" t="str">
        <f t="shared" si="7"/>
        <v/>
      </c>
      <c r="F96" s="22" t="str">
        <f>IF(AND(ISNUMBER(E96),ISNUMBER(E97),ISNUMBER($M$6)),IF(AND(96&lt;$M$6,E96&lt;0.5,E97&gt;=0.5),96,""),"")</f>
        <v/>
      </c>
      <c r="G96" s="22" t="str">
        <f>IF(AND(ISNUMBER(E96),ISNUMBER(E97),ISNUMBER($M$6)),IF(AND(96&gt;=$M$6,E96&gt;=0.5,E97&lt;0.5),96,""),"")</f>
        <v/>
      </c>
      <c r="H96" s="22" t="str">
        <f t="shared" si="8"/>
        <v/>
      </c>
      <c r="I96" s="22" t="e">
        <f t="shared" si="9"/>
        <v>#N/A</v>
      </c>
      <c r="J96" s="28" t="e">
        <f t="shared" si="10"/>
        <v>#N/A</v>
      </c>
      <c r="K96" s="22" t="str">
        <f t="shared" si="11"/>
        <v/>
      </c>
    </row>
    <row r="97" spans="3:11" x14ac:dyDescent="0.3">
      <c r="C97" s="22" t="str">
        <f t="shared" si="6"/>
        <v/>
      </c>
      <c r="D97" s="28" t="str">
        <f>IF(ISNUMBER(B97),AVERAGE(INDEX($B$2:$B$301,MAX(1,96-semi)):INDEX($B$2:$B$301,MIN($M$2,96+semi))),"")</f>
        <v/>
      </c>
      <c r="E97" s="28" t="str">
        <f t="shared" si="7"/>
        <v/>
      </c>
      <c r="F97" s="22" t="str">
        <f>IF(AND(ISNUMBER(E97),ISNUMBER(E98),ISNUMBER($M$6)),IF(AND(97&lt;$M$6,E97&lt;0.5,E98&gt;=0.5),97,""),"")</f>
        <v/>
      </c>
      <c r="G97" s="22" t="str">
        <f>IF(AND(ISNUMBER(E97),ISNUMBER(E98),ISNUMBER($M$6)),IF(AND(97&gt;=$M$6,E97&gt;=0.5,E98&lt;0.5),97,""),"")</f>
        <v/>
      </c>
      <c r="H97" s="22" t="str">
        <f t="shared" si="8"/>
        <v/>
      </c>
      <c r="I97" s="22" t="e">
        <f t="shared" si="9"/>
        <v>#N/A</v>
      </c>
      <c r="J97" s="28" t="e">
        <f t="shared" si="10"/>
        <v>#N/A</v>
      </c>
      <c r="K97" s="22" t="str">
        <f t="shared" si="11"/>
        <v/>
      </c>
    </row>
    <row r="98" spans="3:11" x14ac:dyDescent="0.3">
      <c r="C98" s="22" t="str">
        <f t="shared" si="6"/>
        <v/>
      </c>
      <c r="D98" s="28" t="str">
        <f>IF(ISNUMBER(B98),AVERAGE(INDEX($B$2:$B$301,MAX(1,97-semi)):INDEX($B$2:$B$301,MIN($M$2,97+semi))),"")</f>
        <v/>
      </c>
      <c r="E98" s="28" t="str">
        <f t="shared" si="7"/>
        <v/>
      </c>
      <c r="F98" s="22" t="str">
        <f>IF(AND(ISNUMBER(E98),ISNUMBER(E99),ISNUMBER($M$6)),IF(AND(98&lt;$M$6,E98&lt;0.5,E99&gt;=0.5),98,""),"")</f>
        <v/>
      </c>
      <c r="G98" s="22" t="str">
        <f>IF(AND(ISNUMBER(E98),ISNUMBER(E99),ISNUMBER($M$6)),IF(AND(98&gt;=$M$6,E98&gt;=0.5,E99&lt;0.5),98,""),"")</f>
        <v/>
      </c>
      <c r="H98" s="22" t="str">
        <f t="shared" si="8"/>
        <v/>
      </c>
      <c r="I98" s="22" t="e">
        <f t="shared" si="9"/>
        <v>#N/A</v>
      </c>
      <c r="J98" s="28" t="e">
        <f t="shared" si="10"/>
        <v>#N/A</v>
      </c>
      <c r="K98" s="22" t="str">
        <f t="shared" si="11"/>
        <v/>
      </c>
    </row>
    <row r="99" spans="3:11" x14ac:dyDescent="0.3">
      <c r="C99" s="22" t="str">
        <f t="shared" si="6"/>
        <v/>
      </c>
      <c r="D99" s="28" t="str">
        <f>IF(ISNUMBER(B99),AVERAGE(INDEX($B$2:$B$301,MAX(1,98-semi)):INDEX($B$2:$B$301,MIN($M$2,98+semi))),"")</f>
        <v/>
      </c>
      <c r="E99" s="28" t="str">
        <f t="shared" si="7"/>
        <v/>
      </c>
      <c r="F99" s="22" t="str">
        <f>IF(AND(ISNUMBER(E99),ISNUMBER(E100),ISNUMBER($M$6)),IF(AND(99&lt;$M$6,E99&lt;0.5,E100&gt;=0.5),99,""),"")</f>
        <v/>
      </c>
      <c r="G99" s="22" t="str">
        <f>IF(AND(ISNUMBER(E99),ISNUMBER(E100),ISNUMBER($M$6)),IF(AND(99&gt;=$M$6,E99&gt;=0.5,E100&lt;0.5),99,""),"")</f>
        <v/>
      </c>
      <c r="H99" s="22" t="str">
        <f t="shared" si="8"/>
        <v/>
      </c>
      <c r="I99" s="22" t="e">
        <f t="shared" si="9"/>
        <v>#N/A</v>
      </c>
      <c r="J99" s="28" t="e">
        <f t="shared" si="10"/>
        <v>#N/A</v>
      </c>
      <c r="K99" s="22" t="str">
        <f t="shared" si="11"/>
        <v/>
      </c>
    </row>
    <row r="100" spans="3:11" x14ac:dyDescent="0.3">
      <c r="C100" s="22" t="str">
        <f t="shared" si="6"/>
        <v/>
      </c>
      <c r="D100" s="28" t="str">
        <f>IF(ISNUMBER(B100),AVERAGE(INDEX($B$2:$B$301,MAX(1,99-semi)):INDEX($B$2:$B$301,MIN($M$2,99+semi))),"")</f>
        <v/>
      </c>
      <c r="E100" s="28" t="str">
        <f t="shared" si="7"/>
        <v/>
      </c>
      <c r="F100" s="22" t="str">
        <f>IF(AND(ISNUMBER(E100),ISNUMBER(E101),ISNUMBER($M$6)),IF(AND(100&lt;$M$6,E100&lt;0.5,E101&gt;=0.5),100,""),"")</f>
        <v/>
      </c>
      <c r="G100" s="22" t="str">
        <f>IF(AND(ISNUMBER(E100),ISNUMBER(E101),ISNUMBER($M$6)),IF(AND(100&gt;=$M$6,E100&gt;=0.5,E101&lt;0.5),100,""),"")</f>
        <v/>
      </c>
      <c r="H100" s="22" t="str">
        <f t="shared" si="8"/>
        <v/>
      </c>
      <c r="I100" s="22" t="e">
        <f t="shared" si="9"/>
        <v>#N/A</v>
      </c>
      <c r="J100" s="28" t="e">
        <f t="shared" si="10"/>
        <v>#N/A</v>
      </c>
      <c r="K100" s="22" t="str">
        <f t="shared" si="11"/>
        <v/>
      </c>
    </row>
    <row r="101" spans="3:11" x14ac:dyDescent="0.3">
      <c r="C101" s="22" t="str">
        <f t="shared" si="6"/>
        <v/>
      </c>
      <c r="D101" s="28" t="str">
        <f>IF(ISNUMBER(B101),AVERAGE(INDEX($B$2:$B$301,MAX(1,100-semi)):INDEX($B$2:$B$301,MIN($M$2,100+semi))),"")</f>
        <v/>
      </c>
      <c r="E101" s="28" t="str">
        <f t="shared" si="7"/>
        <v/>
      </c>
      <c r="F101" s="22" t="str">
        <f>IF(AND(ISNUMBER(E101),ISNUMBER(E102),ISNUMBER($M$6)),IF(AND(101&lt;$M$6,E101&lt;0.5,E102&gt;=0.5),101,""),"")</f>
        <v/>
      </c>
      <c r="G101" s="22" t="str">
        <f>IF(AND(ISNUMBER(E101),ISNUMBER(E102),ISNUMBER($M$6)),IF(AND(101&gt;=$M$6,E101&gt;=0.5,E102&lt;0.5),101,""),"")</f>
        <v/>
      </c>
      <c r="H101" s="22" t="str">
        <f t="shared" si="8"/>
        <v/>
      </c>
      <c r="I101" s="22" t="e">
        <f t="shared" si="9"/>
        <v>#N/A</v>
      </c>
      <c r="J101" s="28" t="e">
        <f t="shared" si="10"/>
        <v>#N/A</v>
      </c>
      <c r="K101" s="22" t="str">
        <f t="shared" si="11"/>
        <v/>
      </c>
    </row>
    <row r="102" spans="3:11" x14ac:dyDescent="0.3">
      <c r="C102" s="22" t="str">
        <f t="shared" si="6"/>
        <v/>
      </c>
      <c r="D102" s="28" t="str">
        <f>IF(ISNUMBER(B102),AVERAGE(INDEX($B$2:$B$301,MAX(1,101-semi)):INDEX($B$2:$B$301,MIN($M$2,101+semi))),"")</f>
        <v/>
      </c>
      <c r="E102" s="28" t="str">
        <f t="shared" si="7"/>
        <v/>
      </c>
      <c r="F102" s="22" t="str">
        <f>IF(AND(ISNUMBER(E102),ISNUMBER(E103),ISNUMBER($M$6)),IF(AND(102&lt;$M$6,E102&lt;0.5,E103&gt;=0.5),102,""),"")</f>
        <v/>
      </c>
      <c r="G102" s="22" t="str">
        <f>IF(AND(ISNUMBER(E102),ISNUMBER(E103),ISNUMBER($M$6)),IF(AND(102&gt;=$M$6,E102&gt;=0.5,E103&lt;0.5),102,""),"")</f>
        <v/>
      </c>
      <c r="H102" s="22" t="str">
        <f t="shared" si="8"/>
        <v/>
      </c>
      <c r="I102" s="22" t="e">
        <f t="shared" si="9"/>
        <v>#N/A</v>
      </c>
      <c r="J102" s="28" t="e">
        <f t="shared" si="10"/>
        <v>#N/A</v>
      </c>
      <c r="K102" s="22" t="str">
        <f t="shared" si="11"/>
        <v/>
      </c>
    </row>
    <row r="103" spans="3:11" x14ac:dyDescent="0.3">
      <c r="C103" s="22" t="str">
        <f t="shared" si="6"/>
        <v/>
      </c>
      <c r="D103" s="28" t="str">
        <f>IF(ISNUMBER(B103),AVERAGE(INDEX($B$2:$B$301,MAX(1,102-semi)):INDEX($B$2:$B$301,MIN($M$2,102+semi))),"")</f>
        <v/>
      </c>
      <c r="E103" s="28" t="str">
        <f t="shared" si="7"/>
        <v/>
      </c>
      <c r="F103" s="22" t="str">
        <f>IF(AND(ISNUMBER(E103),ISNUMBER(E104),ISNUMBER($M$6)),IF(AND(103&lt;$M$6,E103&lt;0.5,E104&gt;=0.5),103,""),"")</f>
        <v/>
      </c>
      <c r="G103" s="22" t="str">
        <f>IF(AND(ISNUMBER(E103),ISNUMBER(E104),ISNUMBER($M$6)),IF(AND(103&gt;=$M$6,E103&gt;=0.5,E104&lt;0.5),103,""),"")</f>
        <v/>
      </c>
      <c r="H103" s="22" t="str">
        <f t="shared" si="8"/>
        <v/>
      </c>
      <c r="I103" s="22" t="e">
        <f t="shared" si="9"/>
        <v>#N/A</v>
      </c>
      <c r="J103" s="28" t="e">
        <f t="shared" si="10"/>
        <v>#N/A</v>
      </c>
      <c r="K103" s="22" t="str">
        <f t="shared" si="11"/>
        <v/>
      </c>
    </row>
    <row r="104" spans="3:11" x14ac:dyDescent="0.3">
      <c r="C104" s="22" t="str">
        <f t="shared" si="6"/>
        <v/>
      </c>
      <c r="D104" s="28" t="str">
        <f>IF(ISNUMBER(B104),AVERAGE(INDEX($B$2:$B$301,MAX(1,103-semi)):INDEX($B$2:$B$301,MIN($M$2,103+semi))),"")</f>
        <v/>
      </c>
      <c r="E104" s="28" t="str">
        <f t="shared" si="7"/>
        <v/>
      </c>
      <c r="F104" s="22" t="str">
        <f>IF(AND(ISNUMBER(E104),ISNUMBER(E105),ISNUMBER($M$6)),IF(AND(104&lt;$M$6,E104&lt;0.5,E105&gt;=0.5),104,""),"")</f>
        <v/>
      </c>
      <c r="G104" s="22" t="str">
        <f>IF(AND(ISNUMBER(E104),ISNUMBER(E105),ISNUMBER($M$6)),IF(AND(104&gt;=$M$6,E104&gt;=0.5,E105&lt;0.5),104,""),"")</f>
        <v/>
      </c>
      <c r="H104" s="22" t="str">
        <f t="shared" si="8"/>
        <v/>
      </c>
      <c r="I104" s="22" t="e">
        <f t="shared" si="9"/>
        <v>#N/A</v>
      </c>
      <c r="J104" s="28" t="e">
        <f t="shared" si="10"/>
        <v>#N/A</v>
      </c>
      <c r="K104" s="22" t="str">
        <f t="shared" si="11"/>
        <v/>
      </c>
    </row>
    <row r="105" spans="3:11" x14ac:dyDescent="0.3">
      <c r="C105" s="22" t="str">
        <f t="shared" si="6"/>
        <v/>
      </c>
      <c r="D105" s="28" t="str">
        <f>IF(ISNUMBER(B105),AVERAGE(INDEX($B$2:$B$301,MAX(1,104-semi)):INDEX($B$2:$B$301,MIN($M$2,104+semi))),"")</f>
        <v/>
      </c>
      <c r="E105" s="28" t="str">
        <f t="shared" si="7"/>
        <v/>
      </c>
      <c r="F105" s="22" t="str">
        <f>IF(AND(ISNUMBER(E105),ISNUMBER(E106),ISNUMBER($M$6)),IF(AND(105&lt;$M$6,E105&lt;0.5,E106&gt;=0.5),105,""),"")</f>
        <v/>
      </c>
      <c r="G105" s="22" t="str">
        <f>IF(AND(ISNUMBER(E105),ISNUMBER(E106),ISNUMBER($M$6)),IF(AND(105&gt;=$M$6,E105&gt;=0.5,E106&lt;0.5),105,""),"")</f>
        <v/>
      </c>
      <c r="H105" s="22" t="str">
        <f t="shared" si="8"/>
        <v/>
      </c>
      <c r="I105" s="22" t="e">
        <f t="shared" si="9"/>
        <v>#N/A</v>
      </c>
      <c r="J105" s="28" t="e">
        <f t="shared" si="10"/>
        <v>#N/A</v>
      </c>
      <c r="K105" s="22" t="str">
        <f t="shared" si="11"/>
        <v/>
      </c>
    </row>
    <row r="106" spans="3:11" x14ac:dyDescent="0.3">
      <c r="C106" s="22" t="str">
        <f t="shared" si="6"/>
        <v/>
      </c>
      <c r="D106" s="28" t="str">
        <f>IF(ISNUMBER(B106),AVERAGE(INDEX($B$2:$B$301,MAX(1,105-semi)):INDEX($B$2:$B$301,MIN($M$2,105+semi))),"")</f>
        <v/>
      </c>
      <c r="E106" s="28" t="str">
        <f t="shared" si="7"/>
        <v/>
      </c>
      <c r="F106" s="22" t="str">
        <f>IF(AND(ISNUMBER(E106),ISNUMBER(E107),ISNUMBER($M$6)),IF(AND(106&lt;$M$6,E106&lt;0.5,E107&gt;=0.5),106,""),"")</f>
        <v/>
      </c>
      <c r="G106" s="22" t="str">
        <f>IF(AND(ISNUMBER(E106),ISNUMBER(E107),ISNUMBER($M$6)),IF(AND(106&gt;=$M$6,E106&gt;=0.5,E107&lt;0.5),106,""),"")</f>
        <v/>
      </c>
      <c r="H106" s="22" t="str">
        <f t="shared" si="8"/>
        <v/>
      </c>
      <c r="I106" s="22" t="e">
        <f t="shared" si="9"/>
        <v>#N/A</v>
      </c>
      <c r="J106" s="28" t="e">
        <f t="shared" si="10"/>
        <v>#N/A</v>
      </c>
      <c r="K106" s="22" t="str">
        <f t="shared" si="11"/>
        <v/>
      </c>
    </row>
    <row r="107" spans="3:11" x14ac:dyDescent="0.3">
      <c r="C107" s="22" t="str">
        <f t="shared" si="6"/>
        <v/>
      </c>
      <c r="D107" s="28" t="str">
        <f>IF(ISNUMBER(B107),AVERAGE(INDEX($B$2:$B$301,MAX(1,106-semi)):INDEX($B$2:$B$301,MIN($M$2,106+semi))),"")</f>
        <v/>
      </c>
      <c r="E107" s="28" t="str">
        <f t="shared" si="7"/>
        <v/>
      </c>
      <c r="F107" s="22" t="str">
        <f>IF(AND(ISNUMBER(E107),ISNUMBER(E108),ISNUMBER($M$6)),IF(AND(107&lt;$M$6,E107&lt;0.5,E108&gt;=0.5),107,""),"")</f>
        <v/>
      </c>
      <c r="G107" s="22" t="str">
        <f>IF(AND(ISNUMBER(E107),ISNUMBER(E108),ISNUMBER($M$6)),IF(AND(107&gt;=$M$6,E107&gt;=0.5,E108&lt;0.5),107,""),"")</f>
        <v/>
      </c>
      <c r="H107" s="22" t="str">
        <f t="shared" si="8"/>
        <v/>
      </c>
      <c r="I107" s="22" t="e">
        <f t="shared" si="9"/>
        <v>#N/A</v>
      </c>
      <c r="J107" s="28" t="e">
        <f t="shared" si="10"/>
        <v>#N/A</v>
      </c>
      <c r="K107" s="22" t="str">
        <f t="shared" si="11"/>
        <v/>
      </c>
    </row>
    <row r="108" spans="3:11" x14ac:dyDescent="0.3">
      <c r="C108" s="22" t="str">
        <f t="shared" si="6"/>
        <v/>
      </c>
      <c r="D108" s="28" t="str">
        <f>IF(ISNUMBER(B108),AVERAGE(INDEX($B$2:$B$301,MAX(1,107-semi)):INDEX($B$2:$B$301,MIN($M$2,107+semi))),"")</f>
        <v/>
      </c>
      <c r="E108" s="28" t="str">
        <f t="shared" si="7"/>
        <v/>
      </c>
      <c r="F108" s="22" t="str">
        <f>IF(AND(ISNUMBER(E108),ISNUMBER(E109),ISNUMBER($M$6)),IF(AND(108&lt;$M$6,E108&lt;0.5,E109&gt;=0.5),108,""),"")</f>
        <v/>
      </c>
      <c r="G108" s="22" t="str">
        <f>IF(AND(ISNUMBER(E108),ISNUMBER(E109),ISNUMBER($M$6)),IF(AND(108&gt;=$M$6,E108&gt;=0.5,E109&lt;0.5),108,""),"")</f>
        <v/>
      </c>
      <c r="H108" s="22" t="str">
        <f t="shared" si="8"/>
        <v/>
      </c>
      <c r="I108" s="22" t="e">
        <f t="shared" si="9"/>
        <v>#N/A</v>
      </c>
      <c r="J108" s="28" t="e">
        <f t="shared" si="10"/>
        <v>#N/A</v>
      </c>
      <c r="K108" s="22" t="str">
        <f t="shared" si="11"/>
        <v/>
      </c>
    </row>
    <row r="109" spans="3:11" x14ac:dyDescent="0.3">
      <c r="C109" s="22" t="str">
        <f t="shared" si="6"/>
        <v/>
      </c>
      <c r="D109" s="28" t="str">
        <f>IF(ISNUMBER(B109),AVERAGE(INDEX($B$2:$B$301,MAX(1,108-semi)):INDEX($B$2:$B$301,MIN($M$2,108+semi))),"")</f>
        <v/>
      </c>
      <c r="E109" s="28" t="str">
        <f t="shared" si="7"/>
        <v/>
      </c>
      <c r="F109" s="22" t="str">
        <f>IF(AND(ISNUMBER(E109),ISNUMBER(E110),ISNUMBER($M$6)),IF(AND(109&lt;$M$6,E109&lt;0.5,E110&gt;=0.5),109,""),"")</f>
        <v/>
      </c>
      <c r="G109" s="22" t="str">
        <f>IF(AND(ISNUMBER(E109),ISNUMBER(E110),ISNUMBER($M$6)),IF(AND(109&gt;=$M$6,E109&gt;=0.5,E110&lt;0.5),109,""),"")</f>
        <v/>
      </c>
      <c r="H109" s="22" t="str">
        <f t="shared" si="8"/>
        <v/>
      </c>
      <c r="I109" s="22" t="e">
        <f t="shared" si="9"/>
        <v>#N/A</v>
      </c>
      <c r="J109" s="28" t="e">
        <f t="shared" si="10"/>
        <v>#N/A</v>
      </c>
      <c r="K109" s="22" t="str">
        <f t="shared" si="11"/>
        <v/>
      </c>
    </row>
    <row r="110" spans="3:11" x14ac:dyDescent="0.3">
      <c r="C110" s="22" t="str">
        <f t="shared" si="6"/>
        <v/>
      </c>
      <c r="D110" s="28" t="str">
        <f>IF(ISNUMBER(B110),AVERAGE(INDEX($B$2:$B$301,MAX(1,109-semi)):INDEX($B$2:$B$301,MIN($M$2,109+semi))),"")</f>
        <v/>
      </c>
      <c r="E110" s="28" t="str">
        <f t="shared" si="7"/>
        <v/>
      </c>
      <c r="F110" s="22" t="str">
        <f>IF(AND(ISNUMBER(E110),ISNUMBER(E111),ISNUMBER($M$6)),IF(AND(110&lt;$M$6,E110&lt;0.5,E111&gt;=0.5),110,""),"")</f>
        <v/>
      </c>
      <c r="G110" s="22" t="str">
        <f>IF(AND(ISNUMBER(E110),ISNUMBER(E111),ISNUMBER($M$6)),IF(AND(110&gt;=$M$6,E110&gt;=0.5,E111&lt;0.5),110,""),"")</f>
        <v/>
      </c>
      <c r="H110" s="22" t="str">
        <f t="shared" si="8"/>
        <v/>
      </c>
      <c r="I110" s="22" t="e">
        <f t="shared" si="9"/>
        <v>#N/A</v>
      </c>
      <c r="J110" s="28" t="e">
        <f t="shared" si="10"/>
        <v>#N/A</v>
      </c>
      <c r="K110" s="22" t="str">
        <f t="shared" si="11"/>
        <v/>
      </c>
    </row>
    <row r="111" spans="3:11" x14ac:dyDescent="0.3">
      <c r="C111" s="22" t="str">
        <f t="shared" si="6"/>
        <v/>
      </c>
      <c r="D111" s="28" t="str">
        <f>IF(ISNUMBER(B111),AVERAGE(INDEX($B$2:$B$301,MAX(1,110-semi)):INDEX($B$2:$B$301,MIN($M$2,110+semi))),"")</f>
        <v/>
      </c>
      <c r="E111" s="28" t="str">
        <f t="shared" si="7"/>
        <v/>
      </c>
      <c r="F111" s="22" t="str">
        <f>IF(AND(ISNUMBER(E111),ISNUMBER(E112),ISNUMBER($M$6)),IF(AND(111&lt;$M$6,E111&lt;0.5,E112&gt;=0.5),111,""),"")</f>
        <v/>
      </c>
      <c r="G111" s="22" t="str">
        <f>IF(AND(ISNUMBER(E111),ISNUMBER(E112),ISNUMBER($M$6)),IF(AND(111&gt;=$M$6,E111&gt;=0.5,E112&lt;0.5),111,""),"")</f>
        <v/>
      </c>
      <c r="H111" s="22" t="str">
        <f t="shared" si="8"/>
        <v/>
      </c>
      <c r="I111" s="22" t="e">
        <f t="shared" si="9"/>
        <v>#N/A</v>
      </c>
      <c r="J111" s="28" t="e">
        <f t="shared" si="10"/>
        <v>#N/A</v>
      </c>
      <c r="K111" s="22" t="str">
        <f t="shared" si="11"/>
        <v/>
      </c>
    </row>
    <row r="112" spans="3:11" x14ac:dyDescent="0.3">
      <c r="C112" s="22" t="str">
        <f t="shared" si="6"/>
        <v/>
      </c>
      <c r="D112" s="28" t="str">
        <f>IF(ISNUMBER(B112),AVERAGE(INDEX($B$2:$B$301,MAX(1,111-semi)):INDEX($B$2:$B$301,MIN($M$2,111+semi))),"")</f>
        <v/>
      </c>
      <c r="E112" s="28" t="str">
        <f t="shared" si="7"/>
        <v/>
      </c>
      <c r="F112" s="22" t="str">
        <f>IF(AND(ISNUMBER(E112),ISNUMBER(E113),ISNUMBER($M$6)),IF(AND(112&lt;$M$6,E112&lt;0.5,E113&gt;=0.5),112,""),"")</f>
        <v/>
      </c>
      <c r="G112" s="22" t="str">
        <f>IF(AND(ISNUMBER(E112),ISNUMBER(E113),ISNUMBER($M$6)),IF(AND(112&gt;=$M$6,E112&gt;=0.5,E113&lt;0.5),112,""),"")</f>
        <v/>
      </c>
      <c r="H112" s="22" t="str">
        <f t="shared" si="8"/>
        <v/>
      </c>
      <c r="I112" s="22" t="e">
        <f t="shared" si="9"/>
        <v>#N/A</v>
      </c>
      <c r="J112" s="28" t="e">
        <f t="shared" si="10"/>
        <v>#N/A</v>
      </c>
      <c r="K112" s="22" t="str">
        <f t="shared" si="11"/>
        <v/>
      </c>
    </row>
    <row r="113" spans="3:11" x14ac:dyDescent="0.3">
      <c r="C113" s="22" t="str">
        <f t="shared" si="6"/>
        <v/>
      </c>
      <c r="D113" s="28" t="str">
        <f>IF(ISNUMBER(B113),AVERAGE(INDEX($B$2:$B$301,MAX(1,112-semi)):INDEX($B$2:$B$301,MIN($M$2,112+semi))),"")</f>
        <v/>
      </c>
      <c r="E113" s="28" t="str">
        <f t="shared" si="7"/>
        <v/>
      </c>
      <c r="F113" s="22" t="str">
        <f>IF(AND(ISNUMBER(E113),ISNUMBER(E114),ISNUMBER($M$6)),IF(AND(113&lt;$M$6,E113&lt;0.5,E114&gt;=0.5),113,""),"")</f>
        <v/>
      </c>
      <c r="G113" s="22" t="str">
        <f>IF(AND(ISNUMBER(E113),ISNUMBER(E114),ISNUMBER($M$6)),IF(AND(113&gt;=$M$6,E113&gt;=0.5,E114&lt;0.5),113,""),"")</f>
        <v/>
      </c>
      <c r="H113" s="22" t="str">
        <f t="shared" si="8"/>
        <v/>
      </c>
      <c r="I113" s="22" t="e">
        <f t="shared" si="9"/>
        <v>#N/A</v>
      </c>
      <c r="J113" s="28" t="e">
        <f t="shared" si="10"/>
        <v>#N/A</v>
      </c>
      <c r="K113" s="22" t="str">
        <f t="shared" si="11"/>
        <v/>
      </c>
    </row>
    <row r="114" spans="3:11" x14ac:dyDescent="0.3">
      <c r="C114" s="22" t="str">
        <f t="shared" si="6"/>
        <v/>
      </c>
      <c r="D114" s="28" t="str">
        <f>IF(ISNUMBER(B114),AVERAGE(INDEX($B$2:$B$301,MAX(1,113-semi)):INDEX($B$2:$B$301,MIN($M$2,113+semi))),"")</f>
        <v/>
      </c>
      <c r="E114" s="28" t="str">
        <f t="shared" si="7"/>
        <v/>
      </c>
      <c r="F114" s="22" t="str">
        <f>IF(AND(ISNUMBER(E114),ISNUMBER(E115),ISNUMBER($M$6)),IF(AND(114&lt;$M$6,E114&lt;0.5,E115&gt;=0.5),114,""),"")</f>
        <v/>
      </c>
      <c r="G114" s="22" t="str">
        <f>IF(AND(ISNUMBER(E114),ISNUMBER(E115),ISNUMBER($M$6)),IF(AND(114&gt;=$M$6,E114&gt;=0.5,E115&lt;0.5),114,""),"")</f>
        <v/>
      </c>
      <c r="H114" s="22" t="str">
        <f t="shared" si="8"/>
        <v/>
      </c>
      <c r="I114" s="22" t="e">
        <f t="shared" si="9"/>
        <v>#N/A</v>
      </c>
      <c r="J114" s="28" t="e">
        <f t="shared" si="10"/>
        <v>#N/A</v>
      </c>
      <c r="K114" s="22" t="str">
        <f t="shared" si="11"/>
        <v/>
      </c>
    </row>
    <row r="115" spans="3:11" x14ac:dyDescent="0.3">
      <c r="C115" s="22" t="str">
        <f t="shared" si="6"/>
        <v/>
      </c>
      <c r="D115" s="28" t="str">
        <f>IF(ISNUMBER(B115),AVERAGE(INDEX($B$2:$B$301,MAX(1,114-semi)):INDEX($B$2:$B$301,MIN($M$2,114+semi))),"")</f>
        <v/>
      </c>
      <c r="E115" s="28" t="str">
        <f t="shared" si="7"/>
        <v/>
      </c>
      <c r="F115" s="22" t="str">
        <f>IF(AND(ISNUMBER(E115),ISNUMBER(E116),ISNUMBER($M$6)),IF(AND(115&lt;$M$6,E115&lt;0.5,E116&gt;=0.5),115,""),"")</f>
        <v/>
      </c>
      <c r="G115" s="22" t="str">
        <f>IF(AND(ISNUMBER(E115),ISNUMBER(E116),ISNUMBER($M$6)),IF(AND(115&gt;=$M$6,E115&gt;=0.5,E116&lt;0.5),115,""),"")</f>
        <v/>
      </c>
      <c r="H115" s="22" t="str">
        <f t="shared" si="8"/>
        <v/>
      </c>
      <c r="I115" s="22" t="e">
        <f t="shared" si="9"/>
        <v>#N/A</v>
      </c>
      <c r="J115" s="28" t="e">
        <f t="shared" si="10"/>
        <v>#N/A</v>
      </c>
      <c r="K115" s="22" t="str">
        <f t="shared" si="11"/>
        <v/>
      </c>
    </row>
    <row r="116" spans="3:11" x14ac:dyDescent="0.3">
      <c r="C116" s="22" t="str">
        <f t="shared" si="6"/>
        <v/>
      </c>
      <c r="D116" s="28" t="str">
        <f>IF(ISNUMBER(B116),AVERAGE(INDEX($B$2:$B$301,MAX(1,115-semi)):INDEX($B$2:$B$301,MIN($M$2,115+semi))),"")</f>
        <v/>
      </c>
      <c r="E116" s="28" t="str">
        <f t="shared" si="7"/>
        <v/>
      </c>
      <c r="F116" s="22" t="str">
        <f>IF(AND(ISNUMBER(E116),ISNUMBER(E117),ISNUMBER($M$6)),IF(AND(116&lt;$M$6,E116&lt;0.5,E117&gt;=0.5),116,""),"")</f>
        <v/>
      </c>
      <c r="G116" s="22" t="str">
        <f>IF(AND(ISNUMBER(E116),ISNUMBER(E117),ISNUMBER($M$6)),IF(AND(116&gt;=$M$6,E116&gt;=0.5,E117&lt;0.5),116,""),"")</f>
        <v/>
      </c>
      <c r="H116" s="22" t="str">
        <f t="shared" si="8"/>
        <v/>
      </c>
      <c r="I116" s="22" t="e">
        <f t="shared" si="9"/>
        <v>#N/A</v>
      </c>
      <c r="J116" s="28" t="e">
        <f t="shared" si="10"/>
        <v>#N/A</v>
      </c>
      <c r="K116" s="22" t="str">
        <f t="shared" si="11"/>
        <v/>
      </c>
    </row>
    <row r="117" spans="3:11" x14ac:dyDescent="0.3">
      <c r="C117" s="22" t="str">
        <f t="shared" si="6"/>
        <v/>
      </c>
      <c r="D117" s="28" t="str">
        <f>IF(ISNUMBER(B117),AVERAGE(INDEX($B$2:$B$301,MAX(1,116-semi)):INDEX($B$2:$B$301,MIN($M$2,116+semi))),"")</f>
        <v/>
      </c>
      <c r="E117" s="28" t="str">
        <f t="shared" si="7"/>
        <v/>
      </c>
      <c r="F117" s="22" t="str">
        <f>IF(AND(ISNUMBER(E117),ISNUMBER(E118),ISNUMBER($M$6)),IF(AND(117&lt;$M$6,E117&lt;0.5,E118&gt;=0.5),117,""),"")</f>
        <v/>
      </c>
      <c r="G117" s="22" t="str">
        <f>IF(AND(ISNUMBER(E117),ISNUMBER(E118),ISNUMBER($M$6)),IF(AND(117&gt;=$M$6,E117&gt;=0.5,E118&lt;0.5),117,""),"")</f>
        <v/>
      </c>
      <c r="H117" s="22" t="str">
        <f t="shared" si="8"/>
        <v/>
      </c>
      <c r="I117" s="22" t="e">
        <f t="shared" si="9"/>
        <v>#N/A</v>
      </c>
      <c r="J117" s="28" t="e">
        <f t="shared" si="10"/>
        <v>#N/A</v>
      </c>
      <c r="K117" s="22" t="str">
        <f t="shared" si="11"/>
        <v/>
      </c>
    </row>
    <row r="118" spans="3:11" x14ac:dyDescent="0.3">
      <c r="C118" s="22" t="str">
        <f t="shared" si="6"/>
        <v/>
      </c>
      <c r="D118" s="28" t="str">
        <f>IF(ISNUMBER(B118),AVERAGE(INDEX($B$2:$B$301,MAX(1,117-semi)):INDEX($B$2:$B$301,MIN($M$2,117+semi))),"")</f>
        <v/>
      </c>
      <c r="E118" s="28" t="str">
        <f t="shared" si="7"/>
        <v/>
      </c>
      <c r="F118" s="22" t="str">
        <f>IF(AND(ISNUMBER(E118),ISNUMBER(E119),ISNUMBER($M$6)),IF(AND(118&lt;$M$6,E118&lt;0.5,E119&gt;=0.5),118,""),"")</f>
        <v/>
      </c>
      <c r="G118" s="22" t="str">
        <f>IF(AND(ISNUMBER(E118),ISNUMBER(E119),ISNUMBER($M$6)),IF(AND(118&gt;=$M$6,E118&gt;=0.5,E119&lt;0.5),118,""),"")</f>
        <v/>
      </c>
      <c r="H118" s="22" t="str">
        <f t="shared" si="8"/>
        <v/>
      </c>
      <c r="I118" s="22" t="e">
        <f t="shared" si="9"/>
        <v>#N/A</v>
      </c>
      <c r="J118" s="28" t="e">
        <f t="shared" si="10"/>
        <v>#N/A</v>
      </c>
      <c r="K118" s="22" t="str">
        <f t="shared" si="11"/>
        <v/>
      </c>
    </row>
    <row r="119" spans="3:11" x14ac:dyDescent="0.3">
      <c r="C119" s="22" t="str">
        <f t="shared" si="6"/>
        <v/>
      </c>
      <c r="D119" s="28" t="str">
        <f>IF(ISNUMBER(B119),AVERAGE(INDEX($B$2:$B$301,MAX(1,118-semi)):INDEX($B$2:$B$301,MIN($M$2,118+semi))),"")</f>
        <v/>
      </c>
      <c r="E119" s="28" t="str">
        <f t="shared" si="7"/>
        <v/>
      </c>
      <c r="F119" s="22" t="str">
        <f>IF(AND(ISNUMBER(E119),ISNUMBER(E120),ISNUMBER($M$6)),IF(AND(119&lt;$M$6,E119&lt;0.5,E120&gt;=0.5),119,""),"")</f>
        <v/>
      </c>
      <c r="G119" s="22" t="str">
        <f>IF(AND(ISNUMBER(E119),ISNUMBER(E120),ISNUMBER($M$6)),IF(AND(119&gt;=$M$6,E119&gt;=0.5,E120&lt;0.5),119,""),"")</f>
        <v/>
      </c>
      <c r="H119" s="22" t="str">
        <f t="shared" si="8"/>
        <v/>
      </c>
      <c r="I119" s="22" t="e">
        <f t="shared" si="9"/>
        <v>#N/A</v>
      </c>
      <c r="J119" s="28" t="e">
        <f t="shared" si="10"/>
        <v>#N/A</v>
      </c>
      <c r="K119" s="22" t="str">
        <f t="shared" si="11"/>
        <v/>
      </c>
    </row>
    <row r="120" spans="3:11" x14ac:dyDescent="0.3">
      <c r="C120" s="22" t="str">
        <f t="shared" si="6"/>
        <v/>
      </c>
      <c r="D120" s="28" t="str">
        <f>IF(ISNUMBER(B120),AVERAGE(INDEX($B$2:$B$301,MAX(1,119-semi)):INDEX($B$2:$B$301,MIN($M$2,119+semi))),"")</f>
        <v/>
      </c>
      <c r="E120" s="28" t="str">
        <f t="shared" si="7"/>
        <v/>
      </c>
      <c r="F120" s="22" t="str">
        <f>IF(AND(ISNUMBER(E120),ISNUMBER(E121),ISNUMBER($M$6)),IF(AND(120&lt;$M$6,E120&lt;0.5,E121&gt;=0.5),120,""),"")</f>
        <v/>
      </c>
      <c r="G120" s="22" t="str">
        <f>IF(AND(ISNUMBER(E120),ISNUMBER(E121),ISNUMBER($M$6)),IF(AND(120&gt;=$M$6,E120&gt;=0.5,E121&lt;0.5),120,""),"")</f>
        <v/>
      </c>
      <c r="H120" s="22" t="str">
        <f t="shared" si="8"/>
        <v/>
      </c>
      <c r="I120" s="22" t="e">
        <f t="shared" si="9"/>
        <v>#N/A</v>
      </c>
      <c r="J120" s="28" t="e">
        <f t="shared" si="10"/>
        <v>#N/A</v>
      </c>
      <c r="K120" s="22" t="str">
        <f t="shared" si="11"/>
        <v/>
      </c>
    </row>
    <row r="121" spans="3:11" x14ac:dyDescent="0.3">
      <c r="C121" s="22" t="str">
        <f t="shared" si="6"/>
        <v/>
      </c>
      <c r="D121" s="28" t="str">
        <f>IF(ISNUMBER(B121),AVERAGE(INDEX($B$2:$B$301,MAX(1,120-semi)):INDEX($B$2:$B$301,MIN($M$2,120+semi))),"")</f>
        <v/>
      </c>
      <c r="E121" s="28" t="str">
        <f t="shared" si="7"/>
        <v/>
      </c>
      <c r="F121" s="22" t="str">
        <f>IF(AND(ISNUMBER(E121),ISNUMBER(E122),ISNUMBER($M$6)),IF(AND(121&lt;$M$6,E121&lt;0.5,E122&gt;=0.5),121,""),"")</f>
        <v/>
      </c>
      <c r="G121" s="22" t="str">
        <f>IF(AND(ISNUMBER(E121),ISNUMBER(E122),ISNUMBER($M$6)),IF(AND(121&gt;=$M$6,E121&gt;=0.5,E122&lt;0.5),121,""),"")</f>
        <v/>
      </c>
      <c r="H121" s="22" t="str">
        <f t="shared" si="8"/>
        <v/>
      </c>
      <c r="I121" s="22" t="e">
        <f t="shared" si="9"/>
        <v>#N/A</v>
      </c>
      <c r="J121" s="28" t="e">
        <f t="shared" si="10"/>
        <v>#N/A</v>
      </c>
      <c r="K121" s="22" t="str">
        <f t="shared" si="11"/>
        <v/>
      </c>
    </row>
    <row r="122" spans="3:11" x14ac:dyDescent="0.3">
      <c r="C122" s="22" t="str">
        <f t="shared" si="6"/>
        <v/>
      </c>
      <c r="D122" s="28" t="str">
        <f>IF(ISNUMBER(B122),AVERAGE(INDEX($B$2:$B$301,MAX(1,121-semi)):INDEX($B$2:$B$301,MIN($M$2,121+semi))),"")</f>
        <v/>
      </c>
      <c r="E122" s="28" t="str">
        <f t="shared" si="7"/>
        <v/>
      </c>
      <c r="F122" s="22" t="str">
        <f>IF(AND(ISNUMBER(E122),ISNUMBER(E123),ISNUMBER($M$6)),IF(AND(122&lt;$M$6,E122&lt;0.5,E123&gt;=0.5),122,""),"")</f>
        <v/>
      </c>
      <c r="G122" s="22" t="str">
        <f>IF(AND(ISNUMBER(E122),ISNUMBER(E123),ISNUMBER($M$6)),IF(AND(122&gt;=$M$6,E122&gt;=0.5,E123&lt;0.5),122,""),"")</f>
        <v/>
      </c>
      <c r="H122" s="22" t="str">
        <f t="shared" si="8"/>
        <v/>
      </c>
      <c r="I122" s="22" t="e">
        <f t="shared" si="9"/>
        <v>#N/A</v>
      </c>
      <c r="J122" s="28" t="e">
        <f t="shared" si="10"/>
        <v>#N/A</v>
      </c>
      <c r="K122" s="22" t="str">
        <f t="shared" si="11"/>
        <v/>
      </c>
    </row>
    <row r="123" spans="3:11" x14ac:dyDescent="0.3">
      <c r="C123" s="22" t="str">
        <f t="shared" si="6"/>
        <v/>
      </c>
      <c r="D123" s="28" t="str">
        <f>IF(ISNUMBER(B123),AVERAGE(INDEX($B$2:$B$301,MAX(1,122-semi)):INDEX($B$2:$B$301,MIN($M$2,122+semi))),"")</f>
        <v/>
      </c>
      <c r="E123" s="28" t="str">
        <f t="shared" si="7"/>
        <v/>
      </c>
      <c r="F123" s="22" t="str">
        <f>IF(AND(ISNUMBER(E123),ISNUMBER(E124),ISNUMBER($M$6)),IF(AND(123&lt;$M$6,E123&lt;0.5,E124&gt;=0.5),123,""),"")</f>
        <v/>
      </c>
      <c r="G123" s="22" t="str">
        <f>IF(AND(ISNUMBER(E123),ISNUMBER(E124),ISNUMBER($M$6)),IF(AND(123&gt;=$M$6,E123&gt;=0.5,E124&lt;0.5),123,""),"")</f>
        <v/>
      </c>
      <c r="H123" s="22" t="str">
        <f t="shared" si="8"/>
        <v/>
      </c>
      <c r="I123" s="22" t="e">
        <f t="shared" si="9"/>
        <v>#N/A</v>
      </c>
      <c r="J123" s="28" t="e">
        <f t="shared" si="10"/>
        <v>#N/A</v>
      </c>
      <c r="K123" s="22" t="str">
        <f t="shared" si="11"/>
        <v/>
      </c>
    </row>
    <row r="124" spans="3:11" x14ac:dyDescent="0.3">
      <c r="C124" s="22" t="str">
        <f t="shared" si="6"/>
        <v/>
      </c>
      <c r="D124" s="28" t="str">
        <f>IF(ISNUMBER(B124),AVERAGE(INDEX($B$2:$B$301,MAX(1,123-semi)):INDEX($B$2:$B$301,MIN($M$2,123+semi))),"")</f>
        <v/>
      </c>
      <c r="E124" s="28" t="str">
        <f t="shared" si="7"/>
        <v/>
      </c>
      <c r="F124" s="22" t="str">
        <f>IF(AND(ISNUMBER(E124),ISNUMBER(E125),ISNUMBER($M$6)),IF(AND(124&lt;$M$6,E124&lt;0.5,E125&gt;=0.5),124,""),"")</f>
        <v/>
      </c>
      <c r="G124" s="22" t="str">
        <f>IF(AND(ISNUMBER(E124),ISNUMBER(E125),ISNUMBER($M$6)),IF(AND(124&gt;=$M$6,E124&gt;=0.5,E125&lt;0.5),124,""),"")</f>
        <v/>
      </c>
      <c r="H124" s="22" t="str">
        <f t="shared" si="8"/>
        <v/>
      </c>
      <c r="I124" s="22" t="e">
        <f t="shared" si="9"/>
        <v>#N/A</v>
      </c>
      <c r="J124" s="28" t="e">
        <f t="shared" si="10"/>
        <v>#N/A</v>
      </c>
      <c r="K124" s="22" t="str">
        <f t="shared" si="11"/>
        <v/>
      </c>
    </row>
    <row r="125" spans="3:11" x14ac:dyDescent="0.3">
      <c r="C125" s="22" t="str">
        <f t="shared" si="6"/>
        <v/>
      </c>
      <c r="D125" s="28" t="str">
        <f>IF(ISNUMBER(B125),AVERAGE(INDEX($B$2:$B$301,MAX(1,124-semi)):INDEX($B$2:$B$301,MIN($M$2,124+semi))),"")</f>
        <v/>
      </c>
      <c r="E125" s="28" t="str">
        <f t="shared" si="7"/>
        <v/>
      </c>
      <c r="F125" s="22" t="str">
        <f>IF(AND(ISNUMBER(E125),ISNUMBER(E126),ISNUMBER($M$6)),IF(AND(125&lt;$M$6,E125&lt;0.5,E126&gt;=0.5),125,""),"")</f>
        <v/>
      </c>
      <c r="G125" s="22" t="str">
        <f>IF(AND(ISNUMBER(E125),ISNUMBER(E126),ISNUMBER($M$6)),IF(AND(125&gt;=$M$6,E125&gt;=0.5,E126&lt;0.5),125,""),"")</f>
        <v/>
      </c>
      <c r="H125" s="22" t="str">
        <f t="shared" si="8"/>
        <v/>
      </c>
      <c r="I125" s="22" t="e">
        <f t="shared" si="9"/>
        <v>#N/A</v>
      </c>
      <c r="J125" s="28" t="e">
        <f t="shared" si="10"/>
        <v>#N/A</v>
      </c>
      <c r="K125" s="22" t="str">
        <f t="shared" si="11"/>
        <v/>
      </c>
    </row>
    <row r="126" spans="3:11" x14ac:dyDescent="0.3">
      <c r="C126" s="22" t="str">
        <f t="shared" si="6"/>
        <v/>
      </c>
      <c r="D126" s="28" t="str">
        <f>IF(ISNUMBER(B126),AVERAGE(INDEX($B$2:$B$301,MAX(1,125-semi)):INDEX($B$2:$B$301,MIN($M$2,125+semi))),"")</f>
        <v/>
      </c>
      <c r="E126" s="28" t="str">
        <f t="shared" si="7"/>
        <v/>
      </c>
      <c r="F126" s="22" t="str">
        <f>IF(AND(ISNUMBER(E126),ISNUMBER(E127),ISNUMBER($M$6)),IF(AND(126&lt;$M$6,E126&lt;0.5,E127&gt;=0.5),126,""),"")</f>
        <v/>
      </c>
      <c r="G126" s="22" t="str">
        <f>IF(AND(ISNUMBER(E126),ISNUMBER(E127),ISNUMBER($M$6)),IF(AND(126&gt;=$M$6,E126&gt;=0.5,E127&lt;0.5),126,""),"")</f>
        <v/>
      </c>
      <c r="H126" s="22" t="str">
        <f t="shared" si="8"/>
        <v/>
      </c>
      <c r="I126" s="22" t="e">
        <f t="shared" si="9"/>
        <v>#N/A</v>
      </c>
      <c r="J126" s="28" t="e">
        <f t="shared" si="10"/>
        <v>#N/A</v>
      </c>
      <c r="K126" s="22" t="str">
        <f t="shared" si="11"/>
        <v/>
      </c>
    </row>
    <row r="127" spans="3:11" x14ac:dyDescent="0.3">
      <c r="C127" s="22" t="str">
        <f t="shared" si="6"/>
        <v/>
      </c>
      <c r="D127" s="28" t="str">
        <f>IF(ISNUMBER(B127),AVERAGE(INDEX($B$2:$B$301,MAX(1,126-semi)):INDEX($B$2:$B$301,MIN($M$2,126+semi))),"")</f>
        <v/>
      </c>
      <c r="E127" s="28" t="str">
        <f t="shared" si="7"/>
        <v/>
      </c>
      <c r="F127" s="22" t="str">
        <f>IF(AND(ISNUMBER(E127),ISNUMBER(E128),ISNUMBER($M$6)),IF(AND(127&lt;$M$6,E127&lt;0.5,E128&gt;=0.5),127,""),"")</f>
        <v/>
      </c>
      <c r="G127" s="22" t="str">
        <f>IF(AND(ISNUMBER(E127),ISNUMBER(E128),ISNUMBER($M$6)),IF(AND(127&gt;=$M$6,E127&gt;=0.5,E128&lt;0.5),127,""),"")</f>
        <v/>
      </c>
      <c r="H127" s="22" t="str">
        <f t="shared" si="8"/>
        <v/>
      </c>
      <c r="I127" s="22" t="e">
        <f t="shared" si="9"/>
        <v>#N/A</v>
      </c>
      <c r="J127" s="28" t="e">
        <f t="shared" si="10"/>
        <v>#N/A</v>
      </c>
      <c r="K127" s="22" t="str">
        <f t="shared" si="11"/>
        <v/>
      </c>
    </row>
    <row r="128" spans="3:11" x14ac:dyDescent="0.3">
      <c r="C128" s="22" t="str">
        <f t="shared" si="6"/>
        <v/>
      </c>
      <c r="D128" s="28" t="str">
        <f>IF(ISNUMBER(B128),AVERAGE(INDEX($B$2:$B$301,MAX(1,127-semi)):INDEX($B$2:$B$301,MIN($M$2,127+semi))),"")</f>
        <v/>
      </c>
      <c r="E128" s="28" t="str">
        <f t="shared" si="7"/>
        <v/>
      </c>
      <c r="F128" s="22" t="str">
        <f>IF(AND(ISNUMBER(E128),ISNUMBER(E129),ISNUMBER($M$6)),IF(AND(128&lt;$M$6,E128&lt;0.5,E129&gt;=0.5),128,""),"")</f>
        <v/>
      </c>
      <c r="G128" s="22" t="str">
        <f>IF(AND(ISNUMBER(E128),ISNUMBER(E129),ISNUMBER($M$6)),IF(AND(128&gt;=$M$6,E128&gt;=0.5,E129&lt;0.5),128,""),"")</f>
        <v/>
      </c>
      <c r="H128" s="22" t="str">
        <f t="shared" si="8"/>
        <v/>
      </c>
      <c r="I128" s="22" t="e">
        <f t="shared" si="9"/>
        <v>#N/A</v>
      </c>
      <c r="J128" s="28" t="e">
        <f t="shared" si="10"/>
        <v>#N/A</v>
      </c>
      <c r="K128" s="22" t="str">
        <f t="shared" si="11"/>
        <v/>
      </c>
    </row>
    <row r="129" spans="3:11" x14ac:dyDescent="0.3">
      <c r="C129" s="22" t="str">
        <f t="shared" si="6"/>
        <v/>
      </c>
      <c r="D129" s="28" t="str">
        <f>IF(ISNUMBER(B129),AVERAGE(INDEX($B$2:$B$301,MAX(1,128-semi)):INDEX($B$2:$B$301,MIN($M$2,128+semi))),"")</f>
        <v/>
      </c>
      <c r="E129" s="28" t="str">
        <f t="shared" si="7"/>
        <v/>
      </c>
      <c r="F129" s="22" t="str">
        <f>IF(AND(ISNUMBER(E129),ISNUMBER(E130),ISNUMBER($M$6)),IF(AND(129&lt;$M$6,E129&lt;0.5,E130&gt;=0.5),129,""),"")</f>
        <v/>
      </c>
      <c r="G129" s="22" t="str">
        <f>IF(AND(ISNUMBER(E129),ISNUMBER(E130),ISNUMBER($M$6)),IF(AND(129&gt;=$M$6,E129&gt;=0.5,E130&lt;0.5),129,""),"")</f>
        <v/>
      </c>
      <c r="H129" s="22" t="str">
        <f t="shared" si="8"/>
        <v/>
      </c>
      <c r="I129" s="22" t="e">
        <f t="shared" si="9"/>
        <v>#N/A</v>
      </c>
      <c r="J129" s="28" t="e">
        <f t="shared" si="10"/>
        <v>#N/A</v>
      </c>
      <c r="K129" s="22" t="str">
        <f t="shared" si="11"/>
        <v/>
      </c>
    </row>
    <row r="130" spans="3:11" x14ac:dyDescent="0.3">
      <c r="C130" s="22" t="str">
        <f t="shared" ref="C130:C193" si="12">IF(ISNUMBER(A130),A130*conv,"")</f>
        <v/>
      </c>
      <c r="D130" s="28" t="str">
        <f>IF(ISNUMBER(B130),AVERAGE(INDEX($B$2:$B$301,MAX(1,129-semi)):INDEX($B$2:$B$301,MIN($M$2,129+semi))),"")</f>
        <v/>
      </c>
      <c r="E130" s="28" t="str">
        <f t="shared" ref="E130:E193" si="13">IF(AND(ISNUMBER(D130),ISNUMBER($M$4)),(D130-$M$4)/($M$5-$M$4),"")</f>
        <v/>
      </c>
      <c r="F130" s="22" t="str">
        <f>IF(AND(ISNUMBER(E130),ISNUMBER(E131),ISNUMBER($M$6)),IF(AND(130&lt;$M$6,E130&lt;0.5,E131&gt;=0.5),130,""),"")</f>
        <v/>
      </c>
      <c r="G130" s="22" t="str">
        <f>IF(AND(ISNUMBER(E130),ISNUMBER(E131),ISNUMBER($M$6)),IF(AND(130&gt;=$M$6,E130&gt;=0.5,E131&lt;0.5),130,""),"")</f>
        <v/>
      </c>
      <c r="H130" s="22" t="str">
        <f t="shared" ref="H130:H193" si="14">IF(OR(ISNUMBER(F130),ISNUMBER(G130)),C130+(0.5-E130)*(C131-C130)/(E131-E130),"")</f>
        <v/>
      </c>
      <c r="I130" s="22" t="e">
        <f t="shared" ref="I130:I193" si="15">IF(AND(ISNUMBER(E130),ISNUMBER($M$15)),C130-$M$15,NA())</f>
        <v>#N/A</v>
      </c>
      <c r="J130" s="28" t="e">
        <f t="shared" ref="J130:J193" si="16">IF(ISNUMBER(E130),E130,NA())</f>
        <v>#N/A</v>
      </c>
      <c r="K130" s="22" t="str">
        <f t="shared" ref="K130:K193" si="17">IF(AND(ISNUMBER(C130),ISNUMBER(C131)),SIGN(C131-C130),"")</f>
        <v/>
      </c>
    </row>
    <row r="131" spans="3:11" x14ac:dyDescent="0.3">
      <c r="C131" s="22" t="str">
        <f t="shared" si="12"/>
        <v/>
      </c>
      <c r="D131" s="28" t="str">
        <f>IF(ISNUMBER(B131),AVERAGE(INDEX($B$2:$B$301,MAX(1,130-semi)):INDEX($B$2:$B$301,MIN($M$2,130+semi))),"")</f>
        <v/>
      </c>
      <c r="E131" s="28" t="str">
        <f t="shared" si="13"/>
        <v/>
      </c>
      <c r="F131" s="22" t="str">
        <f>IF(AND(ISNUMBER(E131),ISNUMBER(E132),ISNUMBER($M$6)),IF(AND(131&lt;$M$6,E131&lt;0.5,E132&gt;=0.5),131,""),"")</f>
        <v/>
      </c>
      <c r="G131" s="22" t="str">
        <f>IF(AND(ISNUMBER(E131),ISNUMBER(E132),ISNUMBER($M$6)),IF(AND(131&gt;=$M$6,E131&gt;=0.5,E132&lt;0.5),131,""),"")</f>
        <v/>
      </c>
      <c r="H131" s="22" t="str">
        <f t="shared" si="14"/>
        <v/>
      </c>
      <c r="I131" s="22" t="e">
        <f t="shared" si="15"/>
        <v>#N/A</v>
      </c>
      <c r="J131" s="28" t="e">
        <f t="shared" si="16"/>
        <v>#N/A</v>
      </c>
      <c r="K131" s="22" t="str">
        <f t="shared" si="17"/>
        <v/>
      </c>
    </row>
    <row r="132" spans="3:11" x14ac:dyDescent="0.3">
      <c r="C132" s="22" t="str">
        <f t="shared" si="12"/>
        <v/>
      </c>
      <c r="D132" s="28" t="str">
        <f>IF(ISNUMBER(B132),AVERAGE(INDEX($B$2:$B$301,MAX(1,131-semi)):INDEX($B$2:$B$301,MIN($M$2,131+semi))),"")</f>
        <v/>
      </c>
      <c r="E132" s="28" t="str">
        <f t="shared" si="13"/>
        <v/>
      </c>
      <c r="F132" s="22" t="str">
        <f>IF(AND(ISNUMBER(E132),ISNUMBER(E133),ISNUMBER($M$6)),IF(AND(132&lt;$M$6,E132&lt;0.5,E133&gt;=0.5),132,""),"")</f>
        <v/>
      </c>
      <c r="G132" s="22" t="str">
        <f>IF(AND(ISNUMBER(E132),ISNUMBER(E133),ISNUMBER($M$6)),IF(AND(132&gt;=$M$6,E132&gt;=0.5,E133&lt;0.5),132,""),"")</f>
        <v/>
      </c>
      <c r="H132" s="22" t="str">
        <f t="shared" si="14"/>
        <v/>
      </c>
      <c r="I132" s="22" t="e">
        <f t="shared" si="15"/>
        <v>#N/A</v>
      </c>
      <c r="J132" s="28" t="e">
        <f t="shared" si="16"/>
        <v>#N/A</v>
      </c>
      <c r="K132" s="22" t="str">
        <f t="shared" si="17"/>
        <v/>
      </c>
    </row>
    <row r="133" spans="3:11" x14ac:dyDescent="0.3">
      <c r="C133" s="22" t="str">
        <f t="shared" si="12"/>
        <v/>
      </c>
      <c r="D133" s="28" t="str">
        <f>IF(ISNUMBER(B133),AVERAGE(INDEX($B$2:$B$301,MAX(1,132-semi)):INDEX($B$2:$B$301,MIN($M$2,132+semi))),"")</f>
        <v/>
      </c>
      <c r="E133" s="28" t="str">
        <f t="shared" si="13"/>
        <v/>
      </c>
      <c r="F133" s="22" t="str">
        <f>IF(AND(ISNUMBER(E133),ISNUMBER(E134),ISNUMBER($M$6)),IF(AND(133&lt;$M$6,E133&lt;0.5,E134&gt;=0.5),133,""),"")</f>
        <v/>
      </c>
      <c r="G133" s="22" t="str">
        <f>IF(AND(ISNUMBER(E133),ISNUMBER(E134),ISNUMBER($M$6)),IF(AND(133&gt;=$M$6,E133&gt;=0.5,E134&lt;0.5),133,""),"")</f>
        <v/>
      </c>
      <c r="H133" s="22" t="str">
        <f t="shared" si="14"/>
        <v/>
      </c>
      <c r="I133" s="22" t="e">
        <f t="shared" si="15"/>
        <v>#N/A</v>
      </c>
      <c r="J133" s="28" t="e">
        <f t="shared" si="16"/>
        <v>#N/A</v>
      </c>
      <c r="K133" s="22" t="str">
        <f t="shared" si="17"/>
        <v/>
      </c>
    </row>
    <row r="134" spans="3:11" x14ac:dyDescent="0.3">
      <c r="C134" s="22" t="str">
        <f t="shared" si="12"/>
        <v/>
      </c>
      <c r="D134" s="28" t="str">
        <f>IF(ISNUMBER(B134),AVERAGE(INDEX($B$2:$B$301,MAX(1,133-semi)):INDEX($B$2:$B$301,MIN($M$2,133+semi))),"")</f>
        <v/>
      </c>
      <c r="E134" s="28" t="str">
        <f t="shared" si="13"/>
        <v/>
      </c>
      <c r="F134" s="22" t="str">
        <f>IF(AND(ISNUMBER(E134),ISNUMBER(E135),ISNUMBER($M$6)),IF(AND(134&lt;$M$6,E134&lt;0.5,E135&gt;=0.5),134,""),"")</f>
        <v/>
      </c>
      <c r="G134" s="22" t="str">
        <f>IF(AND(ISNUMBER(E134),ISNUMBER(E135),ISNUMBER($M$6)),IF(AND(134&gt;=$M$6,E134&gt;=0.5,E135&lt;0.5),134,""),"")</f>
        <v/>
      </c>
      <c r="H134" s="22" t="str">
        <f t="shared" si="14"/>
        <v/>
      </c>
      <c r="I134" s="22" t="e">
        <f t="shared" si="15"/>
        <v>#N/A</v>
      </c>
      <c r="J134" s="28" t="e">
        <f t="shared" si="16"/>
        <v>#N/A</v>
      </c>
      <c r="K134" s="22" t="str">
        <f t="shared" si="17"/>
        <v/>
      </c>
    </row>
    <row r="135" spans="3:11" x14ac:dyDescent="0.3">
      <c r="C135" s="22" t="str">
        <f t="shared" si="12"/>
        <v/>
      </c>
      <c r="D135" s="28" t="str">
        <f>IF(ISNUMBER(B135),AVERAGE(INDEX($B$2:$B$301,MAX(1,134-semi)):INDEX($B$2:$B$301,MIN($M$2,134+semi))),"")</f>
        <v/>
      </c>
      <c r="E135" s="28" t="str">
        <f t="shared" si="13"/>
        <v/>
      </c>
      <c r="F135" s="22" t="str">
        <f>IF(AND(ISNUMBER(E135),ISNUMBER(E136),ISNUMBER($M$6)),IF(AND(135&lt;$M$6,E135&lt;0.5,E136&gt;=0.5),135,""),"")</f>
        <v/>
      </c>
      <c r="G135" s="22" t="str">
        <f>IF(AND(ISNUMBER(E135),ISNUMBER(E136),ISNUMBER($M$6)),IF(AND(135&gt;=$M$6,E135&gt;=0.5,E136&lt;0.5),135,""),"")</f>
        <v/>
      </c>
      <c r="H135" s="22" t="str">
        <f t="shared" si="14"/>
        <v/>
      </c>
      <c r="I135" s="22" t="e">
        <f t="shared" si="15"/>
        <v>#N/A</v>
      </c>
      <c r="J135" s="28" t="e">
        <f t="shared" si="16"/>
        <v>#N/A</v>
      </c>
      <c r="K135" s="22" t="str">
        <f t="shared" si="17"/>
        <v/>
      </c>
    </row>
    <row r="136" spans="3:11" x14ac:dyDescent="0.3">
      <c r="C136" s="22" t="str">
        <f t="shared" si="12"/>
        <v/>
      </c>
      <c r="D136" s="28" t="str">
        <f>IF(ISNUMBER(B136),AVERAGE(INDEX($B$2:$B$301,MAX(1,135-semi)):INDEX($B$2:$B$301,MIN($M$2,135+semi))),"")</f>
        <v/>
      </c>
      <c r="E136" s="28" t="str">
        <f t="shared" si="13"/>
        <v/>
      </c>
      <c r="F136" s="22" t="str">
        <f>IF(AND(ISNUMBER(E136),ISNUMBER(E137),ISNUMBER($M$6)),IF(AND(136&lt;$M$6,E136&lt;0.5,E137&gt;=0.5),136,""),"")</f>
        <v/>
      </c>
      <c r="G136" s="22" t="str">
        <f>IF(AND(ISNUMBER(E136),ISNUMBER(E137),ISNUMBER($M$6)),IF(AND(136&gt;=$M$6,E136&gt;=0.5,E137&lt;0.5),136,""),"")</f>
        <v/>
      </c>
      <c r="H136" s="22" t="str">
        <f t="shared" si="14"/>
        <v/>
      </c>
      <c r="I136" s="22" t="e">
        <f t="shared" si="15"/>
        <v>#N/A</v>
      </c>
      <c r="J136" s="28" t="e">
        <f t="shared" si="16"/>
        <v>#N/A</v>
      </c>
      <c r="K136" s="22" t="str">
        <f t="shared" si="17"/>
        <v/>
      </c>
    </row>
    <row r="137" spans="3:11" x14ac:dyDescent="0.3">
      <c r="C137" s="22" t="str">
        <f t="shared" si="12"/>
        <v/>
      </c>
      <c r="D137" s="28" t="str">
        <f>IF(ISNUMBER(B137),AVERAGE(INDEX($B$2:$B$301,MAX(1,136-semi)):INDEX($B$2:$B$301,MIN($M$2,136+semi))),"")</f>
        <v/>
      </c>
      <c r="E137" s="28" t="str">
        <f t="shared" si="13"/>
        <v/>
      </c>
      <c r="F137" s="22" t="str">
        <f>IF(AND(ISNUMBER(E137),ISNUMBER(E138),ISNUMBER($M$6)),IF(AND(137&lt;$M$6,E137&lt;0.5,E138&gt;=0.5),137,""),"")</f>
        <v/>
      </c>
      <c r="G137" s="22" t="str">
        <f>IF(AND(ISNUMBER(E137),ISNUMBER(E138),ISNUMBER($M$6)),IF(AND(137&gt;=$M$6,E137&gt;=0.5,E138&lt;0.5),137,""),"")</f>
        <v/>
      </c>
      <c r="H137" s="22" t="str">
        <f t="shared" si="14"/>
        <v/>
      </c>
      <c r="I137" s="22" t="e">
        <f t="shared" si="15"/>
        <v>#N/A</v>
      </c>
      <c r="J137" s="28" t="e">
        <f t="shared" si="16"/>
        <v>#N/A</v>
      </c>
      <c r="K137" s="22" t="str">
        <f t="shared" si="17"/>
        <v/>
      </c>
    </row>
    <row r="138" spans="3:11" x14ac:dyDescent="0.3">
      <c r="C138" s="22" t="str">
        <f t="shared" si="12"/>
        <v/>
      </c>
      <c r="D138" s="28" t="str">
        <f>IF(ISNUMBER(B138),AVERAGE(INDEX($B$2:$B$301,MAX(1,137-semi)):INDEX($B$2:$B$301,MIN($M$2,137+semi))),"")</f>
        <v/>
      </c>
      <c r="E138" s="28" t="str">
        <f t="shared" si="13"/>
        <v/>
      </c>
      <c r="F138" s="22" t="str">
        <f>IF(AND(ISNUMBER(E138),ISNUMBER(E139),ISNUMBER($M$6)),IF(AND(138&lt;$M$6,E138&lt;0.5,E139&gt;=0.5),138,""),"")</f>
        <v/>
      </c>
      <c r="G138" s="22" t="str">
        <f>IF(AND(ISNUMBER(E138),ISNUMBER(E139),ISNUMBER($M$6)),IF(AND(138&gt;=$M$6,E138&gt;=0.5,E139&lt;0.5),138,""),"")</f>
        <v/>
      </c>
      <c r="H138" s="22" t="str">
        <f t="shared" si="14"/>
        <v/>
      </c>
      <c r="I138" s="22" t="e">
        <f t="shared" si="15"/>
        <v>#N/A</v>
      </c>
      <c r="J138" s="28" t="e">
        <f t="shared" si="16"/>
        <v>#N/A</v>
      </c>
      <c r="K138" s="22" t="str">
        <f t="shared" si="17"/>
        <v/>
      </c>
    </row>
    <row r="139" spans="3:11" x14ac:dyDescent="0.3">
      <c r="C139" s="22" t="str">
        <f t="shared" si="12"/>
        <v/>
      </c>
      <c r="D139" s="28" t="str">
        <f>IF(ISNUMBER(B139),AVERAGE(INDEX($B$2:$B$301,MAX(1,138-semi)):INDEX($B$2:$B$301,MIN($M$2,138+semi))),"")</f>
        <v/>
      </c>
      <c r="E139" s="28" t="str">
        <f t="shared" si="13"/>
        <v/>
      </c>
      <c r="F139" s="22" t="str">
        <f>IF(AND(ISNUMBER(E139),ISNUMBER(E140),ISNUMBER($M$6)),IF(AND(139&lt;$M$6,E139&lt;0.5,E140&gt;=0.5),139,""),"")</f>
        <v/>
      </c>
      <c r="G139" s="22" t="str">
        <f>IF(AND(ISNUMBER(E139),ISNUMBER(E140),ISNUMBER($M$6)),IF(AND(139&gt;=$M$6,E139&gt;=0.5,E140&lt;0.5),139,""),"")</f>
        <v/>
      </c>
      <c r="H139" s="22" t="str">
        <f t="shared" si="14"/>
        <v/>
      </c>
      <c r="I139" s="22" t="e">
        <f t="shared" si="15"/>
        <v>#N/A</v>
      </c>
      <c r="J139" s="28" t="e">
        <f t="shared" si="16"/>
        <v>#N/A</v>
      </c>
      <c r="K139" s="22" t="str">
        <f t="shared" si="17"/>
        <v/>
      </c>
    </row>
    <row r="140" spans="3:11" x14ac:dyDescent="0.3">
      <c r="C140" s="22" t="str">
        <f t="shared" si="12"/>
        <v/>
      </c>
      <c r="D140" s="28" t="str">
        <f>IF(ISNUMBER(B140),AVERAGE(INDEX($B$2:$B$301,MAX(1,139-semi)):INDEX($B$2:$B$301,MIN($M$2,139+semi))),"")</f>
        <v/>
      </c>
      <c r="E140" s="28" t="str">
        <f t="shared" si="13"/>
        <v/>
      </c>
      <c r="F140" s="22" t="str">
        <f>IF(AND(ISNUMBER(E140),ISNUMBER(E141),ISNUMBER($M$6)),IF(AND(140&lt;$M$6,E140&lt;0.5,E141&gt;=0.5),140,""),"")</f>
        <v/>
      </c>
      <c r="G140" s="22" t="str">
        <f>IF(AND(ISNUMBER(E140),ISNUMBER(E141),ISNUMBER($M$6)),IF(AND(140&gt;=$M$6,E140&gt;=0.5,E141&lt;0.5),140,""),"")</f>
        <v/>
      </c>
      <c r="H140" s="22" t="str">
        <f t="shared" si="14"/>
        <v/>
      </c>
      <c r="I140" s="22" t="e">
        <f t="shared" si="15"/>
        <v>#N/A</v>
      </c>
      <c r="J140" s="28" t="e">
        <f t="shared" si="16"/>
        <v>#N/A</v>
      </c>
      <c r="K140" s="22" t="str">
        <f t="shared" si="17"/>
        <v/>
      </c>
    </row>
    <row r="141" spans="3:11" x14ac:dyDescent="0.3">
      <c r="C141" s="22" t="str">
        <f t="shared" si="12"/>
        <v/>
      </c>
      <c r="D141" s="28" t="str">
        <f>IF(ISNUMBER(B141),AVERAGE(INDEX($B$2:$B$301,MAX(1,140-semi)):INDEX($B$2:$B$301,MIN($M$2,140+semi))),"")</f>
        <v/>
      </c>
      <c r="E141" s="28" t="str">
        <f t="shared" si="13"/>
        <v/>
      </c>
      <c r="F141" s="22" t="str">
        <f>IF(AND(ISNUMBER(E141),ISNUMBER(E142),ISNUMBER($M$6)),IF(AND(141&lt;$M$6,E141&lt;0.5,E142&gt;=0.5),141,""),"")</f>
        <v/>
      </c>
      <c r="G141" s="22" t="str">
        <f>IF(AND(ISNUMBER(E141),ISNUMBER(E142),ISNUMBER($M$6)),IF(AND(141&gt;=$M$6,E141&gt;=0.5,E142&lt;0.5),141,""),"")</f>
        <v/>
      </c>
      <c r="H141" s="22" t="str">
        <f t="shared" si="14"/>
        <v/>
      </c>
      <c r="I141" s="22" t="e">
        <f t="shared" si="15"/>
        <v>#N/A</v>
      </c>
      <c r="J141" s="28" t="e">
        <f t="shared" si="16"/>
        <v>#N/A</v>
      </c>
      <c r="K141" s="22" t="str">
        <f t="shared" si="17"/>
        <v/>
      </c>
    </row>
    <row r="142" spans="3:11" x14ac:dyDescent="0.3">
      <c r="C142" s="22" t="str">
        <f t="shared" si="12"/>
        <v/>
      </c>
      <c r="D142" s="28" t="str">
        <f>IF(ISNUMBER(B142),AVERAGE(INDEX($B$2:$B$301,MAX(1,141-semi)):INDEX($B$2:$B$301,MIN($M$2,141+semi))),"")</f>
        <v/>
      </c>
      <c r="E142" s="28" t="str">
        <f t="shared" si="13"/>
        <v/>
      </c>
      <c r="F142" s="22" t="str">
        <f>IF(AND(ISNUMBER(E142),ISNUMBER(E143),ISNUMBER($M$6)),IF(AND(142&lt;$M$6,E142&lt;0.5,E143&gt;=0.5),142,""),"")</f>
        <v/>
      </c>
      <c r="G142" s="22" t="str">
        <f>IF(AND(ISNUMBER(E142),ISNUMBER(E143),ISNUMBER($M$6)),IF(AND(142&gt;=$M$6,E142&gt;=0.5,E143&lt;0.5),142,""),"")</f>
        <v/>
      </c>
      <c r="H142" s="22" t="str">
        <f t="shared" si="14"/>
        <v/>
      </c>
      <c r="I142" s="22" t="e">
        <f t="shared" si="15"/>
        <v>#N/A</v>
      </c>
      <c r="J142" s="28" t="e">
        <f t="shared" si="16"/>
        <v>#N/A</v>
      </c>
      <c r="K142" s="22" t="str">
        <f t="shared" si="17"/>
        <v/>
      </c>
    </row>
    <row r="143" spans="3:11" x14ac:dyDescent="0.3">
      <c r="C143" s="22" t="str">
        <f t="shared" si="12"/>
        <v/>
      </c>
      <c r="D143" s="28" t="str">
        <f>IF(ISNUMBER(B143),AVERAGE(INDEX($B$2:$B$301,MAX(1,142-semi)):INDEX($B$2:$B$301,MIN($M$2,142+semi))),"")</f>
        <v/>
      </c>
      <c r="E143" s="28" t="str">
        <f t="shared" si="13"/>
        <v/>
      </c>
      <c r="F143" s="22" t="str">
        <f>IF(AND(ISNUMBER(E143),ISNUMBER(E144),ISNUMBER($M$6)),IF(AND(143&lt;$M$6,E143&lt;0.5,E144&gt;=0.5),143,""),"")</f>
        <v/>
      </c>
      <c r="G143" s="22" t="str">
        <f>IF(AND(ISNUMBER(E143),ISNUMBER(E144),ISNUMBER($M$6)),IF(AND(143&gt;=$M$6,E143&gt;=0.5,E144&lt;0.5),143,""),"")</f>
        <v/>
      </c>
      <c r="H143" s="22" t="str">
        <f t="shared" si="14"/>
        <v/>
      </c>
      <c r="I143" s="22" t="e">
        <f t="shared" si="15"/>
        <v>#N/A</v>
      </c>
      <c r="J143" s="28" t="e">
        <f t="shared" si="16"/>
        <v>#N/A</v>
      </c>
      <c r="K143" s="22" t="str">
        <f t="shared" si="17"/>
        <v/>
      </c>
    </row>
    <row r="144" spans="3:11" x14ac:dyDescent="0.3">
      <c r="C144" s="22" t="str">
        <f t="shared" si="12"/>
        <v/>
      </c>
      <c r="D144" s="28" t="str">
        <f>IF(ISNUMBER(B144),AVERAGE(INDEX($B$2:$B$301,MAX(1,143-semi)):INDEX($B$2:$B$301,MIN($M$2,143+semi))),"")</f>
        <v/>
      </c>
      <c r="E144" s="28" t="str">
        <f t="shared" si="13"/>
        <v/>
      </c>
      <c r="F144" s="22" t="str">
        <f>IF(AND(ISNUMBER(E144),ISNUMBER(E145),ISNUMBER($M$6)),IF(AND(144&lt;$M$6,E144&lt;0.5,E145&gt;=0.5),144,""),"")</f>
        <v/>
      </c>
      <c r="G144" s="22" t="str">
        <f>IF(AND(ISNUMBER(E144),ISNUMBER(E145),ISNUMBER($M$6)),IF(AND(144&gt;=$M$6,E144&gt;=0.5,E145&lt;0.5),144,""),"")</f>
        <v/>
      </c>
      <c r="H144" s="22" t="str">
        <f t="shared" si="14"/>
        <v/>
      </c>
      <c r="I144" s="22" t="e">
        <f t="shared" si="15"/>
        <v>#N/A</v>
      </c>
      <c r="J144" s="28" t="e">
        <f t="shared" si="16"/>
        <v>#N/A</v>
      </c>
      <c r="K144" s="22" t="str">
        <f t="shared" si="17"/>
        <v/>
      </c>
    </row>
    <row r="145" spans="3:11" x14ac:dyDescent="0.3">
      <c r="C145" s="22" t="str">
        <f t="shared" si="12"/>
        <v/>
      </c>
      <c r="D145" s="28" t="str">
        <f>IF(ISNUMBER(B145),AVERAGE(INDEX($B$2:$B$301,MAX(1,144-semi)):INDEX($B$2:$B$301,MIN($M$2,144+semi))),"")</f>
        <v/>
      </c>
      <c r="E145" s="28" t="str">
        <f t="shared" si="13"/>
        <v/>
      </c>
      <c r="F145" s="22" t="str">
        <f>IF(AND(ISNUMBER(E145),ISNUMBER(E146),ISNUMBER($M$6)),IF(AND(145&lt;$M$6,E145&lt;0.5,E146&gt;=0.5),145,""),"")</f>
        <v/>
      </c>
      <c r="G145" s="22" t="str">
        <f>IF(AND(ISNUMBER(E145),ISNUMBER(E146),ISNUMBER($M$6)),IF(AND(145&gt;=$M$6,E145&gt;=0.5,E146&lt;0.5),145,""),"")</f>
        <v/>
      </c>
      <c r="H145" s="22" t="str">
        <f t="shared" si="14"/>
        <v/>
      </c>
      <c r="I145" s="22" t="e">
        <f t="shared" si="15"/>
        <v>#N/A</v>
      </c>
      <c r="J145" s="28" t="e">
        <f t="shared" si="16"/>
        <v>#N/A</v>
      </c>
      <c r="K145" s="22" t="str">
        <f t="shared" si="17"/>
        <v/>
      </c>
    </row>
    <row r="146" spans="3:11" x14ac:dyDescent="0.3">
      <c r="C146" s="22" t="str">
        <f t="shared" si="12"/>
        <v/>
      </c>
      <c r="D146" s="28" t="str">
        <f>IF(ISNUMBER(B146),AVERAGE(INDEX($B$2:$B$301,MAX(1,145-semi)):INDEX($B$2:$B$301,MIN($M$2,145+semi))),"")</f>
        <v/>
      </c>
      <c r="E146" s="28" t="str">
        <f t="shared" si="13"/>
        <v/>
      </c>
      <c r="F146" s="22" t="str">
        <f>IF(AND(ISNUMBER(E146),ISNUMBER(E147),ISNUMBER($M$6)),IF(AND(146&lt;$M$6,E146&lt;0.5,E147&gt;=0.5),146,""),"")</f>
        <v/>
      </c>
      <c r="G146" s="22" t="str">
        <f>IF(AND(ISNUMBER(E146),ISNUMBER(E147),ISNUMBER($M$6)),IF(AND(146&gt;=$M$6,E146&gt;=0.5,E147&lt;0.5),146,""),"")</f>
        <v/>
      </c>
      <c r="H146" s="22" t="str">
        <f t="shared" si="14"/>
        <v/>
      </c>
      <c r="I146" s="22" t="e">
        <f t="shared" si="15"/>
        <v>#N/A</v>
      </c>
      <c r="J146" s="28" t="e">
        <f t="shared" si="16"/>
        <v>#N/A</v>
      </c>
      <c r="K146" s="22" t="str">
        <f t="shared" si="17"/>
        <v/>
      </c>
    </row>
    <row r="147" spans="3:11" x14ac:dyDescent="0.3">
      <c r="C147" s="22" t="str">
        <f t="shared" si="12"/>
        <v/>
      </c>
      <c r="D147" s="28" t="str">
        <f>IF(ISNUMBER(B147),AVERAGE(INDEX($B$2:$B$301,MAX(1,146-semi)):INDEX($B$2:$B$301,MIN($M$2,146+semi))),"")</f>
        <v/>
      </c>
      <c r="E147" s="28" t="str">
        <f t="shared" si="13"/>
        <v/>
      </c>
      <c r="F147" s="22" t="str">
        <f>IF(AND(ISNUMBER(E147),ISNUMBER(E148),ISNUMBER($M$6)),IF(AND(147&lt;$M$6,E147&lt;0.5,E148&gt;=0.5),147,""),"")</f>
        <v/>
      </c>
      <c r="G147" s="22" t="str">
        <f>IF(AND(ISNUMBER(E147),ISNUMBER(E148),ISNUMBER($M$6)),IF(AND(147&gt;=$M$6,E147&gt;=0.5,E148&lt;0.5),147,""),"")</f>
        <v/>
      </c>
      <c r="H147" s="22" t="str">
        <f t="shared" si="14"/>
        <v/>
      </c>
      <c r="I147" s="22" t="e">
        <f t="shared" si="15"/>
        <v>#N/A</v>
      </c>
      <c r="J147" s="28" t="e">
        <f t="shared" si="16"/>
        <v>#N/A</v>
      </c>
      <c r="K147" s="22" t="str">
        <f t="shared" si="17"/>
        <v/>
      </c>
    </row>
    <row r="148" spans="3:11" x14ac:dyDescent="0.3">
      <c r="C148" s="22" t="str">
        <f t="shared" si="12"/>
        <v/>
      </c>
      <c r="D148" s="28" t="str">
        <f>IF(ISNUMBER(B148),AVERAGE(INDEX($B$2:$B$301,MAX(1,147-semi)):INDEX($B$2:$B$301,MIN($M$2,147+semi))),"")</f>
        <v/>
      </c>
      <c r="E148" s="28" t="str">
        <f t="shared" si="13"/>
        <v/>
      </c>
      <c r="F148" s="22" t="str">
        <f>IF(AND(ISNUMBER(E148),ISNUMBER(E149),ISNUMBER($M$6)),IF(AND(148&lt;$M$6,E148&lt;0.5,E149&gt;=0.5),148,""),"")</f>
        <v/>
      </c>
      <c r="G148" s="22" t="str">
        <f>IF(AND(ISNUMBER(E148),ISNUMBER(E149),ISNUMBER($M$6)),IF(AND(148&gt;=$M$6,E148&gt;=0.5,E149&lt;0.5),148,""),"")</f>
        <v/>
      </c>
      <c r="H148" s="22" t="str">
        <f t="shared" si="14"/>
        <v/>
      </c>
      <c r="I148" s="22" t="e">
        <f t="shared" si="15"/>
        <v>#N/A</v>
      </c>
      <c r="J148" s="28" t="e">
        <f t="shared" si="16"/>
        <v>#N/A</v>
      </c>
      <c r="K148" s="22" t="str">
        <f t="shared" si="17"/>
        <v/>
      </c>
    </row>
    <row r="149" spans="3:11" x14ac:dyDescent="0.3">
      <c r="C149" s="22" t="str">
        <f t="shared" si="12"/>
        <v/>
      </c>
      <c r="D149" s="28" t="str">
        <f>IF(ISNUMBER(B149),AVERAGE(INDEX($B$2:$B$301,MAX(1,148-semi)):INDEX($B$2:$B$301,MIN($M$2,148+semi))),"")</f>
        <v/>
      </c>
      <c r="E149" s="28" t="str">
        <f t="shared" si="13"/>
        <v/>
      </c>
      <c r="F149" s="22" t="str">
        <f>IF(AND(ISNUMBER(E149),ISNUMBER(E150),ISNUMBER($M$6)),IF(AND(149&lt;$M$6,E149&lt;0.5,E150&gt;=0.5),149,""),"")</f>
        <v/>
      </c>
      <c r="G149" s="22" t="str">
        <f>IF(AND(ISNUMBER(E149),ISNUMBER(E150),ISNUMBER($M$6)),IF(AND(149&gt;=$M$6,E149&gt;=0.5,E150&lt;0.5),149,""),"")</f>
        <v/>
      </c>
      <c r="H149" s="22" t="str">
        <f t="shared" si="14"/>
        <v/>
      </c>
      <c r="I149" s="22" t="e">
        <f t="shared" si="15"/>
        <v>#N/A</v>
      </c>
      <c r="J149" s="28" t="e">
        <f t="shared" si="16"/>
        <v>#N/A</v>
      </c>
      <c r="K149" s="22" t="str">
        <f t="shared" si="17"/>
        <v/>
      </c>
    </row>
    <row r="150" spans="3:11" x14ac:dyDescent="0.3">
      <c r="C150" s="22" t="str">
        <f t="shared" si="12"/>
        <v/>
      </c>
      <c r="D150" s="28" t="str">
        <f>IF(ISNUMBER(B150),AVERAGE(INDEX($B$2:$B$301,MAX(1,149-semi)):INDEX($B$2:$B$301,MIN($M$2,149+semi))),"")</f>
        <v/>
      </c>
      <c r="E150" s="28" t="str">
        <f t="shared" si="13"/>
        <v/>
      </c>
      <c r="F150" s="22" t="str">
        <f>IF(AND(ISNUMBER(E150),ISNUMBER(E151),ISNUMBER($M$6)),IF(AND(150&lt;$M$6,E150&lt;0.5,E151&gt;=0.5),150,""),"")</f>
        <v/>
      </c>
      <c r="G150" s="22" t="str">
        <f>IF(AND(ISNUMBER(E150),ISNUMBER(E151),ISNUMBER($M$6)),IF(AND(150&gt;=$M$6,E150&gt;=0.5,E151&lt;0.5),150,""),"")</f>
        <v/>
      </c>
      <c r="H150" s="22" t="str">
        <f t="shared" si="14"/>
        <v/>
      </c>
      <c r="I150" s="22" t="e">
        <f t="shared" si="15"/>
        <v>#N/A</v>
      </c>
      <c r="J150" s="28" t="e">
        <f t="shared" si="16"/>
        <v>#N/A</v>
      </c>
      <c r="K150" s="22" t="str">
        <f t="shared" si="17"/>
        <v/>
      </c>
    </row>
    <row r="151" spans="3:11" x14ac:dyDescent="0.3">
      <c r="C151" s="22" t="str">
        <f t="shared" si="12"/>
        <v/>
      </c>
      <c r="D151" s="28" t="str">
        <f>IF(ISNUMBER(B151),AVERAGE(INDEX($B$2:$B$301,MAX(1,150-semi)):INDEX($B$2:$B$301,MIN($M$2,150+semi))),"")</f>
        <v/>
      </c>
      <c r="E151" s="28" t="str">
        <f t="shared" si="13"/>
        <v/>
      </c>
      <c r="F151" s="22" t="str">
        <f>IF(AND(ISNUMBER(E151),ISNUMBER(E152),ISNUMBER($M$6)),IF(AND(151&lt;$M$6,E151&lt;0.5,E152&gt;=0.5),151,""),"")</f>
        <v/>
      </c>
      <c r="G151" s="22" t="str">
        <f>IF(AND(ISNUMBER(E151),ISNUMBER(E152),ISNUMBER($M$6)),IF(AND(151&gt;=$M$6,E151&gt;=0.5,E152&lt;0.5),151,""),"")</f>
        <v/>
      </c>
      <c r="H151" s="22" t="str">
        <f t="shared" si="14"/>
        <v/>
      </c>
      <c r="I151" s="22" t="e">
        <f t="shared" si="15"/>
        <v>#N/A</v>
      </c>
      <c r="J151" s="28" t="e">
        <f t="shared" si="16"/>
        <v>#N/A</v>
      </c>
      <c r="K151" s="22" t="str">
        <f t="shared" si="17"/>
        <v/>
      </c>
    </row>
    <row r="152" spans="3:11" x14ac:dyDescent="0.3">
      <c r="C152" s="22" t="str">
        <f t="shared" si="12"/>
        <v/>
      </c>
      <c r="D152" s="28" t="str">
        <f>IF(ISNUMBER(B152),AVERAGE(INDEX($B$2:$B$301,MAX(1,151-semi)):INDEX($B$2:$B$301,MIN($M$2,151+semi))),"")</f>
        <v/>
      </c>
      <c r="E152" s="28" t="str">
        <f t="shared" si="13"/>
        <v/>
      </c>
      <c r="F152" s="22" t="str">
        <f>IF(AND(ISNUMBER(E152),ISNUMBER(E153),ISNUMBER($M$6)),IF(AND(152&lt;$M$6,E152&lt;0.5,E153&gt;=0.5),152,""),"")</f>
        <v/>
      </c>
      <c r="G152" s="22" t="str">
        <f>IF(AND(ISNUMBER(E152),ISNUMBER(E153),ISNUMBER($M$6)),IF(AND(152&gt;=$M$6,E152&gt;=0.5,E153&lt;0.5),152,""),"")</f>
        <v/>
      </c>
      <c r="H152" s="22" t="str">
        <f t="shared" si="14"/>
        <v/>
      </c>
      <c r="I152" s="22" t="e">
        <f t="shared" si="15"/>
        <v>#N/A</v>
      </c>
      <c r="J152" s="28" t="e">
        <f t="shared" si="16"/>
        <v>#N/A</v>
      </c>
      <c r="K152" s="22" t="str">
        <f t="shared" si="17"/>
        <v/>
      </c>
    </row>
    <row r="153" spans="3:11" x14ac:dyDescent="0.3">
      <c r="C153" s="22" t="str">
        <f t="shared" si="12"/>
        <v/>
      </c>
      <c r="D153" s="28" t="str">
        <f>IF(ISNUMBER(B153),AVERAGE(INDEX($B$2:$B$301,MAX(1,152-semi)):INDEX($B$2:$B$301,MIN($M$2,152+semi))),"")</f>
        <v/>
      </c>
      <c r="E153" s="28" t="str">
        <f t="shared" si="13"/>
        <v/>
      </c>
      <c r="F153" s="22" t="str">
        <f>IF(AND(ISNUMBER(E153),ISNUMBER(E154),ISNUMBER($M$6)),IF(AND(153&lt;$M$6,E153&lt;0.5,E154&gt;=0.5),153,""),"")</f>
        <v/>
      </c>
      <c r="G153" s="22" t="str">
        <f>IF(AND(ISNUMBER(E153),ISNUMBER(E154),ISNUMBER($M$6)),IF(AND(153&gt;=$M$6,E153&gt;=0.5,E154&lt;0.5),153,""),"")</f>
        <v/>
      </c>
      <c r="H153" s="22" t="str">
        <f t="shared" si="14"/>
        <v/>
      </c>
      <c r="I153" s="22" t="e">
        <f t="shared" si="15"/>
        <v>#N/A</v>
      </c>
      <c r="J153" s="28" t="e">
        <f t="shared" si="16"/>
        <v>#N/A</v>
      </c>
      <c r="K153" s="22" t="str">
        <f t="shared" si="17"/>
        <v/>
      </c>
    </row>
    <row r="154" spans="3:11" x14ac:dyDescent="0.3">
      <c r="C154" s="22" t="str">
        <f t="shared" si="12"/>
        <v/>
      </c>
      <c r="D154" s="28" t="str">
        <f>IF(ISNUMBER(B154),AVERAGE(INDEX($B$2:$B$301,MAX(1,153-semi)):INDEX($B$2:$B$301,MIN($M$2,153+semi))),"")</f>
        <v/>
      </c>
      <c r="E154" s="28" t="str">
        <f t="shared" si="13"/>
        <v/>
      </c>
      <c r="F154" s="22" t="str">
        <f>IF(AND(ISNUMBER(E154),ISNUMBER(E155),ISNUMBER($M$6)),IF(AND(154&lt;$M$6,E154&lt;0.5,E155&gt;=0.5),154,""),"")</f>
        <v/>
      </c>
      <c r="G154" s="22" t="str">
        <f>IF(AND(ISNUMBER(E154),ISNUMBER(E155),ISNUMBER($M$6)),IF(AND(154&gt;=$M$6,E154&gt;=0.5,E155&lt;0.5),154,""),"")</f>
        <v/>
      </c>
      <c r="H154" s="22" t="str">
        <f t="shared" si="14"/>
        <v/>
      </c>
      <c r="I154" s="22" t="e">
        <f t="shared" si="15"/>
        <v>#N/A</v>
      </c>
      <c r="J154" s="28" t="e">
        <f t="shared" si="16"/>
        <v>#N/A</v>
      </c>
      <c r="K154" s="22" t="str">
        <f t="shared" si="17"/>
        <v/>
      </c>
    </row>
    <row r="155" spans="3:11" x14ac:dyDescent="0.3">
      <c r="C155" s="22" t="str">
        <f t="shared" si="12"/>
        <v/>
      </c>
      <c r="D155" s="28" t="str">
        <f>IF(ISNUMBER(B155),AVERAGE(INDEX($B$2:$B$301,MAX(1,154-semi)):INDEX($B$2:$B$301,MIN($M$2,154+semi))),"")</f>
        <v/>
      </c>
      <c r="E155" s="28" t="str">
        <f t="shared" si="13"/>
        <v/>
      </c>
      <c r="F155" s="22" t="str">
        <f>IF(AND(ISNUMBER(E155),ISNUMBER(E156),ISNUMBER($M$6)),IF(AND(155&lt;$M$6,E155&lt;0.5,E156&gt;=0.5),155,""),"")</f>
        <v/>
      </c>
      <c r="G155" s="22" t="str">
        <f>IF(AND(ISNUMBER(E155),ISNUMBER(E156),ISNUMBER($M$6)),IF(AND(155&gt;=$M$6,E155&gt;=0.5,E156&lt;0.5),155,""),"")</f>
        <v/>
      </c>
      <c r="H155" s="22" t="str">
        <f t="shared" si="14"/>
        <v/>
      </c>
      <c r="I155" s="22" t="e">
        <f t="shared" si="15"/>
        <v>#N/A</v>
      </c>
      <c r="J155" s="28" t="e">
        <f t="shared" si="16"/>
        <v>#N/A</v>
      </c>
      <c r="K155" s="22" t="str">
        <f t="shared" si="17"/>
        <v/>
      </c>
    </row>
    <row r="156" spans="3:11" x14ac:dyDescent="0.3">
      <c r="C156" s="22" t="str">
        <f t="shared" si="12"/>
        <v/>
      </c>
      <c r="D156" s="28" t="str">
        <f>IF(ISNUMBER(B156),AVERAGE(INDEX($B$2:$B$301,MAX(1,155-semi)):INDEX($B$2:$B$301,MIN($M$2,155+semi))),"")</f>
        <v/>
      </c>
      <c r="E156" s="28" t="str">
        <f t="shared" si="13"/>
        <v/>
      </c>
      <c r="F156" s="22" t="str">
        <f>IF(AND(ISNUMBER(E156),ISNUMBER(E157),ISNUMBER($M$6)),IF(AND(156&lt;$M$6,E156&lt;0.5,E157&gt;=0.5),156,""),"")</f>
        <v/>
      </c>
      <c r="G156" s="22" t="str">
        <f>IF(AND(ISNUMBER(E156),ISNUMBER(E157),ISNUMBER($M$6)),IF(AND(156&gt;=$M$6,E156&gt;=0.5,E157&lt;0.5),156,""),"")</f>
        <v/>
      </c>
      <c r="H156" s="22" t="str">
        <f t="shared" si="14"/>
        <v/>
      </c>
      <c r="I156" s="22" t="e">
        <f t="shared" si="15"/>
        <v>#N/A</v>
      </c>
      <c r="J156" s="28" t="e">
        <f t="shared" si="16"/>
        <v>#N/A</v>
      </c>
      <c r="K156" s="22" t="str">
        <f t="shared" si="17"/>
        <v/>
      </c>
    </row>
    <row r="157" spans="3:11" x14ac:dyDescent="0.3">
      <c r="C157" s="22" t="str">
        <f t="shared" si="12"/>
        <v/>
      </c>
      <c r="D157" s="28" t="str">
        <f>IF(ISNUMBER(B157),AVERAGE(INDEX($B$2:$B$301,MAX(1,156-semi)):INDEX($B$2:$B$301,MIN($M$2,156+semi))),"")</f>
        <v/>
      </c>
      <c r="E157" s="28" t="str">
        <f t="shared" si="13"/>
        <v/>
      </c>
      <c r="F157" s="22" t="str">
        <f>IF(AND(ISNUMBER(E157),ISNUMBER(E158),ISNUMBER($M$6)),IF(AND(157&lt;$M$6,E157&lt;0.5,E158&gt;=0.5),157,""),"")</f>
        <v/>
      </c>
      <c r="G157" s="22" t="str">
        <f>IF(AND(ISNUMBER(E157),ISNUMBER(E158),ISNUMBER($M$6)),IF(AND(157&gt;=$M$6,E157&gt;=0.5,E158&lt;0.5),157,""),"")</f>
        <v/>
      </c>
      <c r="H157" s="22" t="str">
        <f t="shared" si="14"/>
        <v/>
      </c>
      <c r="I157" s="22" t="e">
        <f t="shared" si="15"/>
        <v>#N/A</v>
      </c>
      <c r="J157" s="28" t="e">
        <f t="shared" si="16"/>
        <v>#N/A</v>
      </c>
      <c r="K157" s="22" t="str">
        <f t="shared" si="17"/>
        <v/>
      </c>
    </row>
    <row r="158" spans="3:11" x14ac:dyDescent="0.3">
      <c r="C158" s="22" t="str">
        <f t="shared" si="12"/>
        <v/>
      </c>
      <c r="D158" s="28" t="str">
        <f>IF(ISNUMBER(B158),AVERAGE(INDEX($B$2:$B$301,MAX(1,157-semi)):INDEX($B$2:$B$301,MIN($M$2,157+semi))),"")</f>
        <v/>
      </c>
      <c r="E158" s="28" t="str">
        <f t="shared" si="13"/>
        <v/>
      </c>
      <c r="F158" s="22" t="str">
        <f>IF(AND(ISNUMBER(E158),ISNUMBER(E159),ISNUMBER($M$6)),IF(AND(158&lt;$M$6,E158&lt;0.5,E159&gt;=0.5),158,""),"")</f>
        <v/>
      </c>
      <c r="G158" s="22" t="str">
        <f>IF(AND(ISNUMBER(E158),ISNUMBER(E159),ISNUMBER($M$6)),IF(AND(158&gt;=$M$6,E158&gt;=0.5,E159&lt;0.5),158,""),"")</f>
        <v/>
      </c>
      <c r="H158" s="22" t="str">
        <f t="shared" si="14"/>
        <v/>
      </c>
      <c r="I158" s="22" t="e">
        <f t="shared" si="15"/>
        <v>#N/A</v>
      </c>
      <c r="J158" s="28" t="e">
        <f t="shared" si="16"/>
        <v>#N/A</v>
      </c>
      <c r="K158" s="22" t="str">
        <f t="shared" si="17"/>
        <v/>
      </c>
    </row>
    <row r="159" spans="3:11" x14ac:dyDescent="0.3">
      <c r="C159" s="22" t="str">
        <f t="shared" si="12"/>
        <v/>
      </c>
      <c r="D159" s="28" t="str">
        <f>IF(ISNUMBER(B159),AVERAGE(INDEX($B$2:$B$301,MAX(1,158-semi)):INDEX($B$2:$B$301,MIN($M$2,158+semi))),"")</f>
        <v/>
      </c>
      <c r="E159" s="28" t="str">
        <f t="shared" si="13"/>
        <v/>
      </c>
      <c r="F159" s="22" t="str">
        <f>IF(AND(ISNUMBER(E159),ISNUMBER(E160),ISNUMBER($M$6)),IF(AND(159&lt;$M$6,E159&lt;0.5,E160&gt;=0.5),159,""),"")</f>
        <v/>
      </c>
      <c r="G159" s="22" t="str">
        <f>IF(AND(ISNUMBER(E159),ISNUMBER(E160),ISNUMBER($M$6)),IF(AND(159&gt;=$M$6,E159&gt;=0.5,E160&lt;0.5),159,""),"")</f>
        <v/>
      </c>
      <c r="H159" s="22" t="str">
        <f t="shared" si="14"/>
        <v/>
      </c>
      <c r="I159" s="22" t="e">
        <f t="shared" si="15"/>
        <v>#N/A</v>
      </c>
      <c r="J159" s="28" t="e">
        <f t="shared" si="16"/>
        <v>#N/A</v>
      </c>
      <c r="K159" s="22" t="str">
        <f t="shared" si="17"/>
        <v/>
      </c>
    </row>
    <row r="160" spans="3:11" x14ac:dyDescent="0.3">
      <c r="C160" s="22" t="str">
        <f t="shared" si="12"/>
        <v/>
      </c>
      <c r="D160" s="28" t="str">
        <f>IF(ISNUMBER(B160),AVERAGE(INDEX($B$2:$B$301,MAX(1,159-semi)):INDEX($B$2:$B$301,MIN($M$2,159+semi))),"")</f>
        <v/>
      </c>
      <c r="E160" s="28" t="str">
        <f t="shared" si="13"/>
        <v/>
      </c>
      <c r="F160" s="22" t="str">
        <f>IF(AND(ISNUMBER(E160),ISNUMBER(E161),ISNUMBER($M$6)),IF(AND(160&lt;$M$6,E160&lt;0.5,E161&gt;=0.5),160,""),"")</f>
        <v/>
      </c>
      <c r="G160" s="22" t="str">
        <f>IF(AND(ISNUMBER(E160),ISNUMBER(E161),ISNUMBER($M$6)),IF(AND(160&gt;=$M$6,E160&gt;=0.5,E161&lt;0.5),160,""),"")</f>
        <v/>
      </c>
      <c r="H160" s="22" t="str">
        <f t="shared" si="14"/>
        <v/>
      </c>
      <c r="I160" s="22" t="e">
        <f t="shared" si="15"/>
        <v>#N/A</v>
      </c>
      <c r="J160" s="28" t="e">
        <f t="shared" si="16"/>
        <v>#N/A</v>
      </c>
      <c r="K160" s="22" t="str">
        <f t="shared" si="17"/>
        <v/>
      </c>
    </row>
    <row r="161" spans="3:11" x14ac:dyDescent="0.3">
      <c r="C161" s="22" t="str">
        <f t="shared" si="12"/>
        <v/>
      </c>
      <c r="D161" s="28" t="str">
        <f>IF(ISNUMBER(B161),AVERAGE(INDEX($B$2:$B$301,MAX(1,160-semi)):INDEX($B$2:$B$301,MIN($M$2,160+semi))),"")</f>
        <v/>
      </c>
      <c r="E161" s="28" t="str">
        <f t="shared" si="13"/>
        <v/>
      </c>
      <c r="F161" s="22" t="str">
        <f>IF(AND(ISNUMBER(E161),ISNUMBER(E162),ISNUMBER($M$6)),IF(AND(161&lt;$M$6,E161&lt;0.5,E162&gt;=0.5),161,""),"")</f>
        <v/>
      </c>
      <c r="G161" s="22" t="str">
        <f>IF(AND(ISNUMBER(E161),ISNUMBER(E162),ISNUMBER($M$6)),IF(AND(161&gt;=$M$6,E161&gt;=0.5,E162&lt;0.5),161,""),"")</f>
        <v/>
      </c>
      <c r="H161" s="22" t="str">
        <f t="shared" si="14"/>
        <v/>
      </c>
      <c r="I161" s="22" t="e">
        <f t="shared" si="15"/>
        <v>#N/A</v>
      </c>
      <c r="J161" s="28" t="e">
        <f t="shared" si="16"/>
        <v>#N/A</v>
      </c>
      <c r="K161" s="22" t="str">
        <f t="shared" si="17"/>
        <v/>
      </c>
    </row>
    <row r="162" spans="3:11" x14ac:dyDescent="0.3">
      <c r="C162" s="22" t="str">
        <f t="shared" si="12"/>
        <v/>
      </c>
      <c r="D162" s="28" t="str">
        <f>IF(ISNUMBER(B162),AVERAGE(INDEX($B$2:$B$301,MAX(1,161-semi)):INDEX($B$2:$B$301,MIN($M$2,161+semi))),"")</f>
        <v/>
      </c>
      <c r="E162" s="28" t="str">
        <f t="shared" si="13"/>
        <v/>
      </c>
      <c r="F162" s="22" t="str">
        <f>IF(AND(ISNUMBER(E162),ISNUMBER(E163),ISNUMBER($M$6)),IF(AND(162&lt;$M$6,E162&lt;0.5,E163&gt;=0.5),162,""),"")</f>
        <v/>
      </c>
      <c r="G162" s="22" t="str">
        <f>IF(AND(ISNUMBER(E162),ISNUMBER(E163),ISNUMBER($M$6)),IF(AND(162&gt;=$M$6,E162&gt;=0.5,E163&lt;0.5),162,""),"")</f>
        <v/>
      </c>
      <c r="H162" s="22" t="str">
        <f t="shared" si="14"/>
        <v/>
      </c>
      <c r="I162" s="22" t="e">
        <f t="shared" si="15"/>
        <v>#N/A</v>
      </c>
      <c r="J162" s="28" t="e">
        <f t="shared" si="16"/>
        <v>#N/A</v>
      </c>
      <c r="K162" s="22" t="str">
        <f t="shared" si="17"/>
        <v/>
      </c>
    </row>
    <row r="163" spans="3:11" x14ac:dyDescent="0.3">
      <c r="C163" s="22" t="str">
        <f t="shared" si="12"/>
        <v/>
      </c>
      <c r="D163" s="28" t="str">
        <f>IF(ISNUMBER(B163),AVERAGE(INDEX($B$2:$B$301,MAX(1,162-semi)):INDEX($B$2:$B$301,MIN($M$2,162+semi))),"")</f>
        <v/>
      </c>
      <c r="E163" s="28" t="str">
        <f t="shared" si="13"/>
        <v/>
      </c>
      <c r="F163" s="22" t="str">
        <f>IF(AND(ISNUMBER(E163),ISNUMBER(E164),ISNUMBER($M$6)),IF(AND(163&lt;$M$6,E163&lt;0.5,E164&gt;=0.5),163,""),"")</f>
        <v/>
      </c>
      <c r="G163" s="22" t="str">
        <f>IF(AND(ISNUMBER(E163),ISNUMBER(E164),ISNUMBER($M$6)),IF(AND(163&gt;=$M$6,E163&gt;=0.5,E164&lt;0.5),163,""),"")</f>
        <v/>
      </c>
      <c r="H163" s="22" t="str">
        <f t="shared" si="14"/>
        <v/>
      </c>
      <c r="I163" s="22" t="e">
        <f t="shared" si="15"/>
        <v>#N/A</v>
      </c>
      <c r="J163" s="28" t="e">
        <f t="shared" si="16"/>
        <v>#N/A</v>
      </c>
      <c r="K163" s="22" t="str">
        <f t="shared" si="17"/>
        <v/>
      </c>
    </row>
    <row r="164" spans="3:11" x14ac:dyDescent="0.3">
      <c r="C164" s="22" t="str">
        <f t="shared" si="12"/>
        <v/>
      </c>
      <c r="D164" s="28" t="str">
        <f>IF(ISNUMBER(B164),AVERAGE(INDEX($B$2:$B$301,MAX(1,163-semi)):INDEX($B$2:$B$301,MIN($M$2,163+semi))),"")</f>
        <v/>
      </c>
      <c r="E164" s="28" t="str">
        <f t="shared" si="13"/>
        <v/>
      </c>
      <c r="F164" s="22" t="str">
        <f>IF(AND(ISNUMBER(E164),ISNUMBER(E165),ISNUMBER($M$6)),IF(AND(164&lt;$M$6,E164&lt;0.5,E165&gt;=0.5),164,""),"")</f>
        <v/>
      </c>
      <c r="G164" s="22" t="str">
        <f>IF(AND(ISNUMBER(E164),ISNUMBER(E165),ISNUMBER($M$6)),IF(AND(164&gt;=$M$6,E164&gt;=0.5,E165&lt;0.5),164,""),"")</f>
        <v/>
      </c>
      <c r="H164" s="22" t="str">
        <f t="shared" si="14"/>
        <v/>
      </c>
      <c r="I164" s="22" t="e">
        <f t="shared" si="15"/>
        <v>#N/A</v>
      </c>
      <c r="J164" s="28" t="e">
        <f t="shared" si="16"/>
        <v>#N/A</v>
      </c>
      <c r="K164" s="22" t="str">
        <f t="shared" si="17"/>
        <v/>
      </c>
    </row>
    <row r="165" spans="3:11" x14ac:dyDescent="0.3">
      <c r="C165" s="22" t="str">
        <f t="shared" si="12"/>
        <v/>
      </c>
      <c r="D165" s="28" t="str">
        <f>IF(ISNUMBER(B165),AVERAGE(INDEX($B$2:$B$301,MAX(1,164-semi)):INDEX($B$2:$B$301,MIN($M$2,164+semi))),"")</f>
        <v/>
      </c>
      <c r="E165" s="28" t="str">
        <f t="shared" si="13"/>
        <v/>
      </c>
      <c r="F165" s="22" t="str">
        <f>IF(AND(ISNUMBER(E165),ISNUMBER(E166),ISNUMBER($M$6)),IF(AND(165&lt;$M$6,E165&lt;0.5,E166&gt;=0.5),165,""),"")</f>
        <v/>
      </c>
      <c r="G165" s="22" t="str">
        <f>IF(AND(ISNUMBER(E165),ISNUMBER(E166),ISNUMBER($M$6)),IF(AND(165&gt;=$M$6,E165&gt;=0.5,E166&lt;0.5),165,""),"")</f>
        <v/>
      </c>
      <c r="H165" s="22" t="str">
        <f t="shared" si="14"/>
        <v/>
      </c>
      <c r="I165" s="22" t="e">
        <f t="shared" si="15"/>
        <v>#N/A</v>
      </c>
      <c r="J165" s="28" t="e">
        <f t="shared" si="16"/>
        <v>#N/A</v>
      </c>
      <c r="K165" s="22" t="str">
        <f t="shared" si="17"/>
        <v/>
      </c>
    </row>
    <row r="166" spans="3:11" x14ac:dyDescent="0.3">
      <c r="C166" s="22" t="str">
        <f t="shared" si="12"/>
        <v/>
      </c>
      <c r="D166" s="28" t="str">
        <f>IF(ISNUMBER(B166),AVERAGE(INDEX($B$2:$B$301,MAX(1,165-semi)):INDEX($B$2:$B$301,MIN($M$2,165+semi))),"")</f>
        <v/>
      </c>
      <c r="E166" s="28" t="str">
        <f t="shared" si="13"/>
        <v/>
      </c>
      <c r="F166" s="22" t="str">
        <f>IF(AND(ISNUMBER(E166),ISNUMBER(E167),ISNUMBER($M$6)),IF(AND(166&lt;$M$6,E166&lt;0.5,E167&gt;=0.5),166,""),"")</f>
        <v/>
      </c>
      <c r="G166" s="22" t="str">
        <f>IF(AND(ISNUMBER(E166),ISNUMBER(E167),ISNUMBER($M$6)),IF(AND(166&gt;=$M$6,E166&gt;=0.5,E167&lt;0.5),166,""),"")</f>
        <v/>
      </c>
      <c r="H166" s="22" t="str">
        <f t="shared" si="14"/>
        <v/>
      </c>
      <c r="I166" s="22" t="e">
        <f t="shared" si="15"/>
        <v>#N/A</v>
      </c>
      <c r="J166" s="28" t="e">
        <f t="shared" si="16"/>
        <v>#N/A</v>
      </c>
      <c r="K166" s="22" t="str">
        <f t="shared" si="17"/>
        <v/>
      </c>
    </row>
    <row r="167" spans="3:11" x14ac:dyDescent="0.3">
      <c r="C167" s="22" t="str">
        <f t="shared" si="12"/>
        <v/>
      </c>
      <c r="D167" s="28" t="str">
        <f>IF(ISNUMBER(B167),AVERAGE(INDEX($B$2:$B$301,MAX(1,166-semi)):INDEX($B$2:$B$301,MIN($M$2,166+semi))),"")</f>
        <v/>
      </c>
      <c r="E167" s="28" t="str">
        <f t="shared" si="13"/>
        <v/>
      </c>
      <c r="F167" s="22" t="str">
        <f>IF(AND(ISNUMBER(E167),ISNUMBER(E168),ISNUMBER($M$6)),IF(AND(167&lt;$M$6,E167&lt;0.5,E168&gt;=0.5),167,""),"")</f>
        <v/>
      </c>
      <c r="G167" s="22" t="str">
        <f>IF(AND(ISNUMBER(E167),ISNUMBER(E168),ISNUMBER($M$6)),IF(AND(167&gt;=$M$6,E167&gt;=0.5,E168&lt;0.5),167,""),"")</f>
        <v/>
      </c>
      <c r="H167" s="22" t="str">
        <f t="shared" si="14"/>
        <v/>
      </c>
      <c r="I167" s="22" t="e">
        <f t="shared" si="15"/>
        <v>#N/A</v>
      </c>
      <c r="J167" s="28" t="e">
        <f t="shared" si="16"/>
        <v>#N/A</v>
      </c>
      <c r="K167" s="22" t="str">
        <f t="shared" si="17"/>
        <v/>
      </c>
    </row>
    <row r="168" spans="3:11" x14ac:dyDescent="0.3">
      <c r="C168" s="22" t="str">
        <f t="shared" si="12"/>
        <v/>
      </c>
      <c r="D168" s="28" t="str">
        <f>IF(ISNUMBER(B168),AVERAGE(INDEX($B$2:$B$301,MAX(1,167-semi)):INDEX($B$2:$B$301,MIN($M$2,167+semi))),"")</f>
        <v/>
      </c>
      <c r="E168" s="28" t="str">
        <f t="shared" si="13"/>
        <v/>
      </c>
      <c r="F168" s="22" t="str">
        <f>IF(AND(ISNUMBER(E168),ISNUMBER(E169),ISNUMBER($M$6)),IF(AND(168&lt;$M$6,E168&lt;0.5,E169&gt;=0.5),168,""),"")</f>
        <v/>
      </c>
      <c r="G168" s="22" t="str">
        <f>IF(AND(ISNUMBER(E168),ISNUMBER(E169),ISNUMBER($M$6)),IF(AND(168&gt;=$M$6,E168&gt;=0.5,E169&lt;0.5),168,""),"")</f>
        <v/>
      </c>
      <c r="H168" s="22" t="str">
        <f t="shared" si="14"/>
        <v/>
      </c>
      <c r="I168" s="22" t="e">
        <f t="shared" si="15"/>
        <v>#N/A</v>
      </c>
      <c r="J168" s="28" t="e">
        <f t="shared" si="16"/>
        <v>#N/A</v>
      </c>
      <c r="K168" s="22" t="str">
        <f t="shared" si="17"/>
        <v/>
      </c>
    </row>
    <row r="169" spans="3:11" x14ac:dyDescent="0.3">
      <c r="C169" s="22" t="str">
        <f t="shared" si="12"/>
        <v/>
      </c>
      <c r="D169" s="28" t="str">
        <f>IF(ISNUMBER(B169),AVERAGE(INDEX($B$2:$B$301,MAX(1,168-semi)):INDEX($B$2:$B$301,MIN($M$2,168+semi))),"")</f>
        <v/>
      </c>
      <c r="E169" s="28" t="str">
        <f t="shared" si="13"/>
        <v/>
      </c>
      <c r="F169" s="22" t="str">
        <f>IF(AND(ISNUMBER(E169),ISNUMBER(E170),ISNUMBER($M$6)),IF(AND(169&lt;$M$6,E169&lt;0.5,E170&gt;=0.5),169,""),"")</f>
        <v/>
      </c>
      <c r="G169" s="22" t="str">
        <f>IF(AND(ISNUMBER(E169),ISNUMBER(E170),ISNUMBER($M$6)),IF(AND(169&gt;=$M$6,E169&gt;=0.5,E170&lt;0.5),169,""),"")</f>
        <v/>
      </c>
      <c r="H169" s="22" t="str">
        <f t="shared" si="14"/>
        <v/>
      </c>
      <c r="I169" s="22" t="e">
        <f t="shared" si="15"/>
        <v>#N/A</v>
      </c>
      <c r="J169" s="28" t="e">
        <f t="shared" si="16"/>
        <v>#N/A</v>
      </c>
      <c r="K169" s="22" t="str">
        <f t="shared" si="17"/>
        <v/>
      </c>
    </row>
    <row r="170" spans="3:11" x14ac:dyDescent="0.3">
      <c r="C170" s="22" t="str">
        <f t="shared" si="12"/>
        <v/>
      </c>
      <c r="D170" s="28" t="str">
        <f>IF(ISNUMBER(B170),AVERAGE(INDEX($B$2:$B$301,MAX(1,169-semi)):INDEX($B$2:$B$301,MIN($M$2,169+semi))),"")</f>
        <v/>
      </c>
      <c r="E170" s="28" t="str">
        <f t="shared" si="13"/>
        <v/>
      </c>
      <c r="F170" s="22" t="str">
        <f>IF(AND(ISNUMBER(E170),ISNUMBER(E171),ISNUMBER($M$6)),IF(AND(170&lt;$M$6,E170&lt;0.5,E171&gt;=0.5),170,""),"")</f>
        <v/>
      </c>
      <c r="G170" s="22" t="str">
        <f>IF(AND(ISNUMBER(E170),ISNUMBER(E171),ISNUMBER($M$6)),IF(AND(170&gt;=$M$6,E170&gt;=0.5,E171&lt;0.5),170,""),"")</f>
        <v/>
      </c>
      <c r="H170" s="22" t="str">
        <f t="shared" si="14"/>
        <v/>
      </c>
      <c r="I170" s="22" t="e">
        <f t="shared" si="15"/>
        <v>#N/A</v>
      </c>
      <c r="J170" s="28" t="e">
        <f t="shared" si="16"/>
        <v>#N/A</v>
      </c>
      <c r="K170" s="22" t="str">
        <f t="shared" si="17"/>
        <v/>
      </c>
    </row>
    <row r="171" spans="3:11" x14ac:dyDescent="0.3">
      <c r="C171" s="22" t="str">
        <f t="shared" si="12"/>
        <v/>
      </c>
      <c r="D171" s="28" t="str">
        <f>IF(ISNUMBER(B171),AVERAGE(INDEX($B$2:$B$301,MAX(1,170-semi)):INDEX($B$2:$B$301,MIN($M$2,170+semi))),"")</f>
        <v/>
      </c>
      <c r="E171" s="28" t="str">
        <f t="shared" si="13"/>
        <v/>
      </c>
      <c r="F171" s="22" t="str">
        <f>IF(AND(ISNUMBER(E171),ISNUMBER(E172),ISNUMBER($M$6)),IF(AND(171&lt;$M$6,E171&lt;0.5,E172&gt;=0.5),171,""),"")</f>
        <v/>
      </c>
      <c r="G171" s="22" t="str">
        <f>IF(AND(ISNUMBER(E171),ISNUMBER(E172),ISNUMBER($M$6)),IF(AND(171&gt;=$M$6,E171&gt;=0.5,E172&lt;0.5),171,""),"")</f>
        <v/>
      </c>
      <c r="H171" s="22" t="str">
        <f t="shared" si="14"/>
        <v/>
      </c>
      <c r="I171" s="22" t="e">
        <f t="shared" si="15"/>
        <v>#N/A</v>
      </c>
      <c r="J171" s="28" t="e">
        <f t="shared" si="16"/>
        <v>#N/A</v>
      </c>
      <c r="K171" s="22" t="str">
        <f t="shared" si="17"/>
        <v/>
      </c>
    </row>
    <row r="172" spans="3:11" x14ac:dyDescent="0.3">
      <c r="C172" s="22" t="str">
        <f t="shared" si="12"/>
        <v/>
      </c>
      <c r="D172" s="28" t="str">
        <f>IF(ISNUMBER(B172),AVERAGE(INDEX($B$2:$B$301,MAX(1,171-semi)):INDEX($B$2:$B$301,MIN($M$2,171+semi))),"")</f>
        <v/>
      </c>
      <c r="E172" s="28" t="str">
        <f t="shared" si="13"/>
        <v/>
      </c>
      <c r="F172" s="22" t="str">
        <f>IF(AND(ISNUMBER(E172),ISNUMBER(E173),ISNUMBER($M$6)),IF(AND(172&lt;$M$6,E172&lt;0.5,E173&gt;=0.5),172,""),"")</f>
        <v/>
      </c>
      <c r="G172" s="22" t="str">
        <f>IF(AND(ISNUMBER(E172),ISNUMBER(E173),ISNUMBER($M$6)),IF(AND(172&gt;=$M$6,E172&gt;=0.5,E173&lt;0.5),172,""),"")</f>
        <v/>
      </c>
      <c r="H172" s="22" t="str">
        <f t="shared" si="14"/>
        <v/>
      </c>
      <c r="I172" s="22" t="e">
        <f t="shared" si="15"/>
        <v>#N/A</v>
      </c>
      <c r="J172" s="28" t="e">
        <f t="shared" si="16"/>
        <v>#N/A</v>
      </c>
      <c r="K172" s="22" t="str">
        <f t="shared" si="17"/>
        <v/>
      </c>
    </row>
    <row r="173" spans="3:11" x14ac:dyDescent="0.3">
      <c r="C173" s="22" t="str">
        <f t="shared" si="12"/>
        <v/>
      </c>
      <c r="D173" s="28" t="str">
        <f>IF(ISNUMBER(B173),AVERAGE(INDEX($B$2:$B$301,MAX(1,172-semi)):INDEX($B$2:$B$301,MIN($M$2,172+semi))),"")</f>
        <v/>
      </c>
      <c r="E173" s="28" t="str">
        <f t="shared" si="13"/>
        <v/>
      </c>
      <c r="F173" s="22" t="str">
        <f>IF(AND(ISNUMBER(E173),ISNUMBER(E174),ISNUMBER($M$6)),IF(AND(173&lt;$M$6,E173&lt;0.5,E174&gt;=0.5),173,""),"")</f>
        <v/>
      </c>
      <c r="G173" s="22" t="str">
        <f>IF(AND(ISNUMBER(E173),ISNUMBER(E174),ISNUMBER($M$6)),IF(AND(173&gt;=$M$6,E173&gt;=0.5,E174&lt;0.5),173,""),"")</f>
        <v/>
      </c>
      <c r="H173" s="22" t="str">
        <f t="shared" si="14"/>
        <v/>
      </c>
      <c r="I173" s="22" t="e">
        <f t="shared" si="15"/>
        <v>#N/A</v>
      </c>
      <c r="J173" s="28" t="e">
        <f t="shared" si="16"/>
        <v>#N/A</v>
      </c>
      <c r="K173" s="22" t="str">
        <f t="shared" si="17"/>
        <v/>
      </c>
    </row>
    <row r="174" spans="3:11" x14ac:dyDescent="0.3">
      <c r="C174" s="22" t="str">
        <f t="shared" si="12"/>
        <v/>
      </c>
      <c r="D174" s="28" t="str">
        <f>IF(ISNUMBER(B174),AVERAGE(INDEX($B$2:$B$301,MAX(1,173-semi)):INDEX($B$2:$B$301,MIN($M$2,173+semi))),"")</f>
        <v/>
      </c>
      <c r="E174" s="28" t="str">
        <f t="shared" si="13"/>
        <v/>
      </c>
      <c r="F174" s="22" t="str">
        <f>IF(AND(ISNUMBER(E174),ISNUMBER(E175),ISNUMBER($M$6)),IF(AND(174&lt;$M$6,E174&lt;0.5,E175&gt;=0.5),174,""),"")</f>
        <v/>
      </c>
      <c r="G174" s="22" t="str">
        <f>IF(AND(ISNUMBER(E174),ISNUMBER(E175),ISNUMBER($M$6)),IF(AND(174&gt;=$M$6,E174&gt;=0.5,E175&lt;0.5),174,""),"")</f>
        <v/>
      </c>
      <c r="H174" s="22" t="str">
        <f t="shared" si="14"/>
        <v/>
      </c>
      <c r="I174" s="22" t="e">
        <f t="shared" si="15"/>
        <v>#N/A</v>
      </c>
      <c r="J174" s="28" t="e">
        <f t="shared" si="16"/>
        <v>#N/A</v>
      </c>
      <c r="K174" s="22" t="str">
        <f t="shared" si="17"/>
        <v/>
      </c>
    </row>
    <row r="175" spans="3:11" x14ac:dyDescent="0.3">
      <c r="C175" s="22" t="str">
        <f t="shared" si="12"/>
        <v/>
      </c>
      <c r="D175" s="28" t="str">
        <f>IF(ISNUMBER(B175),AVERAGE(INDEX($B$2:$B$301,MAX(1,174-semi)):INDEX($B$2:$B$301,MIN($M$2,174+semi))),"")</f>
        <v/>
      </c>
      <c r="E175" s="28" t="str">
        <f t="shared" si="13"/>
        <v/>
      </c>
      <c r="F175" s="22" t="str">
        <f>IF(AND(ISNUMBER(E175),ISNUMBER(E176),ISNUMBER($M$6)),IF(AND(175&lt;$M$6,E175&lt;0.5,E176&gt;=0.5),175,""),"")</f>
        <v/>
      </c>
      <c r="G175" s="22" t="str">
        <f>IF(AND(ISNUMBER(E175),ISNUMBER(E176),ISNUMBER($M$6)),IF(AND(175&gt;=$M$6,E175&gt;=0.5,E176&lt;0.5),175,""),"")</f>
        <v/>
      </c>
      <c r="H175" s="22" t="str">
        <f t="shared" si="14"/>
        <v/>
      </c>
      <c r="I175" s="22" t="e">
        <f t="shared" si="15"/>
        <v>#N/A</v>
      </c>
      <c r="J175" s="28" t="e">
        <f t="shared" si="16"/>
        <v>#N/A</v>
      </c>
      <c r="K175" s="22" t="str">
        <f t="shared" si="17"/>
        <v/>
      </c>
    </row>
    <row r="176" spans="3:11" x14ac:dyDescent="0.3">
      <c r="C176" s="22" t="str">
        <f t="shared" si="12"/>
        <v/>
      </c>
      <c r="D176" s="28" t="str">
        <f>IF(ISNUMBER(B176),AVERAGE(INDEX($B$2:$B$301,MAX(1,175-semi)):INDEX($B$2:$B$301,MIN($M$2,175+semi))),"")</f>
        <v/>
      </c>
      <c r="E176" s="28" t="str">
        <f t="shared" si="13"/>
        <v/>
      </c>
      <c r="F176" s="22" t="str">
        <f>IF(AND(ISNUMBER(E176),ISNUMBER(E177),ISNUMBER($M$6)),IF(AND(176&lt;$M$6,E176&lt;0.5,E177&gt;=0.5),176,""),"")</f>
        <v/>
      </c>
      <c r="G176" s="22" t="str">
        <f>IF(AND(ISNUMBER(E176),ISNUMBER(E177),ISNUMBER($M$6)),IF(AND(176&gt;=$M$6,E176&gt;=0.5,E177&lt;0.5),176,""),"")</f>
        <v/>
      </c>
      <c r="H176" s="22" t="str">
        <f t="shared" si="14"/>
        <v/>
      </c>
      <c r="I176" s="22" t="e">
        <f t="shared" si="15"/>
        <v>#N/A</v>
      </c>
      <c r="J176" s="28" t="e">
        <f t="shared" si="16"/>
        <v>#N/A</v>
      </c>
      <c r="K176" s="22" t="str">
        <f t="shared" si="17"/>
        <v/>
      </c>
    </row>
    <row r="177" spans="3:11" x14ac:dyDescent="0.3">
      <c r="C177" s="22" t="str">
        <f t="shared" si="12"/>
        <v/>
      </c>
      <c r="D177" s="28" t="str">
        <f>IF(ISNUMBER(B177),AVERAGE(INDEX($B$2:$B$301,MAX(1,176-semi)):INDEX($B$2:$B$301,MIN($M$2,176+semi))),"")</f>
        <v/>
      </c>
      <c r="E177" s="28" t="str">
        <f t="shared" si="13"/>
        <v/>
      </c>
      <c r="F177" s="22" t="str">
        <f>IF(AND(ISNUMBER(E177),ISNUMBER(E178),ISNUMBER($M$6)),IF(AND(177&lt;$M$6,E177&lt;0.5,E178&gt;=0.5),177,""),"")</f>
        <v/>
      </c>
      <c r="G177" s="22" t="str">
        <f>IF(AND(ISNUMBER(E177),ISNUMBER(E178),ISNUMBER($M$6)),IF(AND(177&gt;=$M$6,E177&gt;=0.5,E178&lt;0.5),177,""),"")</f>
        <v/>
      </c>
      <c r="H177" s="22" t="str">
        <f t="shared" si="14"/>
        <v/>
      </c>
      <c r="I177" s="22" t="e">
        <f t="shared" si="15"/>
        <v>#N/A</v>
      </c>
      <c r="J177" s="28" t="e">
        <f t="shared" si="16"/>
        <v>#N/A</v>
      </c>
      <c r="K177" s="22" t="str">
        <f t="shared" si="17"/>
        <v/>
      </c>
    </row>
    <row r="178" spans="3:11" x14ac:dyDescent="0.3">
      <c r="C178" s="22" t="str">
        <f t="shared" si="12"/>
        <v/>
      </c>
      <c r="D178" s="28" t="str">
        <f>IF(ISNUMBER(B178),AVERAGE(INDEX($B$2:$B$301,MAX(1,177-semi)):INDEX($B$2:$B$301,MIN($M$2,177+semi))),"")</f>
        <v/>
      </c>
      <c r="E178" s="28" t="str">
        <f t="shared" si="13"/>
        <v/>
      </c>
      <c r="F178" s="22" t="str">
        <f>IF(AND(ISNUMBER(E178),ISNUMBER(E179),ISNUMBER($M$6)),IF(AND(178&lt;$M$6,E178&lt;0.5,E179&gt;=0.5),178,""),"")</f>
        <v/>
      </c>
      <c r="G178" s="22" t="str">
        <f>IF(AND(ISNUMBER(E178),ISNUMBER(E179),ISNUMBER($M$6)),IF(AND(178&gt;=$M$6,E178&gt;=0.5,E179&lt;0.5),178,""),"")</f>
        <v/>
      </c>
      <c r="H178" s="22" t="str">
        <f t="shared" si="14"/>
        <v/>
      </c>
      <c r="I178" s="22" t="e">
        <f t="shared" si="15"/>
        <v>#N/A</v>
      </c>
      <c r="J178" s="28" t="e">
        <f t="shared" si="16"/>
        <v>#N/A</v>
      </c>
      <c r="K178" s="22" t="str">
        <f t="shared" si="17"/>
        <v/>
      </c>
    </row>
    <row r="179" spans="3:11" x14ac:dyDescent="0.3">
      <c r="C179" s="22" t="str">
        <f t="shared" si="12"/>
        <v/>
      </c>
      <c r="D179" s="28" t="str">
        <f>IF(ISNUMBER(B179),AVERAGE(INDEX($B$2:$B$301,MAX(1,178-semi)):INDEX($B$2:$B$301,MIN($M$2,178+semi))),"")</f>
        <v/>
      </c>
      <c r="E179" s="28" t="str">
        <f t="shared" si="13"/>
        <v/>
      </c>
      <c r="F179" s="22" t="str">
        <f>IF(AND(ISNUMBER(E179),ISNUMBER(E180),ISNUMBER($M$6)),IF(AND(179&lt;$M$6,E179&lt;0.5,E180&gt;=0.5),179,""),"")</f>
        <v/>
      </c>
      <c r="G179" s="22" t="str">
        <f>IF(AND(ISNUMBER(E179),ISNUMBER(E180),ISNUMBER($M$6)),IF(AND(179&gt;=$M$6,E179&gt;=0.5,E180&lt;0.5),179,""),"")</f>
        <v/>
      </c>
      <c r="H179" s="22" t="str">
        <f t="shared" si="14"/>
        <v/>
      </c>
      <c r="I179" s="22" t="e">
        <f t="shared" si="15"/>
        <v>#N/A</v>
      </c>
      <c r="J179" s="28" t="e">
        <f t="shared" si="16"/>
        <v>#N/A</v>
      </c>
      <c r="K179" s="22" t="str">
        <f t="shared" si="17"/>
        <v/>
      </c>
    </row>
    <row r="180" spans="3:11" x14ac:dyDescent="0.3">
      <c r="C180" s="22" t="str">
        <f t="shared" si="12"/>
        <v/>
      </c>
      <c r="D180" s="28" t="str">
        <f>IF(ISNUMBER(B180),AVERAGE(INDEX($B$2:$B$301,MAX(1,179-semi)):INDEX($B$2:$B$301,MIN($M$2,179+semi))),"")</f>
        <v/>
      </c>
      <c r="E180" s="28" t="str">
        <f t="shared" si="13"/>
        <v/>
      </c>
      <c r="F180" s="22" t="str">
        <f>IF(AND(ISNUMBER(E180),ISNUMBER(E181),ISNUMBER($M$6)),IF(AND(180&lt;$M$6,E180&lt;0.5,E181&gt;=0.5),180,""),"")</f>
        <v/>
      </c>
      <c r="G180" s="22" t="str">
        <f>IF(AND(ISNUMBER(E180),ISNUMBER(E181),ISNUMBER($M$6)),IF(AND(180&gt;=$M$6,E180&gt;=0.5,E181&lt;0.5),180,""),"")</f>
        <v/>
      </c>
      <c r="H180" s="22" t="str">
        <f t="shared" si="14"/>
        <v/>
      </c>
      <c r="I180" s="22" t="e">
        <f t="shared" si="15"/>
        <v>#N/A</v>
      </c>
      <c r="J180" s="28" t="e">
        <f t="shared" si="16"/>
        <v>#N/A</v>
      </c>
      <c r="K180" s="22" t="str">
        <f t="shared" si="17"/>
        <v/>
      </c>
    </row>
    <row r="181" spans="3:11" x14ac:dyDescent="0.3">
      <c r="C181" s="22" t="str">
        <f t="shared" si="12"/>
        <v/>
      </c>
      <c r="D181" s="28" t="str">
        <f>IF(ISNUMBER(B181),AVERAGE(INDEX($B$2:$B$301,MAX(1,180-semi)):INDEX($B$2:$B$301,MIN($M$2,180+semi))),"")</f>
        <v/>
      </c>
      <c r="E181" s="28" t="str">
        <f t="shared" si="13"/>
        <v/>
      </c>
      <c r="F181" s="22" t="str">
        <f>IF(AND(ISNUMBER(E181),ISNUMBER(E182),ISNUMBER($M$6)),IF(AND(181&lt;$M$6,E181&lt;0.5,E182&gt;=0.5),181,""),"")</f>
        <v/>
      </c>
      <c r="G181" s="22" t="str">
        <f>IF(AND(ISNUMBER(E181),ISNUMBER(E182),ISNUMBER($M$6)),IF(AND(181&gt;=$M$6,E181&gt;=0.5,E182&lt;0.5),181,""),"")</f>
        <v/>
      </c>
      <c r="H181" s="22" t="str">
        <f t="shared" si="14"/>
        <v/>
      </c>
      <c r="I181" s="22" t="e">
        <f t="shared" si="15"/>
        <v>#N/A</v>
      </c>
      <c r="J181" s="28" t="e">
        <f t="shared" si="16"/>
        <v>#N/A</v>
      </c>
      <c r="K181" s="22" t="str">
        <f t="shared" si="17"/>
        <v/>
      </c>
    </row>
    <row r="182" spans="3:11" x14ac:dyDescent="0.3">
      <c r="C182" s="22" t="str">
        <f t="shared" si="12"/>
        <v/>
      </c>
      <c r="D182" s="28" t="str">
        <f>IF(ISNUMBER(B182),AVERAGE(INDEX($B$2:$B$301,MAX(1,181-semi)):INDEX($B$2:$B$301,MIN($M$2,181+semi))),"")</f>
        <v/>
      </c>
      <c r="E182" s="28" t="str">
        <f t="shared" si="13"/>
        <v/>
      </c>
      <c r="F182" s="22" t="str">
        <f>IF(AND(ISNUMBER(E182),ISNUMBER(E183),ISNUMBER($M$6)),IF(AND(182&lt;$M$6,E182&lt;0.5,E183&gt;=0.5),182,""),"")</f>
        <v/>
      </c>
      <c r="G182" s="22" t="str">
        <f>IF(AND(ISNUMBER(E182),ISNUMBER(E183),ISNUMBER($M$6)),IF(AND(182&gt;=$M$6,E182&gt;=0.5,E183&lt;0.5),182,""),"")</f>
        <v/>
      </c>
      <c r="H182" s="22" t="str">
        <f t="shared" si="14"/>
        <v/>
      </c>
      <c r="I182" s="22" t="e">
        <f t="shared" si="15"/>
        <v>#N/A</v>
      </c>
      <c r="J182" s="28" t="e">
        <f t="shared" si="16"/>
        <v>#N/A</v>
      </c>
      <c r="K182" s="22" t="str">
        <f t="shared" si="17"/>
        <v/>
      </c>
    </row>
    <row r="183" spans="3:11" x14ac:dyDescent="0.3">
      <c r="C183" s="22" t="str">
        <f t="shared" si="12"/>
        <v/>
      </c>
      <c r="D183" s="28" t="str">
        <f>IF(ISNUMBER(B183),AVERAGE(INDEX($B$2:$B$301,MAX(1,182-semi)):INDEX($B$2:$B$301,MIN($M$2,182+semi))),"")</f>
        <v/>
      </c>
      <c r="E183" s="28" t="str">
        <f t="shared" si="13"/>
        <v/>
      </c>
      <c r="F183" s="22" t="str">
        <f>IF(AND(ISNUMBER(E183),ISNUMBER(E184),ISNUMBER($M$6)),IF(AND(183&lt;$M$6,E183&lt;0.5,E184&gt;=0.5),183,""),"")</f>
        <v/>
      </c>
      <c r="G183" s="22" t="str">
        <f>IF(AND(ISNUMBER(E183),ISNUMBER(E184),ISNUMBER($M$6)),IF(AND(183&gt;=$M$6,E183&gt;=0.5,E184&lt;0.5),183,""),"")</f>
        <v/>
      </c>
      <c r="H183" s="22" t="str">
        <f t="shared" si="14"/>
        <v/>
      </c>
      <c r="I183" s="22" t="e">
        <f t="shared" si="15"/>
        <v>#N/A</v>
      </c>
      <c r="J183" s="28" t="e">
        <f t="shared" si="16"/>
        <v>#N/A</v>
      </c>
      <c r="K183" s="22" t="str">
        <f t="shared" si="17"/>
        <v/>
      </c>
    </row>
    <row r="184" spans="3:11" x14ac:dyDescent="0.3">
      <c r="C184" s="22" t="str">
        <f t="shared" si="12"/>
        <v/>
      </c>
      <c r="D184" s="28" t="str">
        <f>IF(ISNUMBER(B184),AVERAGE(INDEX($B$2:$B$301,MAX(1,183-semi)):INDEX($B$2:$B$301,MIN($M$2,183+semi))),"")</f>
        <v/>
      </c>
      <c r="E184" s="28" t="str">
        <f t="shared" si="13"/>
        <v/>
      </c>
      <c r="F184" s="22" t="str">
        <f>IF(AND(ISNUMBER(E184),ISNUMBER(E185),ISNUMBER($M$6)),IF(AND(184&lt;$M$6,E184&lt;0.5,E185&gt;=0.5),184,""),"")</f>
        <v/>
      </c>
      <c r="G184" s="22" t="str">
        <f>IF(AND(ISNUMBER(E184),ISNUMBER(E185),ISNUMBER($M$6)),IF(AND(184&gt;=$M$6,E184&gt;=0.5,E185&lt;0.5),184,""),"")</f>
        <v/>
      </c>
      <c r="H184" s="22" t="str">
        <f t="shared" si="14"/>
        <v/>
      </c>
      <c r="I184" s="22" t="e">
        <f t="shared" si="15"/>
        <v>#N/A</v>
      </c>
      <c r="J184" s="28" t="e">
        <f t="shared" si="16"/>
        <v>#N/A</v>
      </c>
      <c r="K184" s="22" t="str">
        <f t="shared" si="17"/>
        <v/>
      </c>
    </row>
    <row r="185" spans="3:11" x14ac:dyDescent="0.3">
      <c r="C185" s="22" t="str">
        <f t="shared" si="12"/>
        <v/>
      </c>
      <c r="D185" s="28" t="str">
        <f>IF(ISNUMBER(B185),AVERAGE(INDEX($B$2:$B$301,MAX(1,184-semi)):INDEX($B$2:$B$301,MIN($M$2,184+semi))),"")</f>
        <v/>
      </c>
      <c r="E185" s="28" t="str">
        <f t="shared" si="13"/>
        <v/>
      </c>
      <c r="F185" s="22" t="str">
        <f>IF(AND(ISNUMBER(E185),ISNUMBER(E186),ISNUMBER($M$6)),IF(AND(185&lt;$M$6,E185&lt;0.5,E186&gt;=0.5),185,""),"")</f>
        <v/>
      </c>
      <c r="G185" s="22" t="str">
        <f>IF(AND(ISNUMBER(E185),ISNUMBER(E186),ISNUMBER($M$6)),IF(AND(185&gt;=$M$6,E185&gt;=0.5,E186&lt;0.5),185,""),"")</f>
        <v/>
      </c>
      <c r="H185" s="22" t="str">
        <f t="shared" si="14"/>
        <v/>
      </c>
      <c r="I185" s="22" t="e">
        <f t="shared" si="15"/>
        <v>#N/A</v>
      </c>
      <c r="J185" s="28" t="e">
        <f t="shared" si="16"/>
        <v>#N/A</v>
      </c>
      <c r="K185" s="22" t="str">
        <f t="shared" si="17"/>
        <v/>
      </c>
    </row>
    <row r="186" spans="3:11" x14ac:dyDescent="0.3">
      <c r="C186" s="22" t="str">
        <f t="shared" si="12"/>
        <v/>
      </c>
      <c r="D186" s="28" t="str">
        <f>IF(ISNUMBER(B186),AVERAGE(INDEX($B$2:$B$301,MAX(1,185-semi)):INDEX($B$2:$B$301,MIN($M$2,185+semi))),"")</f>
        <v/>
      </c>
      <c r="E186" s="28" t="str">
        <f t="shared" si="13"/>
        <v/>
      </c>
      <c r="F186" s="22" t="str">
        <f>IF(AND(ISNUMBER(E186),ISNUMBER(E187),ISNUMBER($M$6)),IF(AND(186&lt;$M$6,E186&lt;0.5,E187&gt;=0.5),186,""),"")</f>
        <v/>
      </c>
      <c r="G186" s="22" t="str">
        <f>IF(AND(ISNUMBER(E186),ISNUMBER(E187),ISNUMBER($M$6)),IF(AND(186&gt;=$M$6,E186&gt;=0.5,E187&lt;0.5),186,""),"")</f>
        <v/>
      </c>
      <c r="H186" s="22" t="str">
        <f t="shared" si="14"/>
        <v/>
      </c>
      <c r="I186" s="22" t="e">
        <f t="shared" si="15"/>
        <v>#N/A</v>
      </c>
      <c r="J186" s="28" t="e">
        <f t="shared" si="16"/>
        <v>#N/A</v>
      </c>
      <c r="K186" s="22" t="str">
        <f t="shared" si="17"/>
        <v/>
      </c>
    </row>
    <row r="187" spans="3:11" x14ac:dyDescent="0.3">
      <c r="C187" s="22" t="str">
        <f t="shared" si="12"/>
        <v/>
      </c>
      <c r="D187" s="28" t="str">
        <f>IF(ISNUMBER(B187),AVERAGE(INDEX($B$2:$B$301,MAX(1,186-semi)):INDEX($B$2:$B$301,MIN($M$2,186+semi))),"")</f>
        <v/>
      </c>
      <c r="E187" s="28" t="str">
        <f t="shared" si="13"/>
        <v/>
      </c>
      <c r="F187" s="22" t="str">
        <f>IF(AND(ISNUMBER(E187),ISNUMBER(E188),ISNUMBER($M$6)),IF(AND(187&lt;$M$6,E187&lt;0.5,E188&gt;=0.5),187,""),"")</f>
        <v/>
      </c>
      <c r="G187" s="22" t="str">
        <f>IF(AND(ISNUMBER(E187),ISNUMBER(E188),ISNUMBER($M$6)),IF(AND(187&gt;=$M$6,E187&gt;=0.5,E188&lt;0.5),187,""),"")</f>
        <v/>
      </c>
      <c r="H187" s="22" t="str">
        <f t="shared" si="14"/>
        <v/>
      </c>
      <c r="I187" s="22" t="e">
        <f t="shared" si="15"/>
        <v>#N/A</v>
      </c>
      <c r="J187" s="28" t="e">
        <f t="shared" si="16"/>
        <v>#N/A</v>
      </c>
      <c r="K187" s="22" t="str">
        <f t="shared" si="17"/>
        <v/>
      </c>
    </row>
    <row r="188" spans="3:11" x14ac:dyDescent="0.3">
      <c r="C188" s="22" t="str">
        <f t="shared" si="12"/>
        <v/>
      </c>
      <c r="D188" s="28" t="str">
        <f>IF(ISNUMBER(B188),AVERAGE(INDEX($B$2:$B$301,MAX(1,187-semi)):INDEX($B$2:$B$301,MIN($M$2,187+semi))),"")</f>
        <v/>
      </c>
      <c r="E188" s="28" t="str">
        <f t="shared" si="13"/>
        <v/>
      </c>
      <c r="F188" s="22" t="str">
        <f>IF(AND(ISNUMBER(E188),ISNUMBER(E189),ISNUMBER($M$6)),IF(AND(188&lt;$M$6,E188&lt;0.5,E189&gt;=0.5),188,""),"")</f>
        <v/>
      </c>
      <c r="G188" s="22" t="str">
        <f>IF(AND(ISNUMBER(E188),ISNUMBER(E189),ISNUMBER($M$6)),IF(AND(188&gt;=$M$6,E188&gt;=0.5,E189&lt;0.5),188,""),"")</f>
        <v/>
      </c>
      <c r="H188" s="22" t="str">
        <f t="shared" si="14"/>
        <v/>
      </c>
      <c r="I188" s="22" t="e">
        <f t="shared" si="15"/>
        <v>#N/A</v>
      </c>
      <c r="J188" s="28" t="e">
        <f t="shared" si="16"/>
        <v>#N/A</v>
      </c>
      <c r="K188" s="22" t="str">
        <f t="shared" si="17"/>
        <v/>
      </c>
    </row>
    <row r="189" spans="3:11" x14ac:dyDescent="0.3">
      <c r="C189" s="22" t="str">
        <f t="shared" si="12"/>
        <v/>
      </c>
      <c r="D189" s="28" t="str">
        <f>IF(ISNUMBER(B189),AVERAGE(INDEX($B$2:$B$301,MAX(1,188-semi)):INDEX($B$2:$B$301,MIN($M$2,188+semi))),"")</f>
        <v/>
      </c>
      <c r="E189" s="28" t="str">
        <f t="shared" si="13"/>
        <v/>
      </c>
      <c r="F189" s="22" t="str">
        <f>IF(AND(ISNUMBER(E189),ISNUMBER(E190),ISNUMBER($M$6)),IF(AND(189&lt;$M$6,E189&lt;0.5,E190&gt;=0.5),189,""),"")</f>
        <v/>
      </c>
      <c r="G189" s="22" t="str">
        <f>IF(AND(ISNUMBER(E189),ISNUMBER(E190),ISNUMBER($M$6)),IF(AND(189&gt;=$M$6,E189&gt;=0.5,E190&lt;0.5),189,""),"")</f>
        <v/>
      </c>
      <c r="H189" s="22" t="str">
        <f t="shared" si="14"/>
        <v/>
      </c>
      <c r="I189" s="22" t="e">
        <f t="shared" si="15"/>
        <v>#N/A</v>
      </c>
      <c r="J189" s="28" t="e">
        <f t="shared" si="16"/>
        <v>#N/A</v>
      </c>
      <c r="K189" s="22" t="str">
        <f t="shared" si="17"/>
        <v/>
      </c>
    </row>
    <row r="190" spans="3:11" x14ac:dyDescent="0.3">
      <c r="C190" s="22" t="str">
        <f t="shared" si="12"/>
        <v/>
      </c>
      <c r="D190" s="28" t="str">
        <f>IF(ISNUMBER(B190),AVERAGE(INDEX($B$2:$B$301,MAX(1,189-semi)):INDEX($B$2:$B$301,MIN($M$2,189+semi))),"")</f>
        <v/>
      </c>
      <c r="E190" s="28" t="str">
        <f t="shared" si="13"/>
        <v/>
      </c>
      <c r="F190" s="22" t="str">
        <f>IF(AND(ISNUMBER(E190),ISNUMBER(E191),ISNUMBER($M$6)),IF(AND(190&lt;$M$6,E190&lt;0.5,E191&gt;=0.5),190,""),"")</f>
        <v/>
      </c>
      <c r="G190" s="22" t="str">
        <f>IF(AND(ISNUMBER(E190),ISNUMBER(E191),ISNUMBER($M$6)),IF(AND(190&gt;=$M$6,E190&gt;=0.5,E191&lt;0.5),190,""),"")</f>
        <v/>
      </c>
      <c r="H190" s="22" t="str">
        <f t="shared" si="14"/>
        <v/>
      </c>
      <c r="I190" s="22" t="e">
        <f t="shared" si="15"/>
        <v>#N/A</v>
      </c>
      <c r="J190" s="28" t="e">
        <f t="shared" si="16"/>
        <v>#N/A</v>
      </c>
      <c r="K190" s="22" t="str">
        <f t="shared" si="17"/>
        <v/>
      </c>
    </row>
    <row r="191" spans="3:11" x14ac:dyDescent="0.3">
      <c r="C191" s="22" t="str">
        <f t="shared" si="12"/>
        <v/>
      </c>
      <c r="D191" s="28" t="str">
        <f>IF(ISNUMBER(B191),AVERAGE(INDEX($B$2:$B$301,MAX(1,190-semi)):INDEX($B$2:$B$301,MIN($M$2,190+semi))),"")</f>
        <v/>
      </c>
      <c r="E191" s="28" t="str">
        <f t="shared" si="13"/>
        <v/>
      </c>
      <c r="F191" s="22" t="str">
        <f>IF(AND(ISNUMBER(E191),ISNUMBER(E192),ISNUMBER($M$6)),IF(AND(191&lt;$M$6,E191&lt;0.5,E192&gt;=0.5),191,""),"")</f>
        <v/>
      </c>
      <c r="G191" s="22" t="str">
        <f>IF(AND(ISNUMBER(E191),ISNUMBER(E192),ISNUMBER($M$6)),IF(AND(191&gt;=$M$6,E191&gt;=0.5,E192&lt;0.5),191,""),"")</f>
        <v/>
      </c>
      <c r="H191" s="22" t="str">
        <f t="shared" si="14"/>
        <v/>
      </c>
      <c r="I191" s="22" t="e">
        <f t="shared" si="15"/>
        <v>#N/A</v>
      </c>
      <c r="J191" s="28" t="e">
        <f t="shared" si="16"/>
        <v>#N/A</v>
      </c>
      <c r="K191" s="22" t="str">
        <f t="shared" si="17"/>
        <v/>
      </c>
    </row>
    <row r="192" spans="3:11" x14ac:dyDescent="0.3">
      <c r="C192" s="22" t="str">
        <f t="shared" si="12"/>
        <v/>
      </c>
      <c r="D192" s="28" t="str">
        <f>IF(ISNUMBER(B192),AVERAGE(INDEX($B$2:$B$301,MAX(1,191-semi)):INDEX($B$2:$B$301,MIN($M$2,191+semi))),"")</f>
        <v/>
      </c>
      <c r="E192" s="28" t="str">
        <f t="shared" si="13"/>
        <v/>
      </c>
      <c r="F192" s="22" t="str">
        <f>IF(AND(ISNUMBER(E192),ISNUMBER(E193),ISNUMBER($M$6)),IF(AND(192&lt;$M$6,E192&lt;0.5,E193&gt;=0.5),192,""),"")</f>
        <v/>
      </c>
      <c r="G192" s="22" t="str">
        <f>IF(AND(ISNUMBER(E192),ISNUMBER(E193),ISNUMBER($M$6)),IF(AND(192&gt;=$M$6,E192&gt;=0.5,E193&lt;0.5),192,""),"")</f>
        <v/>
      </c>
      <c r="H192" s="22" t="str">
        <f t="shared" si="14"/>
        <v/>
      </c>
      <c r="I192" s="22" t="e">
        <f t="shared" si="15"/>
        <v>#N/A</v>
      </c>
      <c r="J192" s="28" t="e">
        <f t="shared" si="16"/>
        <v>#N/A</v>
      </c>
      <c r="K192" s="22" t="str">
        <f t="shared" si="17"/>
        <v/>
      </c>
    </row>
    <row r="193" spans="3:11" x14ac:dyDescent="0.3">
      <c r="C193" s="22" t="str">
        <f t="shared" si="12"/>
        <v/>
      </c>
      <c r="D193" s="28" t="str">
        <f>IF(ISNUMBER(B193),AVERAGE(INDEX($B$2:$B$301,MAX(1,192-semi)):INDEX($B$2:$B$301,MIN($M$2,192+semi))),"")</f>
        <v/>
      </c>
      <c r="E193" s="28" t="str">
        <f t="shared" si="13"/>
        <v/>
      </c>
      <c r="F193" s="22" t="str">
        <f>IF(AND(ISNUMBER(E193),ISNUMBER(E194),ISNUMBER($M$6)),IF(AND(193&lt;$M$6,E193&lt;0.5,E194&gt;=0.5),193,""),"")</f>
        <v/>
      </c>
      <c r="G193" s="22" t="str">
        <f>IF(AND(ISNUMBER(E193),ISNUMBER(E194),ISNUMBER($M$6)),IF(AND(193&gt;=$M$6,E193&gt;=0.5,E194&lt;0.5),193,""),"")</f>
        <v/>
      </c>
      <c r="H193" s="22" t="str">
        <f t="shared" si="14"/>
        <v/>
      </c>
      <c r="I193" s="22" t="e">
        <f t="shared" si="15"/>
        <v>#N/A</v>
      </c>
      <c r="J193" s="28" t="e">
        <f t="shared" si="16"/>
        <v>#N/A</v>
      </c>
      <c r="K193" s="22" t="str">
        <f t="shared" si="17"/>
        <v/>
      </c>
    </row>
    <row r="194" spans="3:11" x14ac:dyDescent="0.3">
      <c r="C194" s="22" t="str">
        <f t="shared" ref="C194:C257" si="18">IF(ISNUMBER(A194),A194*conv,"")</f>
        <v/>
      </c>
      <c r="D194" s="28" t="str">
        <f>IF(ISNUMBER(B194),AVERAGE(INDEX($B$2:$B$301,MAX(1,193-semi)):INDEX($B$2:$B$301,MIN($M$2,193+semi))),"")</f>
        <v/>
      </c>
      <c r="E194" s="28" t="str">
        <f t="shared" ref="E194:E257" si="19">IF(AND(ISNUMBER(D194),ISNUMBER($M$4)),(D194-$M$4)/($M$5-$M$4),"")</f>
        <v/>
      </c>
      <c r="F194" s="22" t="str">
        <f>IF(AND(ISNUMBER(E194),ISNUMBER(E195),ISNUMBER($M$6)),IF(AND(194&lt;$M$6,E194&lt;0.5,E195&gt;=0.5),194,""),"")</f>
        <v/>
      </c>
      <c r="G194" s="22" t="str">
        <f>IF(AND(ISNUMBER(E194),ISNUMBER(E195),ISNUMBER($M$6)),IF(AND(194&gt;=$M$6,E194&gt;=0.5,E195&lt;0.5),194,""),"")</f>
        <v/>
      </c>
      <c r="H194" s="22" t="str">
        <f t="shared" ref="H194:H257" si="20">IF(OR(ISNUMBER(F194),ISNUMBER(G194)),C194+(0.5-E194)*(C195-C194)/(E195-E194),"")</f>
        <v/>
      </c>
      <c r="I194" s="22" t="e">
        <f t="shared" ref="I194:I257" si="21">IF(AND(ISNUMBER(E194),ISNUMBER($M$15)),C194-$M$15,NA())</f>
        <v>#N/A</v>
      </c>
      <c r="J194" s="28" t="e">
        <f t="shared" ref="J194:J257" si="22">IF(ISNUMBER(E194),E194,NA())</f>
        <v>#N/A</v>
      </c>
      <c r="K194" s="22" t="str">
        <f t="shared" ref="K194:K257" si="23">IF(AND(ISNUMBER(C194),ISNUMBER(C195)),SIGN(C195-C194),"")</f>
        <v/>
      </c>
    </row>
    <row r="195" spans="3:11" x14ac:dyDescent="0.3">
      <c r="C195" s="22" t="str">
        <f t="shared" si="18"/>
        <v/>
      </c>
      <c r="D195" s="28" t="str">
        <f>IF(ISNUMBER(B195),AVERAGE(INDEX($B$2:$B$301,MAX(1,194-semi)):INDEX($B$2:$B$301,MIN($M$2,194+semi))),"")</f>
        <v/>
      </c>
      <c r="E195" s="28" t="str">
        <f t="shared" si="19"/>
        <v/>
      </c>
      <c r="F195" s="22" t="str">
        <f>IF(AND(ISNUMBER(E195),ISNUMBER(E196),ISNUMBER($M$6)),IF(AND(195&lt;$M$6,E195&lt;0.5,E196&gt;=0.5),195,""),"")</f>
        <v/>
      </c>
      <c r="G195" s="22" t="str">
        <f>IF(AND(ISNUMBER(E195),ISNUMBER(E196),ISNUMBER($M$6)),IF(AND(195&gt;=$M$6,E195&gt;=0.5,E196&lt;0.5),195,""),"")</f>
        <v/>
      </c>
      <c r="H195" s="22" t="str">
        <f t="shared" si="20"/>
        <v/>
      </c>
      <c r="I195" s="22" t="e">
        <f t="shared" si="21"/>
        <v>#N/A</v>
      </c>
      <c r="J195" s="28" t="e">
        <f t="shared" si="22"/>
        <v>#N/A</v>
      </c>
      <c r="K195" s="22" t="str">
        <f t="shared" si="23"/>
        <v/>
      </c>
    </row>
    <row r="196" spans="3:11" x14ac:dyDescent="0.3">
      <c r="C196" s="22" t="str">
        <f t="shared" si="18"/>
        <v/>
      </c>
      <c r="D196" s="28" t="str">
        <f>IF(ISNUMBER(B196),AVERAGE(INDEX($B$2:$B$301,MAX(1,195-semi)):INDEX($B$2:$B$301,MIN($M$2,195+semi))),"")</f>
        <v/>
      </c>
      <c r="E196" s="28" t="str">
        <f t="shared" si="19"/>
        <v/>
      </c>
      <c r="F196" s="22" t="str">
        <f>IF(AND(ISNUMBER(E196),ISNUMBER(E197),ISNUMBER($M$6)),IF(AND(196&lt;$M$6,E196&lt;0.5,E197&gt;=0.5),196,""),"")</f>
        <v/>
      </c>
      <c r="G196" s="22" t="str">
        <f>IF(AND(ISNUMBER(E196),ISNUMBER(E197),ISNUMBER($M$6)),IF(AND(196&gt;=$M$6,E196&gt;=0.5,E197&lt;0.5),196,""),"")</f>
        <v/>
      </c>
      <c r="H196" s="22" t="str">
        <f t="shared" si="20"/>
        <v/>
      </c>
      <c r="I196" s="22" t="e">
        <f t="shared" si="21"/>
        <v>#N/A</v>
      </c>
      <c r="J196" s="28" t="e">
        <f t="shared" si="22"/>
        <v>#N/A</v>
      </c>
      <c r="K196" s="22" t="str">
        <f t="shared" si="23"/>
        <v/>
      </c>
    </row>
    <row r="197" spans="3:11" x14ac:dyDescent="0.3">
      <c r="C197" s="22" t="str">
        <f t="shared" si="18"/>
        <v/>
      </c>
      <c r="D197" s="28" t="str">
        <f>IF(ISNUMBER(B197),AVERAGE(INDEX($B$2:$B$301,MAX(1,196-semi)):INDEX($B$2:$B$301,MIN($M$2,196+semi))),"")</f>
        <v/>
      </c>
      <c r="E197" s="28" t="str">
        <f t="shared" si="19"/>
        <v/>
      </c>
      <c r="F197" s="22" t="str">
        <f>IF(AND(ISNUMBER(E197),ISNUMBER(E198),ISNUMBER($M$6)),IF(AND(197&lt;$M$6,E197&lt;0.5,E198&gt;=0.5),197,""),"")</f>
        <v/>
      </c>
      <c r="G197" s="22" t="str">
        <f>IF(AND(ISNUMBER(E197),ISNUMBER(E198),ISNUMBER($M$6)),IF(AND(197&gt;=$M$6,E197&gt;=0.5,E198&lt;0.5),197,""),"")</f>
        <v/>
      </c>
      <c r="H197" s="22" t="str">
        <f t="shared" si="20"/>
        <v/>
      </c>
      <c r="I197" s="22" t="e">
        <f t="shared" si="21"/>
        <v>#N/A</v>
      </c>
      <c r="J197" s="28" t="e">
        <f t="shared" si="22"/>
        <v>#N/A</v>
      </c>
      <c r="K197" s="22" t="str">
        <f t="shared" si="23"/>
        <v/>
      </c>
    </row>
    <row r="198" spans="3:11" x14ac:dyDescent="0.3">
      <c r="C198" s="22" t="str">
        <f t="shared" si="18"/>
        <v/>
      </c>
      <c r="D198" s="28" t="str">
        <f>IF(ISNUMBER(B198),AVERAGE(INDEX($B$2:$B$301,MAX(1,197-semi)):INDEX($B$2:$B$301,MIN($M$2,197+semi))),"")</f>
        <v/>
      </c>
      <c r="E198" s="28" t="str">
        <f t="shared" si="19"/>
        <v/>
      </c>
      <c r="F198" s="22" t="str">
        <f>IF(AND(ISNUMBER(E198),ISNUMBER(E199),ISNUMBER($M$6)),IF(AND(198&lt;$M$6,E198&lt;0.5,E199&gt;=0.5),198,""),"")</f>
        <v/>
      </c>
      <c r="G198" s="22" t="str">
        <f>IF(AND(ISNUMBER(E198),ISNUMBER(E199),ISNUMBER($M$6)),IF(AND(198&gt;=$M$6,E198&gt;=0.5,E199&lt;0.5),198,""),"")</f>
        <v/>
      </c>
      <c r="H198" s="22" t="str">
        <f t="shared" si="20"/>
        <v/>
      </c>
      <c r="I198" s="22" t="e">
        <f t="shared" si="21"/>
        <v>#N/A</v>
      </c>
      <c r="J198" s="28" t="e">
        <f t="shared" si="22"/>
        <v>#N/A</v>
      </c>
      <c r="K198" s="22" t="str">
        <f t="shared" si="23"/>
        <v/>
      </c>
    </row>
    <row r="199" spans="3:11" x14ac:dyDescent="0.3">
      <c r="C199" s="22" t="str">
        <f t="shared" si="18"/>
        <v/>
      </c>
      <c r="D199" s="28" t="str">
        <f>IF(ISNUMBER(B199),AVERAGE(INDEX($B$2:$B$301,MAX(1,198-semi)):INDEX($B$2:$B$301,MIN($M$2,198+semi))),"")</f>
        <v/>
      </c>
      <c r="E199" s="28" t="str">
        <f t="shared" si="19"/>
        <v/>
      </c>
      <c r="F199" s="22" t="str">
        <f>IF(AND(ISNUMBER(E199),ISNUMBER(E200),ISNUMBER($M$6)),IF(AND(199&lt;$M$6,E199&lt;0.5,E200&gt;=0.5),199,""),"")</f>
        <v/>
      </c>
      <c r="G199" s="22" t="str">
        <f>IF(AND(ISNUMBER(E199),ISNUMBER(E200),ISNUMBER($M$6)),IF(AND(199&gt;=$M$6,E199&gt;=0.5,E200&lt;0.5),199,""),"")</f>
        <v/>
      </c>
      <c r="H199" s="22" t="str">
        <f t="shared" si="20"/>
        <v/>
      </c>
      <c r="I199" s="22" t="e">
        <f t="shared" si="21"/>
        <v>#N/A</v>
      </c>
      <c r="J199" s="28" t="e">
        <f t="shared" si="22"/>
        <v>#N/A</v>
      </c>
      <c r="K199" s="22" t="str">
        <f t="shared" si="23"/>
        <v/>
      </c>
    </row>
    <row r="200" spans="3:11" x14ac:dyDescent="0.3">
      <c r="C200" s="22" t="str">
        <f t="shared" si="18"/>
        <v/>
      </c>
      <c r="D200" s="28" t="str">
        <f>IF(ISNUMBER(B200),AVERAGE(INDEX($B$2:$B$301,MAX(1,199-semi)):INDEX($B$2:$B$301,MIN($M$2,199+semi))),"")</f>
        <v/>
      </c>
      <c r="E200" s="28" t="str">
        <f t="shared" si="19"/>
        <v/>
      </c>
      <c r="F200" s="22" t="str">
        <f>IF(AND(ISNUMBER(E200),ISNUMBER(E201),ISNUMBER($M$6)),IF(AND(200&lt;$M$6,E200&lt;0.5,E201&gt;=0.5),200,""),"")</f>
        <v/>
      </c>
      <c r="G200" s="22" t="str">
        <f>IF(AND(ISNUMBER(E200),ISNUMBER(E201),ISNUMBER($M$6)),IF(AND(200&gt;=$M$6,E200&gt;=0.5,E201&lt;0.5),200,""),"")</f>
        <v/>
      </c>
      <c r="H200" s="22" t="str">
        <f t="shared" si="20"/>
        <v/>
      </c>
      <c r="I200" s="22" t="e">
        <f t="shared" si="21"/>
        <v>#N/A</v>
      </c>
      <c r="J200" s="28" t="e">
        <f t="shared" si="22"/>
        <v>#N/A</v>
      </c>
      <c r="K200" s="22" t="str">
        <f t="shared" si="23"/>
        <v/>
      </c>
    </row>
    <row r="201" spans="3:11" x14ac:dyDescent="0.3">
      <c r="C201" s="22" t="str">
        <f t="shared" si="18"/>
        <v/>
      </c>
      <c r="D201" s="28" t="str">
        <f>IF(ISNUMBER(B201),AVERAGE(INDEX($B$2:$B$301,MAX(1,200-semi)):INDEX($B$2:$B$301,MIN($M$2,200+semi))),"")</f>
        <v/>
      </c>
      <c r="E201" s="28" t="str">
        <f t="shared" si="19"/>
        <v/>
      </c>
      <c r="F201" s="22" t="str">
        <f>IF(AND(ISNUMBER(E201),ISNUMBER(E202),ISNUMBER($M$6)),IF(AND(201&lt;$M$6,E201&lt;0.5,E202&gt;=0.5),201,""),"")</f>
        <v/>
      </c>
      <c r="G201" s="22" t="str">
        <f>IF(AND(ISNUMBER(E201),ISNUMBER(E202),ISNUMBER($M$6)),IF(AND(201&gt;=$M$6,E201&gt;=0.5,E202&lt;0.5),201,""),"")</f>
        <v/>
      </c>
      <c r="H201" s="22" t="str">
        <f t="shared" si="20"/>
        <v/>
      </c>
      <c r="I201" s="22" t="e">
        <f t="shared" si="21"/>
        <v>#N/A</v>
      </c>
      <c r="J201" s="28" t="e">
        <f t="shared" si="22"/>
        <v>#N/A</v>
      </c>
      <c r="K201" s="22" t="str">
        <f t="shared" si="23"/>
        <v/>
      </c>
    </row>
    <row r="202" spans="3:11" x14ac:dyDescent="0.3">
      <c r="C202" s="22" t="str">
        <f t="shared" si="18"/>
        <v/>
      </c>
      <c r="D202" s="28" t="str">
        <f>IF(ISNUMBER(B202),AVERAGE(INDEX($B$2:$B$301,MAX(1,201-semi)):INDEX($B$2:$B$301,MIN($M$2,201+semi))),"")</f>
        <v/>
      </c>
      <c r="E202" s="28" t="str">
        <f t="shared" si="19"/>
        <v/>
      </c>
      <c r="F202" s="22" t="str">
        <f>IF(AND(ISNUMBER(E202),ISNUMBER(E203),ISNUMBER($M$6)),IF(AND(202&lt;$M$6,E202&lt;0.5,E203&gt;=0.5),202,""),"")</f>
        <v/>
      </c>
      <c r="G202" s="22" t="str">
        <f>IF(AND(ISNUMBER(E202),ISNUMBER(E203),ISNUMBER($M$6)),IF(AND(202&gt;=$M$6,E202&gt;=0.5,E203&lt;0.5),202,""),"")</f>
        <v/>
      </c>
      <c r="H202" s="22" t="str">
        <f t="shared" si="20"/>
        <v/>
      </c>
      <c r="I202" s="22" t="e">
        <f t="shared" si="21"/>
        <v>#N/A</v>
      </c>
      <c r="J202" s="28" t="e">
        <f t="shared" si="22"/>
        <v>#N/A</v>
      </c>
      <c r="K202" s="22" t="str">
        <f t="shared" si="23"/>
        <v/>
      </c>
    </row>
    <row r="203" spans="3:11" x14ac:dyDescent="0.3">
      <c r="C203" s="22" t="str">
        <f t="shared" si="18"/>
        <v/>
      </c>
      <c r="D203" s="28" t="str">
        <f>IF(ISNUMBER(B203),AVERAGE(INDEX($B$2:$B$301,MAX(1,202-semi)):INDEX($B$2:$B$301,MIN($M$2,202+semi))),"")</f>
        <v/>
      </c>
      <c r="E203" s="28" t="str">
        <f t="shared" si="19"/>
        <v/>
      </c>
      <c r="F203" s="22" t="str">
        <f>IF(AND(ISNUMBER(E203),ISNUMBER(E204),ISNUMBER($M$6)),IF(AND(203&lt;$M$6,E203&lt;0.5,E204&gt;=0.5),203,""),"")</f>
        <v/>
      </c>
      <c r="G203" s="22" t="str">
        <f>IF(AND(ISNUMBER(E203),ISNUMBER(E204),ISNUMBER($M$6)),IF(AND(203&gt;=$M$6,E203&gt;=0.5,E204&lt;0.5),203,""),"")</f>
        <v/>
      </c>
      <c r="H203" s="22" t="str">
        <f t="shared" si="20"/>
        <v/>
      </c>
      <c r="I203" s="22" t="e">
        <f t="shared" si="21"/>
        <v>#N/A</v>
      </c>
      <c r="J203" s="28" t="e">
        <f t="shared" si="22"/>
        <v>#N/A</v>
      </c>
      <c r="K203" s="22" t="str">
        <f t="shared" si="23"/>
        <v/>
      </c>
    </row>
    <row r="204" spans="3:11" x14ac:dyDescent="0.3">
      <c r="C204" s="22" t="str">
        <f t="shared" si="18"/>
        <v/>
      </c>
      <c r="D204" s="28" t="str">
        <f>IF(ISNUMBER(B204),AVERAGE(INDEX($B$2:$B$301,MAX(1,203-semi)):INDEX($B$2:$B$301,MIN($M$2,203+semi))),"")</f>
        <v/>
      </c>
      <c r="E204" s="28" t="str">
        <f t="shared" si="19"/>
        <v/>
      </c>
      <c r="F204" s="22" t="str">
        <f>IF(AND(ISNUMBER(E204),ISNUMBER(E205),ISNUMBER($M$6)),IF(AND(204&lt;$M$6,E204&lt;0.5,E205&gt;=0.5),204,""),"")</f>
        <v/>
      </c>
      <c r="G204" s="22" t="str">
        <f>IF(AND(ISNUMBER(E204),ISNUMBER(E205),ISNUMBER($M$6)),IF(AND(204&gt;=$M$6,E204&gt;=0.5,E205&lt;0.5),204,""),"")</f>
        <v/>
      </c>
      <c r="H204" s="22" t="str">
        <f t="shared" si="20"/>
        <v/>
      </c>
      <c r="I204" s="22" t="e">
        <f t="shared" si="21"/>
        <v>#N/A</v>
      </c>
      <c r="J204" s="28" t="e">
        <f t="shared" si="22"/>
        <v>#N/A</v>
      </c>
      <c r="K204" s="22" t="str">
        <f t="shared" si="23"/>
        <v/>
      </c>
    </row>
    <row r="205" spans="3:11" x14ac:dyDescent="0.3">
      <c r="C205" s="22" t="str">
        <f t="shared" si="18"/>
        <v/>
      </c>
      <c r="D205" s="28" t="str">
        <f>IF(ISNUMBER(B205),AVERAGE(INDEX($B$2:$B$301,MAX(1,204-semi)):INDEX($B$2:$B$301,MIN($M$2,204+semi))),"")</f>
        <v/>
      </c>
      <c r="E205" s="28" t="str">
        <f t="shared" si="19"/>
        <v/>
      </c>
      <c r="F205" s="22" t="str">
        <f>IF(AND(ISNUMBER(E205),ISNUMBER(E206),ISNUMBER($M$6)),IF(AND(205&lt;$M$6,E205&lt;0.5,E206&gt;=0.5),205,""),"")</f>
        <v/>
      </c>
      <c r="G205" s="22" t="str">
        <f>IF(AND(ISNUMBER(E205),ISNUMBER(E206),ISNUMBER($M$6)),IF(AND(205&gt;=$M$6,E205&gt;=0.5,E206&lt;0.5),205,""),"")</f>
        <v/>
      </c>
      <c r="H205" s="22" t="str">
        <f t="shared" si="20"/>
        <v/>
      </c>
      <c r="I205" s="22" t="e">
        <f t="shared" si="21"/>
        <v>#N/A</v>
      </c>
      <c r="J205" s="28" t="e">
        <f t="shared" si="22"/>
        <v>#N/A</v>
      </c>
      <c r="K205" s="22" t="str">
        <f t="shared" si="23"/>
        <v/>
      </c>
    </row>
    <row r="206" spans="3:11" x14ac:dyDescent="0.3">
      <c r="C206" s="22" t="str">
        <f t="shared" si="18"/>
        <v/>
      </c>
      <c r="D206" s="28" t="str">
        <f>IF(ISNUMBER(B206),AVERAGE(INDEX($B$2:$B$301,MAX(1,205-semi)):INDEX($B$2:$B$301,MIN($M$2,205+semi))),"")</f>
        <v/>
      </c>
      <c r="E206" s="28" t="str">
        <f t="shared" si="19"/>
        <v/>
      </c>
      <c r="F206" s="22" t="str">
        <f>IF(AND(ISNUMBER(E206),ISNUMBER(E207),ISNUMBER($M$6)),IF(AND(206&lt;$M$6,E206&lt;0.5,E207&gt;=0.5),206,""),"")</f>
        <v/>
      </c>
      <c r="G206" s="22" t="str">
        <f>IF(AND(ISNUMBER(E206),ISNUMBER(E207),ISNUMBER($M$6)),IF(AND(206&gt;=$M$6,E206&gt;=0.5,E207&lt;0.5),206,""),"")</f>
        <v/>
      </c>
      <c r="H206" s="22" t="str">
        <f t="shared" si="20"/>
        <v/>
      </c>
      <c r="I206" s="22" t="e">
        <f t="shared" si="21"/>
        <v>#N/A</v>
      </c>
      <c r="J206" s="28" t="e">
        <f t="shared" si="22"/>
        <v>#N/A</v>
      </c>
      <c r="K206" s="22" t="str">
        <f t="shared" si="23"/>
        <v/>
      </c>
    </row>
    <row r="207" spans="3:11" x14ac:dyDescent="0.3">
      <c r="C207" s="22" t="str">
        <f t="shared" si="18"/>
        <v/>
      </c>
      <c r="D207" s="28" t="str">
        <f>IF(ISNUMBER(B207),AVERAGE(INDEX($B$2:$B$301,MAX(1,206-semi)):INDEX($B$2:$B$301,MIN($M$2,206+semi))),"")</f>
        <v/>
      </c>
      <c r="E207" s="28" t="str">
        <f t="shared" si="19"/>
        <v/>
      </c>
      <c r="F207" s="22" t="str">
        <f>IF(AND(ISNUMBER(E207),ISNUMBER(E208),ISNUMBER($M$6)),IF(AND(207&lt;$M$6,E207&lt;0.5,E208&gt;=0.5),207,""),"")</f>
        <v/>
      </c>
      <c r="G207" s="22" t="str">
        <f>IF(AND(ISNUMBER(E207),ISNUMBER(E208),ISNUMBER($M$6)),IF(AND(207&gt;=$M$6,E207&gt;=0.5,E208&lt;0.5),207,""),"")</f>
        <v/>
      </c>
      <c r="H207" s="22" t="str">
        <f t="shared" si="20"/>
        <v/>
      </c>
      <c r="I207" s="22" t="e">
        <f t="shared" si="21"/>
        <v>#N/A</v>
      </c>
      <c r="J207" s="28" t="e">
        <f t="shared" si="22"/>
        <v>#N/A</v>
      </c>
      <c r="K207" s="22" t="str">
        <f t="shared" si="23"/>
        <v/>
      </c>
    </row>
    <row r="208" spans="3:11" x14ac:dyDescent="0.3">
      <c r="C208" s="22" t="str">
        <f t="shared" si="18"/>
        <v/>
      </c>
      <c r="D208" s="28" t="str">
        <f>IF(ISNUMBER(B208),AVERAGE(INDEX($B$2:$B$301,MAX(1,207-semi)):INDEX($B$2:$B$301,MIN($M$2,207+semi))),"")</f>
        <v/>
      </c>
      <c r="E208" s="28" t="str">
        <f t="shared" si="19"/>
        <v/>
      </c>
      <c r="F208" s="22" t="str">
        <f>IF(AND(ISNUMBER(E208),ISNUMBER(E209),ISNUMBER($M$6)),IF(AND(208&lt;$M$6,E208&lt;0.5,E209&gt;=0.5),208,""),"")</f>
        <v/>
      </c>
      <c r="G208" s="22" t="str">
        <f>IF(AND(ISNUMBER(E208),ISNUMBER(E209),ISNUMBER($M$6)),IF(AND(208&gt;=$M$6,E208&gt;=0.5,E209&lt;0.5),208,""),"")</f>
        <v/>
      </c>
      <c r="H208" s="22" t="str">
        <f t="shared" si="20"/>
        <v/>
      </c>
      <c r="I208" s="22" t="e">
        <f t="shared" si="21"/>
        <v>#N/A</v>
      </c>
      <c r="J208" s="28" t="e">
        <f t="shared" si="22"/>
        <v>#N/A</v>
      </c>
      <c r="K208" s="22" t="str">
        <f t="shared" si="23"/>
        <v/>
      </c>
    </row>
    <row r="209" spans="3:11" x14ac:dyDescent="0.3">
      <c r="C209" s="22" t="str">
        <f t="shared" si="18"/>
        <v/>
      </c>
      <c r="D209" s="28" t="str">
        <f>IF(ISNUMBER(B209),AVERAGE(INDEX($B$2:$B$301,MAX(1,208-semi)):INDEX($B$2:$B$301,MIN($M$2,208+semi))),"")</f>
        <v/>
      </c>
      <c r="E209" s="28" t="str">
        <f t="shared" si="19"/>
        <v/>
      </c>
      <c r="F209" s="22" t="str">
        <f>IF(AND(ISNUMBER(E209),ISNUMBER(E210),ISNUMBER($M$6)),IF(AND(209&lt;$M$6,E209&lt;0.5,E210&gt;=0.5),209,""),"")</f>
        <v/>
      </c>
      <c r="G209" s="22" t="str">
        <f>IF(AND(ISNUMBER(E209),ISNUMBER(E210),ISNUMBER($M$6)),IF(AND(209&gt;=$M$6,E209&gt;=0.5,E210&lt;0.5),209,""),"")</f>
        <v/>
      </c>
      <c r="H209" s="22" t="str">
        <f t="shared" si="20"/>
        <v/>
      </c>
      <c r="I209" s="22" t="e">
        <f t="shared" si="21"/>
        <v>#N/A</v>
      </c>
      <c r="J209" s="28" t="e">
        <f t="shared" si="22"/>
        <v>#N/A</v>
      </c>
      <c r="K209" s="22" t="str">
        <f t="shared" si="23"/>
        <v/>
      </c>
    </row>
    <row r="210" spans="3:11" x14ac:dyDescent="0.3">
      <c r="C210" s="22" t="str">
        <f t="shared" si="18"/>
        <v/>
      </c>
      <c r="D210" s="28" t="str">
        <f>IF(ISNUMBER(B210),AVERAGE(INDEX($B$2:$B$301,MAX(1,209-semi)):INDEX($B$2:$B$301,MIN($M$2,209+semi))),"")</f>
        <v/>
      </c>
      <c r="E210" s="28" t="str">
        <f t="shared" si="19"/>
        <v/>
      </c>
      <c r="F210" s="22" t="str">
        <f>IF(AND(ISNUMBER(E210),ISNUMBER(E211),ISNUMBER($M$6)),IF(AND(210&lt;$M$6,E210&lt;0.5,E211&gt;=0.5),210,""),"")</f>
        <v/>
      </c>
      <c r="G210" s="22" t="str">
        <f>IF(AND(ISNUMBER(E210),ISNUMBER(E211),ISNUMBER($M$6)),IF(AND(210&gt;=$M$6,E210&gt;=0.5,E211&lt;0.5),210,""),"")</f>
        <v/>
      </c>
      <c r="H210" s="22" t="str">
        <f t="shared" si="20"/>
        <v/>
      </c>
      <c r="I210" s="22" t="e">
        <f t="shared" si="21"/>
        <v>#N/A</v>
      </c>
      <c r="J210" s="28" t="e">
        <f t="shared" si="22"/>
        <v>#N/A</v>
      </c>
      <c r="K210" s="22" t="str">
        <f t="shared" si="23"/>
        <v/>
      </c>
    </row>
    <row r="211" spans="3:11" x14ac:dyDescent="0.3">
      <c r="C211" s="22" t="str">
        <f t="shared" si="18"/>
        <v/>
      </c>
      <c r="D211" s="28" t="str">
        <f>IF(ISNUMBER(B211),AVERAGE(INDEX($B$2:$B$301,MAX(1,210-semi)):INDEX($B$2:$B$301,MIN($M$2,210+semi))),"")</f>
        <v/>
      </c>
      <c r="E211" s="28" t="str">
        <f t="shared" si="19"/>
        <v/>
      </c>
      <c r="F211" s="22" t="str">
        <f>IF(AND(ISNUMBER(E211),ISNUMBER(E212),ISNUMBER($M$6)),IF(AND(211&lt;$M$6,E211&lt;0.5,E212&gt;=0.5),211,""),"")</f>
        <v/>
      </c>
      <c r="G211" s="22" t="str">
        <f>IF(AND(ISNUMBER(E211),ISNUMBER(E212),ISNUMBER($M$6)),IF(AND(211&gt;=$M$6,E211&gt;=0.5,E212&lt;0.5),211,""),"")</f>
        <v/>
      </c>
      <c r="H211" s="22" t="str">
        <f t="shared" si="20"/>
        <v/>
      </c>
      <c r="I211" s="22" t="e">
        <f t="shared" si="21"/>
        <v>#N/A</v>
      </c>
      <c r="J211" s="28" t="e">
        <f t="shared" si="22"/>
        <v>#N/A</v>
      </c>
      <c r="K211" s="22" t="str">
        <f t="shared" si="23"/>
        <v/>
      </c>
    </row>
    <row r="212" spans="3:11" x14ac:dyDescent="0.3">
      <c r="C212" s="22" t="str">
        <f t="shared" si="18"/>
        <v/>
      </c>
      <c r="D212" s="28" t="str">
        <f>IF(ISNUMBER(B212),AVERAGE(INDEX($B$2:$B$301,MAX(1,211-semi)):INDEX($B$2:$B$301,MIN($M$2,211+semi))),"")</f>
        <v/>
      </c>
      <c r="E212" s="28" t="str">
        <f t="shared" si="19"/>
        <v/>
      </c>
      <c r="F212" s="22" t="str">
        <f>IF(AND(ISNUMBER(E212),ISNUMBER(E213),ISNUMBER($M$6)),IF(AND(212&lt;$M$6,E212&lt;0.5,E213&gt;=0.5),212,""),"")</f>
        <v/>
      </c>
      <c r="G212" s="22" t="str">
        <f>IF(AND(ISNUMBER(E212),ISNUMBER(E213),ISNUMBER($M$6)),IF(AND(212&gt;=$M$6,E212&gt;=0.5,E213&lt;0.5),212,""),"")</f>
        <v/>
      </c>
      <c r="H212" s="22" t="str">
        <f t="shared" si="20"/>
        <v/>
      </c>
      <c r="I212" s="22" t="e">
        <f t="shared" si="21"/>
        <v>#N/A</v>
      </c>
      <c r="J212" s="28" t="e">
        <f t="shared" si="22"/>
        <v>#N/A</v>
      </c>
      <c r="K212" s="22" t="str">
        <f t="shared" si="23"/>
        <v/>
      </c>
    </row>
    <row r="213" spans="3:11" x14ac:dyDescent="0.3">
      <c r="C213" s="22" t="str">
        <f t="shared" si="18"/>
        <v/>
      </c>
      <c r="D213" s="28" t="str">
        <f>IF(ISNUMBER(B213),AVERAGE(INDEX($B$2:$B$301,MAX(1,212-semi)):INDEX($B$2:$B$301,MIN($M$2,212+semi))),"")</f>
        <v/>
      </c>
      <c r="E213" s="28" t="str">
        <f t="shared" si="19"/>
        <v/>
      </c>
      <c r="F213" s="22" t="str">
        <f>IF(AND(ISNUMBER(E213),ISNUMBER(E214),ISNUMBER($M$6)),IF(AND(213&lt;$M$6,E213&lt;0.5,E214&gt;=0.5),213,""),"")</f>
        <v/>
      </c>
      <c r="G213" s="22" t="str">
        <f>IF(AND(ISNUMBER(E213),ISNUMBER(E214),ISNUMBER($M$6)),IF(AND(213&gt;=$M$6,E213&gt;=0.5,E214&lt;0.5),213,""),"")</f>
        <v/>
      </c>
      <c r="H213" s="22" t="str">
        <f t="shared" si="20"/>
        <v/>
      </c>
      <c r="I213" s="22" t="e">
        <f t="shared" si="21"/>
        <v>#N/A</v>
      </c>
      <c r="J213" s="28" t="e">
        <f t="shared" si="22"/>
        <v>#N/A</v>
      </c>
      <c r="K213" s="22" t="str">
        <f t="shared" si="23"/>
        <v/>
      </c>
    </row>
    <row r="214" spans="3:11" x14ac:dyDescent="0.3">
      <c r="C214" s="22" t="str">
        <f t="shared" si="18"/>
        <v/>
      </c>
      <c r="D214" s="28" t="str">
        <f>IF(ISNUMBER(B214),AVERAGE(INDEX($B$2:$B$301,MAX(1,213-semi)):INDEX($B$2:$B$301,MIN($M$2,213+semi))),"")</f>
        <v/>
      </c>
      <c r="E214" s="28" t="str">
        <f t="shared" si="19"/>
        <v/>
      </c>
      <c r="F214" s="22" t="str">
        <f>IF(AND(ISNUMBER(E214),ISNUMBER(E215),ISNUMBER($M$6)),IF(AND(214&lt;$M$6,E214&lt;0.5,E215&gt;=0.5),214,""),"")</f>
        <v/>
      </c>
      <c r="G214" s="22" t="str">
        <f>IF(AND(ISNUMBER(E214),ISNUMBER(E215),ISNUMBER($M$6)),IF(AND(214&gt;=$M$6,E214&gt;=0.5,E215&lt;0.5),214,""),"")</f>
        <v/>
      </c>
      <c r="H214" s="22" t="str">
        <f t="shared" si="20"/>
        <v/>
      </c>
      <c r="I214" s="22" t="e">
        <f t="shared" si="21"/>
        <v>#N/A</v>
      </c>
      <c r="J214" s="28" t="e">
        <f t="shared" si="22"/>
        <v>#N/A</v>
      </c>
      <c r="K214" s="22" t="str">
        <f t="shared" si="23"/>
        <v/>
      </c>
    </row>
    <row r="215" spans="3:11" x14ac:dyDescent="0.3">
      <c r="C215" s="22" t="str">
        <f t="shared" si="18"/>
        <v/>
      </c>
      <c r="D215" s="28" t="str">
        <f>IF(ISNUMBER(B215),AVERAGE(INDEX($B$2:$B$301,MAX(1,214-semi)):INDEX($B$2:$B$301,MIN($M$2,214+semi))),"")</f>
        <v/>
      </c>
      <c r="E215" s="28" t="str">
        <f t="shared" si="19"/>
        <v/>
      </c>
      <c r="F215" s="22" t="str">
        <f>IF(AND(ISNUMBER(E215),ISNUMBER(E216),ISNUMBER($M$6)),IF(AND(215&lt;$M$6,E215&lt;0.5,E216&gt;=0.5),215,""),"")</f>
        <v/>
      </c>
      <c r="G215" s="22" t="str">
        <f>IF(AND(ISNUMBER(E215),ISNUMBER(E216),ISNUMBER($M$6)),IF(AND(215&gt;=$M$6,E215&gt;=0.5,E216&lt;0.5),215,""),"")</f>
        <v/>
      </c>
      <c r="H215" s="22" t="str">
        <f t="shared" si="20"/>
        <v/>
      </c>
      <c r="I215" s="22" t="e">
        <f t="shared" si="21"/>
        <v>#N/A</v>
      </c>
      <c r="J215" s="28" t="e">
        <f t="shared" si="22"/>
        <v>#N/A</v>
      </c>
      <c r="K215" s="22" t="str">
        <f t="shared" si="23"/>
        <v/>
      </c>
    </row>
    <row r="216" spans="3:11" x14ac:dyDescent="0.3">
      <c r="C216" s="22" t="str">
        <f t="shared" si="18"/>
        <v/>
      </c>
      <c r="D216" s="28" t="str">
        <f>IF(ISNUMBER(B216),AVERAGE(INDEX($B$2:$B$301,MAX(1,215-semi)):INDEX($B$2:$B$301,MIN($M$2,215+semi))),"")</f>
        <v/>
      </c>
      <c r="E216" s="28" t="str">
        <f t="shared" si="19"/>
        <v/>
      </c>
      <c r="F216" s="22" t="str">
        <f>IF(AND(ISNUMBER(E216),ISNUMBER(E217),ISNUMBER($M$6)),IF(AND(216&lt;$M$6,E216&lt;0.5,E217&gt;=0.5),216,""),"")</f>
        <v/>
      </c>
      <c r="G216" s="22" t="str">
        <f>IF(AND(ISNUMBER(E216),ISNUMBER(E217),ISNUMBER($M$6)),IF(AND(216&gt;=$M$6,E216&gt;=0.5,E217&lt;0.5),216,""),"")</f>
        <v/>
      </c>
      <c r="H216" s="22" t="str">
        <f t="shared" si="20"/>
        <v/>
      </c>
      <c r="I216" s="22" t="e">
        <f t="shared" si="21"/>
        <v>#N/A</v>
      </c>
      <c r="J216" s="28" t="e">
        <f t="shared" si="22"/>
        <v>#N/A</v>
      </c>
      <c r="K216" s="22" t="str">
        <f t="shared" si="23"/>
        <v/>
      </c>
    </row>
    <row r="217" spans="3:11" x14ac:dyDescent="0.3">
      <c r="C217" s="22" t="str">
        <f t="shared" si="18"/>
        <v/>
      </c>
      <c r="D217" s="28" t="str">
        <f>IF(ISNUMBER(B217),AVERAGE(INDEX($B$2:$B$301,MAX(1,216-semi)):INDEX($B$2:$B$301,MIN($M$2,216+semi))),"")</f>
        <v/>
      </c>
      <c r="E217" s="28" t="str">
        <f t="shared" si="19"/>
        <v/>
      </c>
      <c r="F217" s="22" t="str">
        <f>IF(AND(ISNUMBER(E217),ISNUMBER(E218),ISNUMBER($M$6)),IF(AND(217&lt;$M$6,E217&lt;0.5,E218&gt;=0.5),217,""),"")</f>
        <v/>
      </c>
      <c r="G217" s="22" t="str">
        <f>IF(AND(ISNUMBER(E217),ISNUMBER(E218),ISNUMBER($M$6)),IF(AND(217&gt;=$M$6,E217&gt;=0.5,E218&lt;0.5),217,""),"")</f>
        <v/>
      </c>
      <c r="H217" s="22" t="str">
        <f t="shared" si="20"/>
        <v/>
      </c>
      <c r="I217" s="22" t="e">
        <f t="shared" si="21"/>
        <v>#N/A</v>
      </c>
      <c r="J217" s="28" t="e">
        <f t="shared" si="22"/>
        <v>#N/A</v>
      </c>
      <c r="K217" s="22" t="str">
        <f t="shared" si="23"/>
        <v/>
      </c>
    </row>
    <row r="218" spans="3:11" x14ac:dyDescent="0.3">
      <c r="C218" s="22" t="str">
        <f t="shared" si="18"/>
        <v/>
      </c>
      <c r="D218" s="28" t="str">
        <f>IF(ISNUMBER(B218),AVERAGE(INDEX($B$2:$B$301,MAX(1,217-semi)):INDEX($B$2:$B$301,MIN($M$2,217+semi))),"")</f>
        <v/>
      </c>
      <c r="E218" s="28" t="str">
        <f t="shared" si="19"/>
        <v/>
      </c>
      <c r="F218" s="22" t="str">
        <f>IF(AND(ISNUMBER(E218),ISNUMBER(E219),ISNUMBER($M$6)),IF(AND(218&lt;$M$6,E218&lt;0.5,E219&gt;=0.5),218,""),"")</f>
        <v/>
      </c>
      <c r="G218" s="22" t="str">
        <f>IF(AND(ISNUMBER(E218),ISNUMBER(E219),ISNUMBER($M$6)),IF(AND(218&gt;=$M$6,E218&gt;=0.5,E219&lt;0.5),218,""),"")</f>
        <v/>
      </c>
      <c r="H218" s="22" t="str">
        <f t="shared" si="20"/>
        <v/>
      </c>
      <c r="I218" s="22" t="e">
        <f t="shared" si="21"/>
        <v>#N/A</v>
      </c>
      <c r="J218" s="28" t="e">
        <f t="shared" si="22"/>
        <v>#N/A</v>
      </c>
      <c r="K218" s="22" t="str">
        <f t="shared" si="23"/>
        <v/>
      </c>
    </row>
    <row r="219" spans="3:11" x14ac:dyDescent="0.3">
      <c r="C219" s="22" t="str">
        <f t="shared" si="18"/>
        <v/>
      </c>
      <c r="D219" s="28" t="str">
        <f>IF(ISNUMBER(B219),AVERAGE(INDEX($B$2:$B$301,MAX(1,218-semi)):INDEX($B$2:$B$301,MIN($M$2,218+semi))),"")</f>
        <v/>
      </c>
      <c r="E219" s="28" t="str">
        <f t="shared" si="19"/>
        <v/>
      </c>
      <c r="F219" s="22" t="str">
        <f>IF(AND(ISNUMBER(E219),ISNUMBER(E220),ISNUMBER($M$6)),IF(AND(219&lt;$M$6,E219&lt;0.5,E220&gt;=0.5),219,""),"")</f>
        <v/>
      </c>
      <c r="G219" s="22" t="str">
        <f>IF(AND(ISNUMBER(E219),ISNUMBER(E220),ISNUMBER($M$6)),IF(AND(219&gt;=$M$6,E219&gt;=0.5,E220&lt;0.5),219,""),"")</f>
        <v/>
      </c>
      <c r="H219" s="22" t="str">
        <f t="shared" si="20"/>
        <v/>
      </c>
      <c r="I219" s="22" t="e">
        <f t="shared" si="21"/>
        <v>#N/A</v>
      </c>
      <c r="J219" s="28" t="e">
        <f t="shared" si="22"/>
        <v>#N/A</v>
      </c>
      <c r="K219" s="22" t="str">
        <f t="shared" si="23"/>
        <v/>
      </c>
    </row>
    <row r="220" spans="3:11" x14ac:dyDescent="0.3">
      <c r="C220" s="22" t="str">
        <f t="shared" si="18"/>
        <v/>
      </c>
      <c r="D220" s="28" t="str">
        <f>IF(ISNUMBER(B220),AVERAGE(INDEX($B$2:$B$301,MAX(1,219-semi)):INDEX($B$2:$B$301,MIN($M$2,219+semi))),"")</f>
        <v/>
      </c>
      <c r="E220" s="28" t="str">
        <f t="shared" si="19"/>
        <v/>
      </c>
      <c r="F220" s="22" t="str">
        <f>IF(AND(ISNUMBER(E220),ISNUMBER(E221),ISNUMBER($M$6)),IF(AND(220&lt;$M$6,E220&lt;0.5,E221&gt;=0.5),220,""),"")</f>
        <v/>
      </c>
      <c r="G220" s="22" t="str">
        <f>IF(AND(ISNUMBER(E220),ISNUMBER(E221),ISNUMBER($M$6)),IF(AND(220&gt;=$M$6,E220&gt;=0.5,E221&lt;0.5),220,""),"")</f>
        <v/>
      </c>
      <c r="H220" s="22" t="str">
        <f t="shared" si="20"/>
        <v/>
      </c>
      <c r="I220" s="22" t="e">
        <f t="shared" si="21"/>
        <v>#N/A</v>
      </c>
      <c r="J220" s="28" t="e">
        <f t="shared" si="22"/>
        <v>#N/A</v>
      </c>
      <c r="K220" s="22" t="str">
        <f t="shared" si="23"/>
        <v/>
      </c>
    </row>
    <row r="221" spans="3:11" x14ac:dyDescent="0.3">
      <c r="C221" s="22" t="str">
        <f t="shared" si="18"/>
        <v/>
      </c>
      <c r="D221" s="28" t="str">
        <f>IF(ISNUMBER(B221),AVERAGE(INDEX($B$2:$B$301,MAX(1,220-semi)):INDEX($B$2:$B$301,MIN($M$2,220+semi))),"")</f>
        <v/>
      </c>
      <c r="E221" s="28" t="str">
        <f t="shared" si="19"/>
        <v/>
      </c>
      <c r="F221" s="22" t="str">
        <f>IF(AND(ISNUMBER(E221),ISNUMBER(E222),ISNUMBER($M$6)),IF(AND(221&lt;$M$6,E221&lt;0.5,E222&gt;=0.5),221,""),"")</f>
        <v/>
      </c>
      <c r="G221" s="22" t="str">
        <f>IF(AND(ISNUMBER(E221),ISNUMBER(E222),ISNUMBER($M$6)),IF(AND(221&gt;=$M$6,E221&gt;=0.5,E222&lt;0.5),221,""),"")</f>
        <v/>
      </c>
      <c r="H221" s="22" t="str">
        <f t="shared" si="20"/>
        <v/>
      </c>
      <c r="I221" s="22" t="e">
        <f t="shared" si="21"/>
        <v>#N/A</v>
      </c>
      <c r="J221" s="28" t="e">
        <f t="shared" si="22"/>
        <v>#N/A</v>
      </c>
      <c r="K221" s="22" t="str">
        <f t="shared" si="23"/>
        <v/>
      </c>
    </row>
    <row r="222" spans="3:11" x14ac:dyDescent="0.3">
      <c r="C222" s="22" t="str">
        <f t="shared" si="18"/>
        <v/>
      </c>
      <c r="D222" s="28" t="str">
        <f>IF(ISNUMBER(B222),AVERAGE(INDEX($B$2:$B$301,MAX(1,221-semi)):INDEX($B$2:$B$301,MIN($M$2,221+semi))),"")</f>
        <v/>
      </c>
      <c r="E222" s="28" t="str">
        <f t="shared" si="19"/>
        <v/>
      </c>
      <c r="F222" s="22" t="str">
        <f>IF(AND(ISNUMBER(E222),ISNUMBER(E223),ISNUMBER($M$6)),IF(AND(222&lt;$M$6,E222&lt;0.5,E223&gt;=0.5),222,""),"")</f>
        <v/>
      </c>
      <c r="G222" s="22" t="str">
        <f>IF(AND(ISNUMBER(E222),ISNUMBER(E223),ISNUMBER($M$6)),IF(AND(222&gt;=$M$6,E222&gt;=0.5,E223&lt;0.5),222,""),"")</f>
        <v/>
      </c>
      <c r="H222" s="22" t="str">
        <f t="shared" si="20"/>
        <v/>
      </c>
      <c r="I222" s="22" t="e">
        <f t="shared" si="21"/>
        <v>#N/A</v>
      </c>
      <c r="J222" s="28" t="e">
        <f t="shared" si="22"/>
        <v>#N/A</v>
      </c>
      <c r="K222" s="22" t="str">
        <f t="shared" si="23"/>
        <v/>
      </c>
    </row>
    <row r="223" spans="3:11" x14ac:dyDescent="0.3">
      <c r="C223" s="22" t="str">
        <f t="shared" si="18"/>
        <v/>
      </c>
      <c r="D223" s="28" t="str">
        <f>IF(ISNUMBER(B223),AVERAGE(INDEX($B$2:$B$301,MAX(1,222-semi)):INDEX($B$2:$B$301,MIN($M$2,222+semi))),"")</f>
        <v/>
      </c>
      <c r="E223" s="28" t="str">
        <f t="shared" si="19"/>
        <v/>
      </c>
      <c r="F223" s="22" t="str">
        <f>IF(AND(ISNUMBER(E223),ISNUMBER(E224),ISNUMBER($M$6)),IF(AND(223&lt;$M$6,E223&lt;0.5,E224&gt;=0.5),223,""),"")</f>
        <v/>
      </c>
      <c r="G223" s="22" t="str">
        <f>IF(AND(ISNUMBER(E223),ISNUMBER(E224),ISNUMBER($M$6)),IF(AND(223&gt;=$M$6,E223&gt;=0.5,E224&lt;0.5),223,""),"")</f>
        <v/>
      </c>
      <c r="H223" s="22" t="str">
        <f t="shared" si="20"/>
        <v/>
      </c>
      <c r="I223" s="22" t="e">
        <f t="shared" si="21"/>
        <v>#N/A</v>
      </c>
      <c r="J223" s="28" t="e">
        <f t="shared" si="22"/>
        <v>#N/A</v>
      </c>
      <c r="K223" s="22" t="str">
        <f t="shared" si="23"/>
        <v/>
      </c>
    </row>
    <row r="224" spans="3:11" x14ac:dyDescent="0.3">
      <c r="C224" s="22" t="str">
        <f t="shared" si="18"/>
        <v/>
      </c>
      <c r="D224" s="28" t="str">
        <f>IF(ISNUMBER(B224),AVERAGE(INDEX($B$2:$B$301,MAX(1,223-semi)):INDEX($B$2:$B$301,MIN($M$2,223+semi))),"")</f>
        <v/>
      </c>
      <c r="E224" s="28" t="str">
        <f t="shared" si="19"/>
        <v/>
      </c>
      <c r="F224" s="22" t="str">
        <f>IF(AND(ISNUMBER(E224),ISNUMBER(E225),ISNUMBER($M$6)),IF(AND(224&lt;$M$6,E224&lt;0.5,E225&gt;=0.5),224,""),"")</f>
        <v/>
      </c>
      <c r="G224" s="22" t="str">
        <f>IF(AND(ISNUMBER(E224),ISNUMBER(E225),ISNUMBER($M$6)),IF(AND(224&gt;=$M$6,E224&gt;=0.5,E225&lt;0.5),224,""),"")</f>
        <v/>
      </c>
      <c r="H224" s="22" t="str">
        <f t="shared" si="20"/>
        <v/>
      </c>
      <c r="I224" s="22" t="e">
        <f t="shared" si="21"/>
        <v>#N/A</v>
      </c>
      <c r="J224" s="28" t="e">
        <f t="shared" si="22"/>
        <v>#N/A</v>
      </c>
      <c r="K224" s="22" t="str">
        <f t="shared" si="23"/>
        <v/>
      </c>
    </row>
    <row r="225" spans="3:11" x14ac:dyDescent="0.3">
      <c r="C225" s="22" t="str">
        <f t="shared" si="18"/>
        <v/>
      </c>
      <c r="D225" s="28" t="str">
        <f>IF(ISNUMBER(B225),AVERAGE(INDEX($B$2:$B$301,MAX(1,224-semi)):INDEX($B$2:$B$301,MIN($M$2,224+semi))),"")</f>
        <v/>
      </c>
      <c r="E225" s="28" t="str">
        <f t="shared" si="19"/>
        <v/>
      </c>
      <c r="F225" s="22" t="str">
        <f>IF(AND(ISNUMBER(E225),ISNUMBER(E226),ISNUMBER($M$6)),IF(AND(225&lt;$M$6,E225&lt;0.5,E226&gt;=0.5),225,""),"")</f>
        <v/>
      </c>
      <c r="G225" s="22" t="str">
        <f>IF(AND(ISNUMBER(E225),ISNUMBER(E226),ISNUMBER($M$6)),IF(AND(225&gt;=$M$6,E225&gt;=0.5,E226&lt;0.5),225,""),"")</f>
        <v/>
      </c>
      <c r="H225" s="22" t="str">
        <f t="shared" si="20"/>
        <v/>
      </c>
      <c r="I225" s="22" t="e">
        <f t="shared" si="21"/>
        <v>#N/A</v>
      </c>
      <c r="J225" s="28" t="e">
        <f t="shared" si="22"/>
        <v>#N/A</v>
      </c>
      <c r="K225" s="22" t="str">
        <f t="shared" si="23"/>
        <v/>
      </c>
    </row>
    <row r="226" spans="3:11" x14ac:dyDescent="0.3">
      <c r="C226" s="22" t="str">
        <f t="shared" si="18"/>
        <v/>
      </c>
      <c r="D226" s="28" t="str">
        <f>IF(ISNUMBER(B226),AVERAGE(INDEX($B$2:$B$301,MAX(1,225-semi)):INDEX($B$2:$B$301,MIN($M$2,225+semi))),"")</f>
        <v/>
      </c>
      <c r="E226" s="28" t="str">
        <f t="shared" si="19"/>
        <v/>
      </c>
      <c r="F226" s="22" t="str">
        <f>IF(AND(ISNUMBER(E226),ISNUMBER(E227),ISNUMBER($M$6)),IF(AND(226&lt;$M$6,E226&lt;0.5,E227&gt;=0.5),226,""),"")</f>
        <v/>
      </c>
      <c r="G226" s="22" t="str">
        <f>IF(AND(ISNUMBER(E226),ISNUMBER(E227),ISNUMBER($M$6)),IF(AND(226&gt;=$M$6,E226&gt;=0.5,E227&lt;0.5),226,""),"")</f>
        <v/>
      </c>
      <c r="H226" s="22" t="str">
        <f t="shared" si="20"/>
        <v/>
      </c>
      <c r="I226" s="22" t="e">
        <f t="shared" si="21"/>
        <v>#N/A</v>
      </c>
      <c r="J226" s="28" t="e">
        <f t="shared" si="22"/>
        <v>#N/A</v>
      </c>
      <c r="K226" s="22" t="str">
        <f t="shared" si="23"/>
        <v/>
      </c>
    </row>
    <row r="227" spans="3:11" x14ac:dyDescent="0.3">
      <c r="C227" s="22" t="str">
        <f t="shared" si="18"/>
        <v/>
      </c>
      <c r="D227" s="28" t="str">
        <f>IF(ISNUMBER(B227),AVERAGE(INDEX($B$2:$B$301,MAX(1,226-semi)):INDEX($B$2:$B$301,MIN($M$2,226+semi))),"")</f>
        <v/>
      </c>
      <c r="E227" s="28" t="str">
        <f t="shared" si="19"/>
        <v/>
      </c>
      <c r="F227" s="22" t="str">
        <f>IF(AND(ISNUMBER(E227),ISNUMBER(E228),ISNUMBER($M$6)),IF(AND(227&lt;$M$6,E227&lt;0.5,E228&gt;=0.5),227,""),"")</f>
        <v/>
      </c>
      <c r="G227" s="22" t="str">
        <f>IF(AND(ISNUMBER(E227),ISNUMBER(E228),ISNUMBER($M$6)),IF(AND(227&gt;=$M$6,E227&gt;=0.5,E228&lt;0.5),227,""),"")</f>
        <v/>
      </c>
      <c r="H227" s="22" t="str">
        <f t="shared" si="20"/>
        <v/>
      </c>
      <c r="I227" s="22" t="e">
        <f t="shared" si="21"/>
        <v>#N/A</v>
      </c>
      <c r="J227" s="28" t="e">
        <f t="shared" si="22"/>
        <v>#N/A</v>
      </c>
      <c r="K227" s="22" t="str">
        <f t="shared" si="23"/>
        <v/>
      </c>
    </row>
    <row r="228" spans="3:11" x14ac:dyDescent="0.3">
      <c r="C228" s="22" t="str">
        <f t="shared" si="18"/>
        <v/>
      </c>
      <c r="D228" s="28" t="str">
        <f>IF(ISNUMBER(B228),AVERAGE(INDEX($B$2:$B$301,MAX(1,227-semi)):INDEX($B$2:$B$301,MIN($M$2,227+semi))),"")</f>
        <v/>
      </c>
      <c r="E228" s="28" t="str">
        <f t="shared" si="19"/>
        <v/>
      </c>
      <c r="F228" s="22" t="str">
        <f>IF(AND(ISNUMBER(E228),ISNUMBER(E229),ISNUMBER($M$6)),IF(AND(228&lt;$M$6,E228&lt;0.5,E229&gt;=0.5),228,""),"")</f>
        <v/>
      </c>
      <c r="G228" s="22" t="str">
        <f>IF(AND(ISNUMBER(E228),ISNUMBER(E229),ISNUMBER($M$6)),IF(AND(228&gt;=$M$6,E228&gt;=0.5,E229&lt;0.5),228,""),"")</f>
        <v/>
      </c>
      <c r="H228" s="22" t="str">
        <f t="shared" si="20"/>
        <v/>
      </c>
      <c r="I228" s="22" t="e">
        <f t="shared" si="21"/>
        <v>#N/A</v>
      </c>
      <c r="J228" s="28" t="e">
        <f t="shared" si="22"/>
        <v>#N/A</v>
      </c>
      <c r="K228" s="22" t="str">
        <f t="shared" si="23"/>
        <v/>
      </c>
    </row>
    <row r="229" spans="3:11" x14ac:dyDescent="0.3">
      <c r="C229" s="22" t="str">
        <f t="shared" si="18"/>
        <v/>
      </c>
      <c r="D229" s="28" t="str">
        <f>IF(ISNUMBER(B229),AVERAGE(INDEX($B$2:$B$301,MAX(1,228-semi)):INDEX($B$2:$B$301,MIN($M$2,228+semi))),"")</f>
        <v/>
      </c>
      <c r="E229" s="28" t="str">
        <f t="shared" si="19"/>
        <v/>
      </c>
      <c r="F229" s="22" t="str">
        <f>IF(AND(ISNUMBER(E229),ISNUMBER(E230),ISNUMBER($M$6)),IF(AND(229&lt;$M$6,E229&lt;0.5,E230&gt;=0.5),229,""),"")</f>
        <v/>
      </c>
      <c r="G229" s="22" t="str">
        <f>IF(AND(ISNUMBER(E229),ISNUMBER(E230),ISNUMBER($M$6)),IF(AND(229&gt;=$M$6,E229&gt;=0.5,E230&lt;0.5),229,""),"")</f>
        <v/>
      </c>
      <c r="H229" s="22" t="str">
        <f t="shared" si="20"/>
        <v/>
      </c>
      <c r="I229" s="22" t="e">
        <f t="shared" si="21"/>
        <v>#N/A</v>
      </c>
      <c r="J229" s="28" t="e">
        <f t="shared" si="22"/>
        <v>#N/A</v>
      </c>
      <c r="K229" s="22" t="str">
        <f t="shared" si="23"/>
        <v/>
      </c>
    </row>
    <row r="230" spans="3:11" x14ac:dyDescent="0.3">
      <c r="C230" s="22" t="str">
        <f t="shared" si="18"/>
        <v/>
      </c>
      <c r="D230" s="28" t="str">
        <f>IF(ISNUMBER(B230),AVERAGE(INDEX($B$2:$B$301,MAX(1,229-semi)):INDEX($B$2:$B$301,MIN($M$2,229+semi))),"")</f>
        <v/>
      </c>
      <c r="E230" s="28" t="str">
        <f t="shared" si="19"/>
        <v/>
      </c>
      <c r="F230" s="22" t="str">
        <f>IF(AND(ISNUMBER(E230),ISNUMBER(E231),ISNUMBER($M$6)),IF(AND(230&lt;$M$6,E230&lt;0.5,E231&gt;=0.5),230,""),"")</f>
        <v/>
      </c>
      <c r="G230" s="22" t="str">
        <f>IF(AND(ISNUMBER(E230),ISNUMBER(E231),ISNUMBER($M$6)),IF(AND(230&gt;=$M$6,E230&gt;=0.5,E231&lt;0.5),230,""),"")</f>
        <v/>
      </c>
      <c r="H230" s="22" t="str">
        <f t="shared" si="20"/>
        <v/>
      </c>
      <c r="I230" s="22" t="e">
        <f t="shared" si="21"/>
        <v>#N/A</v>
      </c>
      <c r="J230" s="28" t="e">
        <f t="shared" si="22"/>
        <v>#N/A</v>
      </c>
      <c r="K230" s="22" t="str">
        <f t="shared" si="23"/>
        <v/>
      </c>
    </row>
    <row r="231" spans="3:11" x14ac:dyDescent="0.3">
      <c r="C231" s="22" t="str">
        <f t="shared" si="18"/>
        <v/>
      </c>
      <c r="D231" s="28" t="str">
        <f>IF(ISNUMBER(B231),AVERAGE(INDEX($B$2:$B$301,MAX(1,230-semi)):INDEX($B$2:$B$301,MIN($M$2,230+semi))),"")</f>
        <v/>
      </c>
      <c r="E231" s="28" t="str">
        <f t="shared" si="19"/>
        <v/>
      </c>
      <c r="F231" s="22" t="str">
        <f>IF(AND(ISNUMBER(E231),ISNUMBER(E232),ISNUMBER($M$6)),IF(AND(231&lt;$M$6,E231&lt;0.5,E232&gt;=0.5),231,""),"")</f>
        <v/>
      </c>
      <c r="G231" s="22" t="str">
        <f>IF(AND(ISNUMBER(E231),ISNUMBER(E232),ISNUMBER($M$6)),IF(AND(231&gt;=$M$6,E231&gt;=0.5,E232&lt;0.5),231,""),"")</f>
        <v/>
      </c>
      <c r="H231" s="22" t="str">
        <f t="shared" si="20"/>
        <v/>
      </c>
      <c r="I231" s="22" t="e">
        <f t="shared" si="21"/>
        <v>#N/A</v>
      </c>
      <c r="J231" s="28" t="e">
        <f t="shared" si="22"/>
        <v>#N/A</v>
      </c>
      <c r="K231" s="22" t="str">
        <f t="shared" si="23"/>
        <v/>
      </c>
    </row>
    <row r="232" spans="3:11" x14ac:dyDescent="0.3">
      <c r="C232" s="22" t="str">
        <f t="shared" si="18"/>
        <v/>
      </c>
      <c r="D232" s="28" t="str">
        <f>IF(ISNUMBER(B232),AVERAGE(INDEX($B$2:$B$301,MAX(1,231-semi)):INDEX($B$2:$B$301,MIN($M$2,231+semi))),"")</f>
        <v/>
      </c>
      <c r="E232" s="28" t="str">
        <f t="shared" si="19"/>
        <v/>
      </c>
      <c r="F232" s="22" t="str">
        <f>IF(AND(ISNUMBER(E232),ISNUMBER(E233),ISNUMBER($M$6)),IF(AND(232&lt;$M$6,E232&lt;0.5,E233&gt;=0.5),232,""),"")</f>
        <v/>
      </c>
      <c r="G232" s="22" t="str">
        <f>IF(AND(ISNUMBER(E232),ISNUMBER(E233),ISNUMBER($M$6)),IF(AND(232&gt;=$M$6,E232&gt;=0.5,E233&lt;0.5),232,""),"")</f>
        <v/>
      </c>
      <c r="H232" s="22" t="str">
        <f t="shared" si="20"/>
        <v/>
      </c>
      <c r="I232" s="22" t="e">
        <f t="shared" si="21"/>
        <v>#N/A</v>
      </c>
      <c r="J232" s="28" t="e">
        <f t="shared" si="22"/>
        <v>#N/A</v>
      </c>
      <c r="K232" s="22" t="str">
        <f t="shared" si="23"/>
        <v/>
      </c>
    </row>
    <row r="233" spans="3:11" x14ac:dyDescent="0.3">
      <c r="C233" s="22" t="str">
        <f t="shared" si="18"/>
        <v/>
      </c>
      <c r="D233" s="28" t="str">
        <f>IF(ISNUMBER(B233),AVERAGE(INDEX($B$2:$B$301,MAX(1,232-semi)):INDEX($B$2:$B$301,MIN($M$2,232+semi))),"")</f>
        <v/>
      </c>
      <c r="E233" s="28" t="str">
        <f t="shared" si="19"/>
        <v/>
      </c>
      <c r="F233" s="22" t="str">
        <f>IF(AND(ISNUMBER(E233),ISNUMBER(E234),ISNUMBER($M$6)),IF(AND(233&lt;$M$6,E233&lt;0.5,E234&gt;=0.5),233,""),"")</f>
        <v/>
      </c>
      <c r="G233" s="22" t="str">
        <f>IF(AND(ISNUMBER(E233),ISNUMBER(E234),ISNUMBER($M$6)),IF(AND(233&gt;=$M$6,E233&gt;=0.5,E234&lt;0.5),233,""),"")</f>
        <v/>
      </c>
      <c r="H233" s="22" t="str">
        <f t="shared" si="20"/>
        <v/>
      </c>
      <c r="I233" s="22" t="e">
        <f t="shared" si="21"/>
        <v>#N/A</v>
      </c>
      <c r="J233" s="28" t="e">
        <f t="shared" si="22"/>
        <v>#N/A</v>
      </c>
      <c r="K233" s="22" t="str">
        <f t="shared" si="23"/>
        <v/>
      </c>
    </row>
    <row r="234" spans="3:11" x14ac:dyDescent="0.3">
      <c r="C234" s="22" t="str">
        <f t="shared" si="18"/>
        <v/>
      </c>
      <c r="D234" s="28" t="str">
        <f>IF(ISNUMBER(B234),AVERAGE(INDEX($B$2:$B$301,MAX(1,233-semi)):INDEX($B$2:$B$301,MIN($M$2,233+semi))),"")</f>
        <v/>
      </c>
      <c r="E234" s="28" t="str">
        <f t="shared" si="19"/>
        <v/>
      </c>
      <c r="F234" s="22" t="str">
        <f>IF(AND(ISNUMBER(E234),ISNUMBER(E235),ISNUMBER($M$6)),IF(AND(234&lt;$M$6,E234&lt;0.5,E235&gt;=0.5),234,""),"")</f>
        <v/>
      </c>
      <c r="G234" s="22" t="str">
        <f>IF(AND(ISNUMBER(E234),ISNUMBER(E235),ISNUMBER($M$6)),IF(AND(234&gt;=$M$6,E234&gt;=0.5,E235&lt;0.5),234,""),"")</f>
        <v/>
      </c>
      <c r="H234" s="22" t="str">
        <f t="shared" si="20"/>
        <v/>
      </c>
      <c r="I234" s="22" t="e">
        <f t="shared" si="21"/>
        <v>#N/A</v>
      </c>
      <c r="J234" s="28" t="e">
        <f t="shared" si="22"/>
        <v>#N/A</v>
      </c>
      <c r="K234" s="22" t="str">
        <f t="shared" si="23"/>
        <v/>
      </c>
    </row>
    <row r="235" spans="3:11" x14ac:dyDescent="0.3">
      <c r="C235" s="22" t="str">
        <f t="shared" si="18"/>
        <v/>
      </c>
      <c r="D235" s="28" t="str">
        <f>IF(ISNUMBER(B235),AVERAGE(INDEX($B$2:$B$301,MAX(1,234-semi)):INDEX($B$2:$B$301,MIN($M$2,234+semi))),"")</f>
        <v/>
      </c>
      <c r="E235" s="28" t="str">
        <f t="shared" si="19"/>
        <v/>
      </c>
      <c r="F235" s="22" t="str">
        <f>IF(AND(ISNUMBER(E235),ISNUMBER(E236),ISNUMBER($M$6)),IF(AND(235&lt;$M$6,E235&lt;0.5,E236&gt;=0.5),235,""),"")</f>
        <v/>
      </c>
      <c r="G235" s="22" t="str">
        <f>IF(AND(ISNUMBER(E235),ISNUMBER(E236),ISNUMBER($M$6)),IF(AND(235&gt;=$M$6,E235&gt;=0.5,E236&lt;0.5),235,""),"")</f>
        <v/>
      </c>
      <c r="H235" s="22" t="str">
        <f t="shared" si="20"/>
        <v/>
      </c>
      <c r="I235" s="22" t="e">
        <f t="shared" si="21"/>
        <v>#N/A</v>
      </c>
      <c r="J235" s="28" t="e">
        <f t="shared" si="22"/>
        <v>#N/A</v>
      </c>
      <c r="K235" s="22" t="str">
        <f t="shared" si="23"/>
        <v/>
      </c>
    </row>
    <row r="236" spans="3:11" x14ac:dyDescent="0.3">
      <c r="C236" s="22" t="str">
        <f t="shared" si="18"/>
        <v/>
      </c>
      <c r="D236" s="28" t="str">
        <f>IF(ISNUMBER(B236),AVERAGE(INDEX($B$2:$B$301,MAX(1,235-semi)):INDEX($B$2:$B$301,MIN($M$2,235+semi))),"")</f>
        <v/>
      </c>
      <c r="E236" s="28" t="str">
        <f t="shared" si="19"/>
        <v/>
      </c>
      <c r="F236" s="22" t="str">
        <f>IF(AND(ISNUMBER(E236),ISNUMBER(E237),ISNUMBER($M$6)),IF(AND(236&lt;$M$6,E236&lt;0.5,E237&gt;=0.5),236,""),"")</f>
        <v/>
      </c>
      <c r="G236" s="22" t="str">
        <f>IF(AND(ISNUMBER(E236),ISNUMBER(E237),ISNUMBER($M$6)),IF(AND(236&gt;=$M$6,E236&gt;=0.5,E237&lt;0.5),236,""),"")</f>
        <v/>
      </c>
      <c r="H236" s="22" t="str">
        <f t="shared" si="20"/>
        <v/>
      </c>
      <c r="I236" s="22" t="e">
        <f t="shared" si="21"/>
        <v>#N/A</v>
      </c>
      <c r="J236" s="28" t="e">
        <f t="shared" si="22"/>
        <v>#N/A</v>
      </c>
      <c r="K236" s="22" t="str">
        <f t="shared" si="23"/>
        <v/>
      </c>
    </row>
    <row r="237" spans="3:11" x14ac:dyDescent="0.3">
      <c r="C237" s="22" t="str">
        <f t="shared" si="18"/>
        <v/>
      </c>
      <c r="D237" s="28" t="str">
        <f>IF(ISNUMBER(B237),AVERAGE(INDEX($B$2:$B$301,MAX(1,236-semi)):INDEX($B$2:$B$301,MIN($M$2,236+semi))),"")</f>
        <v/>
      </c>
      <c r="E237" s="28" t="str">
        <f t="shared" si="19"/>
        <v/>
      </c>
      <c r="F237" s="22" t="str">
        <f>IF(AND(ISNUMBER(E237),ISNUMBER(E238),ISNUMBER($M$6)),IF(AND(237&lt;$M$6,E237&lt;0.5,E238&gt;=0.5),237,""),"")</f>
        <v/>
      </c>
      <c r="G237" s="22" t="str">
        <f>IF(AND(ISNUMBER(E237),ISNUMBER(E238),ISNUMBER($M$6)),IF(AND(237&gt;=$M$6,E237&gt;=0.5,E238&lt;0.5),237,""),"")</f>
        <v/>
      </c>
      <c r="H237" s="22" t="str">
        <f t="shared" si="20"/>
        <v/>
      </c>
      <c r="I237" s="22" t="e">
        <f t="shared" si="21"/>
        <v>#N/A</v>
      </c>
      <c r="J237" s="28" t="e">
        <f t="shared" si="22"/>
        <v>#N/A</v>
      </c>
      <c r="K237" s="22" t="str">
        <f t="shared" si="23"/>
        <v/>
      </c>
    </row>
    <row r="238" spans="3:11" x14ac:dyDescent="0.3">
      <c r="C238" s="22" t="str">
        <f t="shared" si="18"/>
        <v/>
      </c>
      <c r="D238" s="28" t="str">
        <f>IF(ISNUMBER(B238),AVERAGE(INDEX($B$2:$B$301,MAX(1,237-semi)):INDEX($B$2:$B$301,MIN($M$2,237+semi))),"")</f>
        <v/>
      </c>
      <c r="E238" s="28" t="str">
        <f t="shared" si="19"/>
        <v/>
      </c>
      <c r="F238" s="22" t="str">
        <f>IF(AND(ISNUMBER(E238),ISNUMBER(E239),ISNUMBER($M$6)),IF(AND(238&lt;$M$6,E238&lt;0.5,E239&gt;=0.5),238,""),"")</f>
        <v/>
      </c>
      <c r="G238" s="22" t="str">
        <f>IF(AND(ISNUMBER(E238),ISNUMBER(E239),ISNUMBER($M$6)),IF(AND(238&gt;=$M$6,E238&gt;=0.5,E239&lt;0.5),238,""),"")</f>
        <v/>
      </c>
      <c r="H238" s="22" t="str">
        <f t="shared" si="20"/>
        <v/>
      </c>
      <c r="I238" s="22" t="e">
        <f t="shared" si="21"/>
        <v>#N/A</v>
      </c>
      <c r="J238" s="28" t="e">
        <f t="shared" si="22"/>
        <v>#N/A</v>
      </c>
      <c r="K238" s="22" t="str">
        <f t="shared" si="23"/>
        <v/>
      </c>
    </row>
    <row r="239" spans="3:11" x14ac:dyDescent="0.3">
      <c r="C239" s="22" t="str">
        <f t="shared" si="18"/>
        <v/>
      </c>
      <c r="D239" s="28" t="str">
        <f>IF(ISNUMBER(B239),AVERAGE(INDEX($B$2:$B$301,MAX(1,238-semi)):INDEX($B$2:$B$301,MIN($M$2,238+semi))),"")</f>
        <v/>
      </c>
      <c r="E239" s="28" t="str">
        <f t="shared" si="19"/>
        <v/>
      </c>
      <c r="F239" s="22" t="str">
        <f>IF(AND(ISNUMBER(E239),ISNUMBER(E240),ISNUMBER($M$6)),IF(AND(239&lt;$M$6,E239&lt;0.5,E240&gt;=0.5),239,""),"")</f>
        <v/>
      </c>
      <c r="G239" s="22" t="str">
        <f>IF(AND(ISNUMBER(E239),ISNUMBER(E240),ISNUMBER($M$6)),IF(AND(239&gt;=$M$6,E239&gt;=0.5,E240&lt;0.5),239,""),"")</f>
        <v/>
      </c>
      <c r="H239" s="22" t="str">
        <f t="shared" si="20"/>
        <v/>
      </c>
      <c r="I239" s="22" t="e">
        <f t="shared" si="21"/>
        <v>#N/A</v>
      </c>
      <c r="J239" s="28" t="e">
        <f t="shared" si="22"/>
        <v>#N/A</v>
      </c>
      <c r="K239" s="22" t="str">
        <f t="shared" si="23"/>
        <v/>
      </c>
    </row>
    <row r="240" spans="3:11" x14ac:dyDescent="0.3">
      <c r="C240" s="22" t="str">
        <f t="shared" si="18"/>
        <v/>
      </c>
      <c r="D240" s="28" t="str">
        <f>IF(ISNUMBER(B240),AVERAGE(INDEX($B$2:$B$301,MAX(1,239-semi)):INDEX($B$2:$B$301,MIN($M$2,239+semi))),"")</f>
        <v/>
      </c>
      <c r="E240" s="28" t="str">
        <f t="shared" si="19"/>
        <v/>
      </c>
      <c r="F240" s="22" t="str">
        <f>IF(AND(ISNUMBER(E240),ISNUMBER(E241),ISNUMBER($M$6)),IF(AND(240&lt;$M$6,E240&lt;0.5,E241&gt;=0.5),240,""),"")</f>
        <v/>
      </c>
      <c r="G240" s="22" t="str">
        <f>IF(AND(ISNUMBER(E240),ISNUMBER(E241),ISNUMBER($M$6)),IF(AND(240&gt;=$M$6,E240&gt;=0.5,E241&lt;0.5),240,""),"")</f>
        <v/>
      </c>
      <c r="H240" s="22" t="str">
        <f t="shared" si="20"/>
        <v/>
      </c>
      <c r="I240" s="22" t="e">
        <f t="shared" si="21"/>
        <v>#N/A</v>
      </c>
      <c r="J240" s="28" t="e">
        <f t="shared" si="22"/>
        <v>#N/A</v>
      </c>
      <c r="K240" s="22" t="str">
        <f t="shared" si="23"/>
        <v/>
      </c>
    </row>
    <row r="241" spans="3:11" x14ac:dyDescent="0.3">
      <c r="C241" s="22" t="str">
        <f t="shared" si="18"/>
        <v/>
      </c>
      <c r="D241" s="28" t="str">
        <f>IF(ISNUMBER(B241),AVERAGE(INDEX($B$2:$B$301,MAX(1,240-semi)):INDEX($B$2:$B$301,MIN($M$2,240+semi))),"")</f>
        <v/>
      </c>
      <c r="E241" s="28" t="str">
        <f t="shared" si="19"/>
        <v/>
      </c>
      <c r="F241" s="22" t="str">
        <f>IF(AND(ISNUMBER(E241),ISNUMBER(E242),ISNUMBER($M$6)),IF(AND(241&lt;$M$6,E241&lt;0.5,E242&gt;=0.5),241,""),"")</f>
        <v/>
      </c>
      <c r="G241" s="22" t="str">
        <f>IF(AND(ISNUMBER(E241),ISNUMBER(E242),ISNUMBER($M$6)),IF(AND(241&gt;=$M$6,E241&gt;=0.5,E242&lt;0.5),241,""),"")</f>
        <v/>
      </c>
      <c r="H241" s="22" t="str">
        <f t="shared" si="20"/>
        <v/>
      </c>
      <c r="I241" s="22" t="e">
        <f t="shared" si="21"/>
        <v>#N/A</v>
      </c>
      <c r="J241" s="28" t="e">
        <f t="shared" si="22"/>
        <v>#N/A</v>
      </c>
      <c r="K241" s="22" t="str">
        <f t="shared" si="23"/>
        <v/>
      </c>
    </row>
    <row r="242" spans="3:11" x14ac:dyDescent="0.3">
      <c r="C242" s="22" t="str">
        <f t="shared" si="18"/>
        <v/>
      </c>
      <c r="D242" s="28" t="str">
        <f>IF(ISNUMBER(B242),AVERAGE(INDEX($B$2:$B$301,MAX(1,241-semi)):INDEX($B$2:$B$301,MIN($M$2,241+semi))),"")</f>
        <v/>
      </c>
      <c r="E242" s="28" t="str">
        <f t="shared" si="19"/>
        <v/>
      </c>
      <c r="F242" s="22" t="str">
        <f>IF(AND(ISNUMBER(E242),ISNUMBER(E243),ISNUMBER($M$6)),IF(AND(242&lt;$M$6,E242&lt;0.5,E243&gt;=0.5),242,""),"")</f>
        <v/>
      </c>
      <c r="G242" s="22" t="str">
        <f>IF(AND(ISNUMBER(E242),ISNUMBER(E243),ISNUMBER($M$6)),IF(AND(242&gt;=$M$6,E242&gt;=0.5,E243&lt;0.5),242,""),"")</f>
        <v/>
      </c>
      <c r="H242" s="22" t="str">
        <f t="shared" si="20"/>
        <v/>
      </c>
      <c r="I242" s="22" t="e">
        <f t="shared" si="21"/>
        <v>#N/A</v>
      </c>
      <c r="J242" s="28" t="e">
        <f t="shared" si="22"/>
        <v>#N/A</v>
      </c>
      <c r="K242" s="22" t="str">
        <f t="shared" si="23"/>
        <v/>
      </c>
    </row>
    <row r="243" spans="3:11" x14ac:dyDescent="0.3">
      <c r="C243" s="22" t="str">
        <f t="shared" si="18"/>
        <v/>
      </c>
      <c r="D243" s="28" t="str">
        <f>IF(ISNUMBER(B243),AVERAGE(INDEX($B$2:$B$301,MAX(1,242-semi)):INDEX($B$2:$B$301,MIN($M$2,242+semi))),"")</f>
        <v/>
      </c>
      <c r="E243" s="28" t="str">
        <f t="shared" si="19"/>
        <v/>
      </c>
      <c r="F243" s="22" t="str">
        <f>IF(AND(ISNUMBER(E243),ISNUMBER(E244),ISNUMBER($M$6)),IF(AND(243&lt;$M$6,E243&lt;0.5,E244&gt;=0.5),243,""),"")</f>
        <v/>
      </c>
      <c r="G243" s="22" t="str">
        <f>IF(AND(ISNUMBER(E243),ISNUMBER(E244),ISNUMBER($M$6)),IF(AND(243&gt;=$M$6,E243&gt;=0.5,E244&lt;0.5),243,""),"")</f>
        <v/>
      </c>
      <c r="H243" s="22" t="str">
        <f t="shared" si="20"/>
        <v/>
      </c>
      <c r="I243" s="22" t="e">
        <f t="shared" si="21"/>
        <v>#N/A</v>
      </c>
      <c r="J243" s="28" t="e">
        <f t="shared" si="22"/>
        <v>#N/A</v>
      </c>
      <c r="K243" s="22" t="str">
        <f t="shared" si="23"/>
        <v/>
      </c>
    </row>
    <row r="244" spans="3:11" x14ac:dyDescent="0.3">
      <c r="C244" s="22" t="str">
        <f t="shared" si="18"/>
        <v/>
      </c>
      <c r="D244" s="28" t="str">
        <f>IF(ISNUMBER(B244),AVERAGE(INDEX($B$2:$B$301,MAX(1,243-semi)):INDEX($B$2:$B$301,MIN($M$2,243+semi))),"")</f>
        <v/>
      </c>
      <c r="E244" s="28" t="str">
        <f t="shared" si="19"/>
        <v/>
      </c>
      <c r="F244" s="22" t="str">
        <f>IF(AND(ISNUMBER(E244),ISNUMBER(E245),ISNUMBER($M$6)),IF(AND(244&lt;$M$6,E244&lt;0.5,E245&gt;=0.5),244,""),"")</f>
        <v/>
      </c>
      <c r="G244" s="22" t="str">
        <f>IF(AND(ISNUMBER(E244),ISNUMBER(E245),ISNUMBER($M$6)),IF(AND(244&gt;=$M$6,E244&gt;=0.5,E245&lt;0.5),244,""),"")</f>
        <v/>
      </c>
      <c r="H244" s="22" t="str">
        <f t="shared" si="20"/>
        <v/>
      </c>
      <c r="I244" s="22" t="e">
        <f t="shared" si="21"/>
        <v>#N/A</v>
      </c>
      <c r="J244" s="28" t="e">
        <f t="shared" si="22"/>
        <v>#N/A</v>
      </c>
      <c r="K244" s="22" t="str">
        <f t="shared" si="23"/>
        <v/>
      </c>
    </row>
    <row r="245" spans="3:11" x14ac:dyDescent="0.3">
      <c r="C245" s="22" t="str">
        <f t="shared" si="18"/>
        <v/>
      </c>
      <c r="D245" s="28" t="str">
        <f>IF(ISNUMBER(B245),AVERAGE(INDEX($B$2:$B$301,MAX(1,244-semi)):INDEX($B$2:$B$301,MIN($M$2,244+semi))),"")</f>
        <v/>
      </c>
      <c r="E245" s="28" t="str">
        <f t="shared" si="19"/>
        <v/>
      </c>
      <c r="F245" s="22" t="str">
        <f>IF(AND(ISNUMBER(E245),ISNUMBER(E246),ISNUMBER($M$6)),IF(AND(245&lt;$M$6,E245&lt;0.5,E246&gt;=0.5),245,""),"")</f>
        <v/>
      </c>
      <c r="G245" s="22" t="str">
        <f>IF(AND(ISNUMBER(E245),ISNUMBER(E246),ISNUMBER($M$6)),IF(AND(245&gt;=$M$6,E245&gt;=0.5,E246&lt;0.5),245,""),"")</f>
        <v/>
      </c>
      <c r="H245" s="22" t="str">
        <f t="shared" si="20"/>
        <v/>
      </c>
      <c r="I245" s="22" t="e">
        <f t="shared" si="21"/>
        <v>#N/A</v>
      </c>
      <c r="J245" s="28" t="e">
        <f t="shared" si="22"/>
        <v>#N/A</v>
      </c>
      <c r="K245" s="22" t="str">
        <f t="shared" si="23"/>
        <v/>
      </c>
    </row>
    <row r="246" spans="3:11" x14ac:dyDescent="0.3">
      <c r="C246" s="22" t="str">
        <f t="shared" si="18"/>
        <v/>
      </c>
      <c r="D246" s="28" t="str">
        <f>IF(ISNUMBER(B246),AVERAGE(INDEX($B$2:$B$301,MAX(1,245-semi)):INDEX($B$2:$B$301,MIN($M$2,245+semi))),"")</f>
        <v/>
      </c>
      <c r="E246" s="28" t="str">
        <f t="shared" si="19"/>
        <v/>
      </c>
      <c r="F246" s="22" t="str">
        <f>IF(AND(ISNUMBER(E246),ISNUMBER(E247),ISNUMBER($M$6)),IF(AND(246&lt;$M$6,E246&lt;0.5,E247&gt;=0.5),246,""),"")</f>
        <v/>
      </c>
      <c r="G246" s="22" t="str">
        <f>IF(AND(ISNUMBER(E246),ISNUMBER(E247),ISNUMBER($M$6)),IF(AND(246&gt;=$M$6,E246&gt;=0.5,E247&lt;0.5),246,""),"")</f>
        <v/>
      </c>
      <c r="H246" s="22" t="str">
        <f t="shared" si="20"/>
        <v/>
      </c>
      <c r="I246" s="22" t="e">
        <f t="shared" si="21"/>
        <v>#N/A</v>
      </c>
      <c r="J246" s="28" t="e">
        <f t="shared" si="22"/>
        <v>#N/A</v>
      </c>
      <c r="K246" s="22" t="str">
        <f t="shared" si="23"/>
        <v/>
      </c>
    </row>
    <row r="247" spans="3:11" x14ac:dyDescent="0.3">
      <c r="C247" s="22" t="str">
        <f t="shared" si="18"/>
        <v/>
      </c>
      <c r="D247" s="28" t="str">
        <f>IF(ISNUMBER(B247),AVERAGE(INDEX($B$2:$B$301,MAX(1,246-semi)):INDEX($B$2:$B$301,MIN($M$2,246+semi))),"")</f>
        <v/>
      </c>
      <c r="E247" s="28" t="str">
        <f t="shared" si="19"/>
        <v/>
      </c>
      <c r="F247" s="22" t="str">
        <f>IF(AND(ISNUMBER(E247),ISNUMBER(E248),ISNUMBER($M$6)),IF(AND(247&lt;$M$6,E247&lt;0.5,E248&gt;=0.5),247,""),"")</f>
        <v/>
      </c>
      <c r="G247" s="22" t="str">
        <f>IF(AND(ISNUMBER(E247),ISNUMBER(E248),ISNUMBER($M$6)),IF(AND(247&gt;=$M$6,E247&gt;=0.5,E248&lt;0.5),247,""),"")</f>
        <v/>
      </c>
      <c r="H247" s="22" t="str">
        <f t="shared" si="20"/>
        <v/>
      </c>
      <c r="I247" s="22" t="e">
        <f t="shared" si="21"/>
        <v>#N/A</v>
      </c>
      <c r="J247" s="28" t="e">
        <f t="shared" si="22"/>
        <v>#N/A</v>
      </c>
      <c r="K247" s="22" t="str">
        <f t="shared" si="23"/>
        <v/>
      </c>
    </row>
    <row r="248" spans="3:11" x14ac:dyDescent="0.3">
      <c r="C248" s="22" t="str">
        <f t="shared" si="18"/>
        <v/>
      </c>
      <c r="D248" s="28" t="str">
        <f>IF(ISNUMBER(B248),AVERAGE(INDEX($B$2:$B$301,MAX(1,247-semi)):INDEX($B$2:$B$301,MIN($M$2,247+semi))),"")</f>
        <v/>
      </c>
      <c r="E248" s="28" t="str">
        <f t="shared" si="19"/>
        <v/>
      </c>
      <c r="F248" s="22" t="str">
        <f>IF(AND(ISNUMBER(E248),ISNUMBER(E249),ISNUMBER($M$6)),IF(AND(248&lt;$M$6,E248&lt;0.5,E249&gt;=0.5),248,""),"")</f>
        <v/>
      </c>
      <c r="G248" s="22" t="str">
        <f>IF(AND(ISNUMBER(E248),ISNUMBER(E249),ISNUMBER($M$6)),IF(AND(248&gt;=$M$6,E248&gt;=0.5,E249&lt;0.5),248,""),"")</f>
        <v/>
      </c>
      <c r="H248" s="22" t="str">
        <f t="shared" si="20"/>
        <v/>
      </c>
      <c r="I248" s="22" t="e">
        <f t="shared" si="21"/>
        <v>#N/A</v>
      </c>
      <c r="J248" s="28" t="e">
        <f t="shared" si="22"/>
        <v>#N/A</v>
      </c>
      <c r="K248" s="22" t="str">
        <f t="shared" si="23"/>
        <v/>
      </c>
    </row>
    <row r="249" spans="3:11" x14ac:dyDescent="0.3">
      <c r="C249" s="22" t="str">
        <f t="shared" si="18"/>
        <v/>
      </c>
      <c r="D249" s="28" t="str">
        <f>IF(ISNUMBER(B249),AVERAGE(INDEX($B$2:$B$301,MAX(1,248-semi)):INDEX($B$2:$B$301,MIN($M$2,248+semi))),"")</f>
        <v/>
      </c>
      <c r="E249" s="28" t="str">
        <f t="shared" si="19"/>
        <v/>
      </c>
      <c r="F249" s="22" t="str">
        <f>IF(AND(ISNUMBER(E249),ISNUMBER(E250),ISNUMBER($M$6)),IF(AND(249&lt;$M$6,E249&lt;0.5,E250&gt;=0.5),249,""),"")</f>
        <v/>
      </c>
      <c r="G249" s="22" t="str">
        <f>IF(AND(ISNUMBER(E249),ISNUMBER(E250),ISNUMBER($M$6)),IF(AND(249&gt;=$M$6,E249&gt;=0.5,E250&lt;0.5),249,""),"")</f>
        <v/>
      </c>
      <c r="H249" s="22" t="str">
        <f t="shared" si="20"/>
        <v/>
      </c>
      <c r="I249" s="22" t="e">
        <f t="shared" si="21"/>
        <v>#N/A</v>
      </c>
      <c r="J249" s="28" t="e">
        <f t="shared" si="22"/>
        <v>#N/A</v>
      </c>
      <c r="K249" s="22" t="str">
        <f t="shared" si="23"/>
        <v/>
      </c>
    </row>
    <row r="250" spans="3:11" x14ac:dyDescent="0.3">
      <c r="C250" s="22" t="str">
        <f t="shared" si="18"/>
        <v/>
      </c>
      <c r="D250" s="28" t="str">
        <f>IF(ISNUMBER(B250),AVERAGE(INDEX($B$2:$B$301,MAX(1,249-semi)):INDEX($B$2:$B$301,MIN($M$2,249+semi))),"")</f>
        <v/>
      </c>
      <c r="E250" s="28" t="str">
        <f t="shared" si="19"/>
        <v/>
      </c>
      <c r="F250" s="22" t="str">
        <f>IF(AND(ISNUMBER(E250),ISNUMBER(E251),ISNUMBER($M$6)),IF(AND(250&lt;$M$6,E250&lt;0.5,E251&gt;=0.5),250,""),"")</f>
        <v/>
      </c>
      <c r="G250" s="22" t="str">
        <f>IF(AND(ISNUMBER(E250),ISNUMBER(E251),ISNUMBER($M$6)),IF(AND(250&gt;=$M$6,E250&gt;=0.5,E251&lt;0.5),250,""),"")</f>
        <v/>
      </c>
      <c r="H250" s="22" t="str">
        <f t="shared" si="20"/>
        <v/>
      </c>
      <c r="I250" s="22" t="e">
        <f t="shared" si="21"/>
        <v>#N/A</v>
      </c>
      <c r="J250" s="28" t="e">
        <f t="shared" si="22"/>
        <v>#N/A</v>
      </c>
      <c r="K250" s="22" t="str">
        <f t="shared" si="23"/>
        <v/>
      </c>
    </row>
    <row r="251" spans="3:11" x14ac:dyDescent="0.3">
      <c r="C251" s="22" t="str">
        <f t="shared" si="18"/>
        <v/>
      </c>
      <c r="D251" s="28" t="str">
        <f>IF(ISNUMBER(B251),AVERAGE(INDEX($B$2:$B$301,MAX(1,250-semi)):INDEX($B$2:$B$301,MIN($M$2,250+semi))),"")</f>
        <v/>
      </c>
      <c r="E251" s="28" t="str">
        <f t="shared" si="19"/>
        <v/>
      </c>
      <c r="F251" s="22" t="str">
        <f>IF(AND(ISNUMBER(E251),ISNUMBER(E252),ISNUMBER($M$6)),IF(AND(251&lt;$M$6,E251&lt;0.5,E252&gt;=0.5),251,""),"")</f>
        <v/>
      </c>
      <c r="G251" s="22" t="str">
        <f>IF(AND(ISNUMBER(E251),ISNUMBER(E252),ISNUMBER($M$6)),IF(AND(251&gt;=$M$6,E251&gt;=0.5,E252&lt;0.5),251,""),"")</f>
        <v/>
      </c>
      <c r="H251" s="22" t="str">
        <f t="shared" si="20"/>
        <v/>
      </c>
      <c r="I251" s="22" t="e">
        <f t="shared" si="21"/>
        <v>#N/A</v>
      </c>
      <c r="J251" s="28" t="e">
        <f t="shared" si="22"/>
        <v>#N/A</v>
      </c>
      <c r="K251" s="22" t="str">
        <f t="shared" si="23"/>
        <v/>
      </c>
    </row>
    <row r="252" spans="3:11" x14ac:dyDescent="0.3">
      <c r="C252" s="22" t="str">
        <f t="shared" si="18"/>
        <v/>
      </c>
      <c r="D252" s="28" t="str">
        <f>IF(ISNUMBER(B252),AVERAGE(INDEX($B$2:$B$301,MAX(1,251-semi)):INDEX($B$2:$B$301,MIN($M$2,251+semi))),"")</f>
        <v/>
      </c>
      <c r="E252" s="28" t="str">
        <f t="shared" si="19"/>
        <v/>
      </c>
      <c r="F252" s="22" t="str">
        <f>IF(AND(ISNUMBER(E252),ISNUMBER(E253),ISNUMBER($M$6)),IF(AND(252&lt;$M$6,E252&lt;0.5,E253&gt;=0.5),252,""),"")</f>
        <v/>
      </c>
      <c r="G252" s="22" t="str">
        <f>IF(AND(ISNUMBER(E252),ISNUMBER(E253),ISNUMBER($M$6)),IF(AND(252&gt;=$M$6,E252&gt;=0.5,E253&lt;0.5),252,""),"")</f>
        <v/>
      </c>
      <c r="H252" s="22" t="str">
        <f t="shared" si="20"/>
        <v/>
      </c>
      <c r="I252" s="22" t="e">
        <f t="shared" si="21"/>
        <v>#N/A</v>
      </c>
      <c r="J252" s="28" t="e">
        <f t="shared" si="22"/>
        <v>#N/A</v>
      </c>
      <c r="K252" s="22" t="str">
        <f t="shared" si="23"/>
        <v/>
      </c>
    </row>
    <row r="253" spans="3:11" x14ac:dyDescent="0.3">
      <c r="C253" s="22" t="str">
        <f t="shared" si="18"/>
        <v/>
      </c>
      <c r="D253" s="28" t="str">
        <f>IF(ISNUMBER(B253),AVERAGE(INDEX($B$2:$B$301,MAX(1,252-semi)):INDEX($B$2:$B$301,MIN($M$2,252+semi))),"")</f>
        <v/>
      </c>
      <c r="E253" s="28" t="str">
        <f t="shared" si="19"/>
        <v/>
      </c>
      <c r="F253" s="22" t="str">
        <f>IF(AND(ISNUMBER(E253),ISNUMBER(E254),ISNUMBER($M$6)),IF(AND(253&lt;$M$6,E253&lt;0.5,E254&gt;=0.5),253,""),"")</f>
        <v/>
      </c>
      <c r="G253" s="22" t="str">
        <f>IF(AND(ISNUMBER(E253),ISNUMBER(E254),ISNUMBER($M$6)),IF(AND(253&gt;=$M$6,E253&gt;=0.5,E254&lt;0.5),253,""),"")</f>
        <v/>
      </c>
      <c r="H253" s="22" t="str">
        <f t="shared" si="20"/>
        <v/>
      </c>
      <c r="I253" s="22" t="e">
        <f t="shared" si="21"/>
        <v>#N/A</v>
      </c>
      <c r="J253" s="28" t="e">
        <f t="shared" si="22"/>
        <v>#N/A</v>
      </c>
      <c r="K253" s="22" t="str">
        <f t="shared" si="23"/>
        <v/>
      </c>
    </row>
    <row r="254" spans="3:11" x14ac:dyDescent="0.3">
      <c r="C254" s="22" t="str">
        <f t="shared" si="18"/>
        <v/>
      </c>
      <c r="D254" s="28" t="str">
        <f>IF(ISNUMBER(B254),AVERAGE(INDEX($B$2:$B$301,MAX(1,253-semi)):INDEX($B$2:$B$301,MIN($M$2,253+semi))),"")</f>
        <v/>
      </c>
      <c r="E254" s="28" t="str">
        <f t="shared" si="19"/>
        <v/>
      </c>
      <c r="F254" s="22" t="str">
        <f>IF(AND(ISNUMBER(E254),ISNUMBER(E255),ISNUMBER($M$6)),IF(AND(254&lt;$M$6,E254&lt;0.5,E255&gt;=0.5),254,""),"")</f>
        <v/>
      </c>
      <c r="G254" s="22" t="str">
        <f>IF(AND(ISNUMBER(E254),ISNUMBER(E255),ISNUMBER($M$6)),IF(AND(254&gt;=$M$6,E254&gt;=0.5,E255&lt;0.5),254,""),"")</f>
        <v/>
      </c>
      <c r="H254" s="22" t="str">
        <f t="shared" si="20"/>
        <v/>
      </c>
      <c r="I254" s="22" t="e">
        <f t="shared" si="21"/>
        <v>#N/A</v>
      </c>
      <c r="J254" s="28" t="e">
        <f t="shared" si="22"/>
        <v>#N/A</v>
      </c>
      <c r="K254" s="22" t="str">
        <f t="shared" si="23"/>
        <v/>
      </c>
    </row>
    <row r="255" spans="3:11" x14ac:dyDescent="0.3">
      <c r="C255" s="22" t="str">
        <f t="shared" si="18"/>
        <v/>
      </c>
      <c r="D255" s="28" t="str">
        <f>IF(ISNUMBER(B255),AVERAGE(INDEX($B$2:$B$301,MAX(1,254-semi)):INDEX($B$2:$B$301,MIN($M$2,254+semi))),"")</f>
        <v/>
      </c>
      <c r="E255" s="28" t="str">
        <f t="shared" si="19"/>
        <v/>
      </c>
      <c r="F255" s="22" t="str">
        <f>IF(AND(ISNUMBER(E255),ISNUMBER(E256),ISNUMBER($M$6)),IF(AND(255&lt;$M$6,E255&lt;0.5,E256&gt;=0.5),255,""),"")</f>
        <v/>
      </c>
      <c r="G255" s="22" t="str">
        <f>IF(AND(ISNUMBER(E255),ISNUMBER(E256),ISNUMBER($M$6)),IF(AND(255&gt;=$M$6,E255&gt;=0.5,E256&lt;0.5),255,""),"")</f>
        <v/>
      </c>
      <c r="H255" s="22" t="str">
        <f t="shared" si="20"/>
        <v/>
      </c>
      <c r="I255" s="22" t="e">
        <f t="shared" si="21"/>
        <v>#N/A</v>
      </c>
      <c r="J255" s="28" t="e">
        <f t="shared" si="22"/>
        <v>#N/A</v>
      </c>
      <c r="K255" s="22" t="str">
        <f t="shared" si="23"/>
        <v/>
      </c>
    </row>
    <row r="256" spans="3:11" x14ac:dyDescent="0.3">
      <c r="C256" s="22" t="str">
        <f t="shared" si="18"/>
        <v/>
      </c>
      <c r="D256" s="28" t="str">
        <f>IF(ISNUMBER(B256),AVERAGE(INDEX($B$2:$B$301,MAX(1,255-semi)):INDEX($B$2:$B$301,MIN($M$2,255+semi))),"")</f>
        <v/>
      </c>
      <c r="E256" s="28" t="str">
        <f t="shared" si="19"/>
        <v/>
      </c>
      <c r="F256" s="22" t="str">
        <f>IF(AND(ISNUMBER(E256),ISNUMBER(E257),ISNUMBER($M$6)),IF(AND(256&lt;$M$6,E256&lt;0.5,E257&gt;=0.5),256,""),"")</f>
        <v/>
      </c>
      <c r="G256" s="22" t="str">
        <f>IF(AND(ISNUMBER(E256),ISNUMBER(E257),ISNUMBER($M$6)),IF(AND(256&gt;=$M$6,E256&gt;=0.5,E257&lt;0.5),256,""),"")</f>
        <v/>
      </c>
      <c r="H256" s="22" t="str">
        <f t="shared" si="20"/>
        <v/>
      </c>
      <c r="I256" s="22" t="e">
        <f t="shared" si="21"/>
        <v>#N/A</v>
      </c>
      <c r="J256" s="28" t="e">
        <f t="shared" si="22"/>
        <v>#N/A</v>
      </c>
      <c r="K256" s="22" t="str">
        <f t="shared" si="23"/>
        <v/>
      </c>
    </row>
    <row r="257" spans="3:11" x14ac:dyDescent="0.3">
      <c r="C257" s="22" t="str">
        <f t="shared" si="18"/>
        <v/>
      </c>
      <c r="D257" s="28" t="str">
        <f>IF(ISNUMBER(B257),AVERAGE(INDEX($B$2:$B$301,MAX(1,256-semi)):INDEX($B$2:$B$301,MIN($M$2,256+semi))),"")</f>
        <v/>
      </c>
      <c r="E257" s="28" t="str">
        <f t="shared" si="19"/>
        <v/>
      </c>
      <c r="F257" s="22" t="str">
        <f>IF(AND(ISNUMBER(E257),ISNUMBER(E258),ISNUMBER($M$6)),IF(AND(257&lt;$M$6,E257&lt;0.5,E258&gt;=0.5),257,""),"")</f>
        <v/>
      </c>
      <c r="G257" s="22" t="str">
        <f>IF(AND(ISNUMBER(E257),ISNUMBER(E258),ISNUMBER($M$6)),IF(AND(257&gt;=$M$6,E257&gt;=0.5,E258&lt;0.5),257,""),"")</f>
        <v/>
      </c>
      <c r="H257" s="22" t="str">
        <f t="shared" si="20"/>
        <v/>
      </c>
      <c r="I257" s="22" t="e">
        <f t="shared" si="21"/>
        <v>#N/A</v>
      </c>
      <c r="J257" s="28" t="e">
        <f t="shared" si="22"/>
        <v>#N/A</v>
      </c>
      <c r="K257" s="22" t="str">
        <f t="shared" si="23"/>
        <v/>
      </c>
    </row>
    <row r="258" spans="3:11" x14ac:dyDescent="0.3">
      <c r="C258" s="22" t="str">
        <f t="shared" ref="C258:C301" si="24">IF(ISNUMBER(A258),A258*conv,"")</f>
        <v/>
      </c>
      <c r="D258" s="28" t="str">
        <f>IF(ISNUMBER(B258),AVERAGE(INDEX($B$2:$B$301,MAX(1,257-semi)):INDEX($B$2:$B$301,MIN($M$2,257+semi))),"")</f>
        <v/>
      </c>
      <c r="E258" s="28" t="str">
        <f t="shared" ref="E258:E321" si="25">IF(AND(ISNUMBER(D258),ISNUMBER($M$4)),(D258-$M$4)/($M$5-$M$4),"")</f>
        <v/>
      </c>
      <c r="F258" s="22" t="str">
        <f>IF(AND(ISNUMBER(E258),ISNUMBER(E259),ISNUMBER($M$6)),IF(AND(258&lt;$M$6,E258&lt;0.5,E259&gt;=0.5),258,""),"")</f>
        <v/>
      </c>
      <c r="G258" s="22" t="str">
        <f>IF(AND(ISNUMBER(E258),ISNUMBER(E259),ISNUMBER($M$6)),IF(AND(258&gt;=$M$6,E258&gt;=0.5,E259&lt;0.5),258,""),"")</f>
        <v/>
      </c>
      <c r="H258" s="22" t="str">
        <f t="shared" ref="H258:H321" si="26">IF(OR(ISNUMBER(F258),ISNUMBER(G258)),C258+(0.5-E258)*(C259-C258)/(E259-E258),"")</f>
        <v/>
      </c>
      <c r="I258" s="22" t="e">
        <f t="shared" ref="I258:I301" si="27">IF(AND(ISNUMBER(E258),ISNUMBER($M$15)),C258-$M$15,NA())</f>
        <v>#N/A</v>
      </c>
      <c r="J258" s="28" t="e">
        <f t="shared" ref="J258:J301" si="28">IF(ISNUMBER(E258),E258,NA())</f>
        <v>#N/A</v>
      </c>
      <c r="K258" s="22" t="str">
        <f t="shared" ref="K258:K301" si="29">IF(AND(ISNUMBER(C258),ISNUMBER(C259)),SIGN(C259-C258),"")</f>
        <v/>
      </c>
    </row>
    <row r="259" spans="3:11" x14ac:dyDescent="0.3">
      <c r="C259" s="22" t="str">
        <f t="shared" si="24"/>
        <v/>
      </c>
      <c r="D259" s="28" t="str">
        <f>IF(ISNUMBER(B259),AVERAGE(INDEX($B$2:$B$301,MAX(1,258-semi)):INDEX($B$2:$B$301,MIN($M$2,258+semi))),"")</f>
        <v/>
      </c>
      <c r="E259" s="28" t="str">
        <f t="shared" si="25"/>
        <v/>
      </c>
      <c r="F259" s="22" t="str">
        <f>IF(AND(ISNUMBER(E259),ISNUMBER(E260),ISNUMBER($M$6)),IF(AND(259&lt;$M$6,E259&lt;0.5,E260&gt;=0.5),259,""),"")</f>
        <v/>
      </c>
      <c r="G259" s="22" t="str">
        <f>IF(AND(ISNUMBER(E259),ISNUMBER(E260),ISNUMBER($M$6)),IF(AND(259&gt;=$M$6,E259&gt;=0.5,E260&lt;0.5),259,""),"")</f>
        <v/>
      </c>
      <c r="H259" s="22" t="str">
        <f t="shared" si="26"/>
        <v/>
      </c>
      <c r="I259" s="22" t="e">
        <f t="shared" si="27"/>
        <v>#N/A</v>
      </c>
      <c r="J259" s="28" t="e">
        <f t="shared" si="28"/>
        <v>#N/A</v>
      </c>
      <c r="K259" s="22" t="str">
        <f t="shared" si="29"/>
        <v/>
      </c>
    </row>
    <row r="260" spans="3:11" x14ac:dyDescent="0.3">
      <c r="C260" s="22" t="str">
        <f t="shared" si="24"/>
        <v/>
      </c>
      <c r="D260" s="28" t="str">
        <f>IF(ISNUMBER(B260),AVERAGE(INDEX($B$2:$B$301,MAX(1,259-semi)):INDEX($B$2:$B$301,MIN($M$2,259+semi))),"")</f>
        <v/>
      </c>
      <c r="E260" s="28" t="str">
        <f t="shared" si="25"/>
        <v/>
      </c>
      <c r="F260" s="22" t="str">
        <f>IF(AND(ISNUMBER(E260),ISNUMBER(E261),ISNUMBER($M$6)),IF(AND(260&lt;$M$6,E260&lt;0.5,E261&gt;=0.5),260,""),"")</f>
        <v/>
      </c>
      <c r="G260" s="22" t="str">
        <f>IF(AND(ISNUMBER(E260),ISNUMBER(E261),ISNUMBER($M$6)),IF(AND(260&gt;=$M$6,E260&gt;=0.5,E261&lt;0.5),260,""),"")</f>
        <v/>
      </c>
      <c r="H260" s="22" t="str">
        <f t="shared" si="26"/>
        <v/>
      </c>
      <c r="I260" s="22" t="e">
        <f t="shared" si="27"/>
        <v>#N/A</v>
      </c>
      <c r="J260" s="28" t="e">
        <f t="shared" si="28"/>
        <v>#N/A</v>
      </c>
      <c r="K260" s="22" t="str">
        <f t="shared" si="29"/>
        <v/>
      </c>
    </row>
    <row r="261" spans="3:11" x14ac:dyDescent="0.3">
      <c r="C261" s="22" t="str">
        <f t="shared" si="24"/>
        <v/>
      </c>
      <c r="D261" s="28" t="str">
        <f>IF(ISNUMBER(B261),AVERAGE(INDEX($B$2:$B$301,MAX(1,260-semi)):INDEX($B$2:$B$301,MIN($M$2,260+semi))),"")</f>
        <v/>
      </c>
      <c r="E261" s="28" t="str">
        <f t="shared" si="25"/>
        <v/>
      </c>
      <c r="F261" s="22" t="str">
        <f>IF(AND(ISNUMBER(E261),ISNUMBER(E262),ISNUMBER($M$6)),IF(AND(261&lt;$M$6,E261&lt;0.5,E262&gt;=0.5),261,""),"")</f>
        <v/>
      </c>
      <c r="G261" s="22" t="str">
        <f>IF(AND(ISNUMBER(E261),ISNUMBER(E262),ISNUMBER($M$6)),IF(AND(261&gt;=$M$6,E261&gt;=0.5,E262&lt;0.5),261,""),"")</f>
        <v/>
      </c>
      <c r="H261" s="22" t="str">
        <f t="shared" si="26"/>
        <v/>
      </c>
      <c r="I261" s="22" t="e">
        <f t="shared" si="27"/>
        <v>#N/A</v>
      </c>
      <c r="J261" s="28" t="e">
        <f t="shared" si="28"/>
        <v>#N/A</v>
      </c>
      <c r="K261" s="22" t="str">
        <f t="shared" si="29"/>
        <v/>
      </c>
    </row>
    <row r="262" spans="3:11" x14ac:dyDescent="0.3">
      <c r="C262" s="22" t="str">
        <f t="shared" si="24"/>
        <v/>
      </c>
      <c r="D262" s="28" t="str">
        <f>IF(ISNUMBER(B262),AVERAGE(INDEX($B$2:$B$301,MAX(1,261-semi)):INDEX($B$2:$B$301,MIN($M$2,261+semi))),"")</f>
        <v/>
      </c>
      <c r="E262" s="28" t="str">
        <f t="shared" si="25"/>
        <v/>
      </c>
      <c r="F262" s="22" t="str">
        <f>IF(AND(ISNUMBER(E262),ISNUMBER(E263),ISNUMBER($M$6)),IF(AND(262&lt;$M$6,E262&lt;0.5,E263&gt;=0.5),262,""),"")</f>
        <v/>
      </c>
      <c r="G262" s="22" t="str">
        <f>IF(AND(ISNUMBER(E262),ISNUMBER(E263),ISNUMBER($M$6)),IF(AND(262&gt;=$M$6,E262&gt;=0.5,E263&lt;0.5),262,""),"")</f>
        <v/>
      </c>
      <c r="H262" s="22" t="str">
        <f t="shared" si="26"/>
        <v/>
      </c>
      <c r="I262" s="22" t="e">
        <f t="shared" si="27"/>
        <v>#N/A</v>
      </c>
      <c r="J262" s="28" t="e">
        <f t="shared" si="28"/>
        <v>#N/A</v>
      </c>
      <c r="K262" s="22" t="str">
        <f t="shared" si="29"/>
        <v/>
      </c>
    </row>
    <row r="263" spans="3:11" x14ac:dyDescent="0.3">
      <c r="C263" s="22" t="str">
        <f t="shared" si="24"/>
        <v/>
      </c>
      <c r="D263" s="28" t="str">
        <f>IF(ISNUMBER(B263),AVERAGE(INDEX($B$2:$B$301,MAX(1,262-semi)):INDEX($B$2:$B$301,MIN($M$2,262+semi))),"")</f>
        <v/>
      </c>
      <c r="E263" s="28" t="str">
        <f t="shared" si="25"/>
        <v/>
      </c>
      <c r="F263" s="22" t="str">
        <f>IF(AND(ISNUMBER(E263),ISNUMBER(E264),ISNUMBER($M$6)),IF(AND(263&lt;$M$6,E263&lt;0.5,E264&gt;=0.5),263,""),"")</f>
        <v/>
      </c>
      <c r="G263" s="22" t="str">
        <f>IF(AND(ISNUMBER(E263),ISNUMBER(E264),ISNUMBER($M$6)),IF(AND(263&gt;=$M$6,E263&gt;=0.5,E264&lt;0.5),263,""),"")</f>
        <v/>
      </c>
      <c r="H263" s="22" t="str">
        <f t="shared" si="26"/>
        <v/>
      </c>
      <c r="I263" s="22" t="e">
        <f t="shared" si="27"/>
        <v>#N/A</v>
      </c>
      <c r="J263" s="28" t="e">
        <f t="shared" si="28"/>
        <v>#N/A</v>
      </c>
      <c r="K263" s="22" t="str">
        <f t="shared" si="29"/>
        <v/>
      </c>
    </row>
    <row r="264" spans="3:11" x14ac:dyDescent="0.3">
      <c r="C264" s="22" t="str">
        <f t="shared" si="24"/>
        <v/>
      </c>
      <c r="D264" s="28" t="str">
        <f>IF(ISNUMBER(B264),AVERAGE(INDEX($B$2:$B$301,MAX(1,263-semi)):INDEX($B$2:$B$301,MIN($M$2,263+semi))),"")</f>
        <v/>
      </c>
      <c r="E264" s="28" t="str">
        <f t="shared" si="25"/>
        <v/>
      </c>
      <c r="F264" s="22" t="str">
        <f>IF(AND(ISNUMBER(E264),ISNUMBER(E265),ISNUMBER($M$6)),IF(AND(264&lt;$M$6,E264&lt;0.5,E265&gt;=0.5),264,""),"")</f>
        <v/>
      </c>
      <c r="G264" s="22" t="str">
        <f>IF(AND(ISNUMBER(E264),ISNUMBER(E265),ISNUMBER($M$6)),IF(AND(264&gt;=$M$6,E264&gt;=0.5,E265&lt;0.5),264,""),"")</f>
        <v/>
      </c>
      <c r="H264" s="22" t="str">
        <f t="shared" si="26"/>
        <v/>
      </c>
      <c r="I264" s="22" t="e">
        <f t="shared" si="27"/>
        <v>#N/A</v>
      </c>
      <c r="J264" s="28" t="e">
        <f t="shared" si="28"/>
        <v>#N/A</v>
      </c>
      <c r="K264" s="22" t="str">
        <f t="shared" si="29"/>
        <v/>
      </c>
    </row>
    <row r="265" spans="3:11" x14ac:dyDescent="0.3">
      <c r="C265" s="22" t="str">
        <f t="shared" si="24"/>
        <v/>
      </c>
      <c r="D265" s="28" t="str">
        <f>IF(ISNUMBER(B265),AVERAGE(INDEX($B$2:$B$301,MAX(1,264-semi)):INDEX($B$2:$B$301,MIN($M$2,264+semi))),"")</f>
        <v/>
      </c>
      <c r="E265" s="28" t="str">
        <f t="shared" si="25"/>
        <v/>
      </c>
      <c r="F265" s="22" t="str">
        <f>IF(AND(ISNUMBER(E265),ISNUMBER(E266),ISNUMBER($M$6)),IF(AND(265&lt;$M$6,E265&lt;0.5,E266&gt;=0.5),265,""),"")</f>
        <v/>
      </c>
      <c r="G265" s="22" t="str">
        <f>IF(AND(ISNUMBER(E265),ISNUMBER(E266),ISNUMBER($M$6)),IF(AND(265&gt;=$M$6,E265&gt;=0.5,E266&lt;0.5),265,""),"")</f>
        <v/>
      </c>
      <c r="H265" s="22" t="str">
        <f t="shared" si="26"/>
        <v/>
      </c>
      <c r="I265" s="22" t="e">
        <f t="shared" si="27"/>
        <v>#N/A</v>
      </c>
      <c r="J265" s="28" t="e">
        <f t="shared" si="28"/>
        <v>#N/A</v>
      </c>
      <c r="K265" s="22" t="str">
        <f t="shared" si="29"/>
        <v/>
      </c>
    </row>
    <row r="266" spans="3:11" x14ac:dyDescent="0.3">
      <c r="C266" s="22" t="str">
        <f t="shared" si="24"/>
        <v/>
      </c>
      <c r="D266" s="28" t="str">
        <f>IF(ISNUMBER(B266),AVERAGE(INDEX($B$2:$B$301,MAX(1,265-semi)):INDEX($B$2:$B$301,MIN($M$2,265+semi))),"")</f>
        <v/>
      </c>
      <c r="E266" s="28" t="str">
        <f t="shared" si="25"/>
        <v/>
      </c>
      <c r="F266" s="22" t="str">
        <f>IF(AND(ISNUMBER(E266),ISNUMBER(E267),ISNUMBER($M$6)),IF(AND(266&lt;$M$6,E266&lt;0.5,E267&gt;=0.5),266,""),"")</f>
        <v/>
      </c>
      <c r="G266" s="22" t="str">
        <f>IF(AND(ISNUMBER(E266),ISNUMBER(E267),ISNUMBER($M$6)),IF(AND(266&gt;=$M$6,E266&gt;=0.5,E267&lt;0.5),266,""),"")</f>
        <v/>
      </c>
      <c r="H266" s="22" t="str">
        <f t="shared" si="26"/>
        <v/>
      </c>
      <c r="I266" s="22" t="e">
        <f t="shared" si="27"/>
        <v>#N/A</v>
      </c>
      <c r="J266" s="28" t="e">
        <f t="shared" si="28"/>
        <v>#N/A</v>
      </c>
      <c r="K266" s="22" t="str">
        <f t="shared" si="29"/>
        <v/>
      </c>
    </row>
    <row r="267" spans="3:11" x14ac:dyDescent="0.3">
      <c r="C267" s="22" t="str">
        <f t="shared" si="24"/>
        <v/>
      </c>
      <c r="D267" s="28" t="str">
        <f>IF(ISNUMBER(B267),AVERAGE(INDEX($B$2:$B$301,MAX(1,266-semi)):INDEX($B$2:$B$301,MIN($M$2,266+semi))),"")</f>
        <v/>
      </c>
      <c r="E267" s="28" t="str">
        <f t="shared" si="25"/>
        <v/>
      </c>
      <c r="F267" s="22" t="str">
        <f>IF(AND(ISNUMBER(E267),ISNUMBER(E268),ISNUMBER($M$6)),IF(AND(267&lt;$M$6,E267&lt;0.5,E268&gt;=0.5),267,""),"")</f>
        <v/>
      </c>
      <c r="G267" s="22" t="str">
        <f>IF(AND(ISNUMBER(E267),ISNUMBER(E268),ISNUMBER($M$6)),IF(AND(267&gt;=$M$6,E267&gt;=0.5,E268&lt;0.5),267,""),"")</f>
        <v/>
      </c>
      <c r="H267" s="22" t="str">
        <f t="shared" si="26"/>
        <v/>
      </c>
      <c r="I267" s="22" t="e">
        <f t="shared" si="27"/>
        <v>#N/A</v>
      </c>
      <c r="J267" s="28" t="e">
        <f t="shared" si="28"/>
        <v>#N/A</v>
      </c>
      <c r="K267" s="22" t="str">
        <f t="shared" si="29"/>
        <v/>
      </c>
    </row>
    <row r="268" spans="3:11" x14ac:dyDescent="0.3">
      <c r="C268" s="22" t="str">
        <f t="shared" si="24"/>
        <v/>
      </c>
      <c r="D268" s="28" t="str">
        <f>IF(ISNUMBER(B268),AVERAGE(INDEX($B$2:$B$301,MAX(1,267-semi)):INDEX($B$2:$B$301,MIN($M$2,267+semi))),"")</f>
        <v/>
      </c>
      <c r="E268" s="28" t="str">
        <f t="shared" si="25"/>
        <v/>
      </c>
      <c r="F268" s="22" t="str">
        <f>IF(AND(ISNUMBER(E268),ISNUMBER(E269),ISNUMBER($M$6)),IF(AND(268&lt;$M$6,E268&lt;0.5,E269&gt;=0.5),268,""),"")</f>
        <v/>
      </c>
      <c r="G268" s="22" t="str">
        <f>IF(AND(ISNUMBER(E268),ISNUMBER(E269),ISNUMBER($M$6)),IF(AND(268&gt;=$M$6,E268&gt;=0.5,E269&lt;0.5),268,""),"")</f>
        <v/>
      </c>
      <c r="H268" s="22" t="str">
        <f t="shared" si="26"/>
        <v/>
      </c>
      <c r="I268" s="22" t="e">
        <f t="shared" si="27"/>
        <v>#N/A</v>
      </c>
      <c r="J268" s="28" t="e">
        <f t="shared" si="28"/>
        <v>#N/A</v>
      </c>
      <c r="K268" s="22" t="str">
        <f t="shared" si="29"/>
        <v/>
      </c>
    </row>
    <row r="269" spans="3:11" x14ac:dyDescent="0.3">
      <c r="C269" s="22" t="str">
        <f t="shared" si="24"/>
        <v/>
      </c>
      <c r="D269" s="28" t="str">
        <f>IF(ISNUMBER(B269),AVERAGE(INDEX($B$2:$B$301,MAX(1,268-semi)):INDEX($B$2:$B$301,MIN($M$2,268+semi))),"")</f>
        <v/>
      </c>
      <c r="E269" s="28" t="str">
        <f t="shared" si="25"/>
        <v/>
      </c>
      <c r="F269" s="22" t="str">
        <f>IF(AND(ISNUMBER(E269),ISNUMBER(E270),ISNUMBER($M$6)),IF(AND(269&lt;$M$6,E269&lt;0.5,E270&gt;=0.5),269,""),"")</f>
        <v/>
      </c>
      <c r="G269" s="22" t="str">
        <f>IF(AND(ISNUMBER(E269),ISNUMBER(E270),ISNUMBER($M$6)),IF(AND(269&gt;=$M$6,E269&gt;=0.5,E270&lt;0.5),269,""),"")</f>
        <v/>
      </c>
      <c r="H269" s="22" t="str">
        <f t="shared" si="26"/>
        <v/>
      </c>
      <c r="I269" s="22" t="e">
        <f t="shared" si="27"/>
        <v>#N/A</v>
      </c>
      <c r="J269" s="28" t="e">
        <f t="shared" si="28"/>
        <v>#N/A</v>
      </c>
      <c r="K269" s="22" t="str">
        <f t="shared" si="29"/>
        <v/>
      </c>
    </row>
    <row r="270" spans="3:11" x14ac:dyDescent="0.3">
      <c r="C270" s="22" t="str">
        <f t="shared" si="24"/>
        <v/>
      </c>
      <c r="D270" s="28" t="str">
        <f>IF(ISNUMBER(B270),AVERAGE(INDEX($B$2:$B$301,MAX(1,269-semi)):INDEX($B$2:$B$301,MIN($M$2,269+semi))),"")</f>
        <v/>
      </c>
      <c r="E270" s="28" t="str">
        <f t="shared" si="25"/>
        <v/>
      </c>
      <c r="F270" s="22" t="str">
        <f>IF(AND(ISNUMBER(E270),ISNUMBER(E271),ISNUMBER($M$6)),IF(AND(270&lt;$M$6,E270&lt;0.5,E271&gt;=0.5),270,""),"")</f>
        <v/>
      </c>
      <c r="G270" s="22" t="str">
        <f>IF(AND(ISNUMBER(E270),ISNUMBER(E271),ISNUMBER($M$6)),IF(AND(270&gt;=$M$6,E270&gt;=0.5,E271&lt;0.5),270,""),"")</f>
        <v/>
      </c>
      <c r="H270" s="22" t="str">
        <f t="shared" si="26"/>
        <v/>
      </c>
      <c r="I270" s="22" t="e">
        <f t="shared" si="27"/>
        <v>#N/A</v>
      </c>
      <c r="J270" s="28" t="e">
        <f t="shared" si="28"/>
        <v>#N/A</v>
      </c>
      <c r="K270" s="22" t="str">
        <f t="shared" si="29"/>
        <v/>
      </c>
    </row>
    <row r="271" spans="3:11" x14ac:dyDescent="0.3">
      <c r="C271" s="22" t="str">
        <f t="shared" si="24"/>
        <v/>
      </c>
      <c r="D271" s="28" t="str">
        <f>IF(ISNUMBER(B271),AVERAGE(INDEX($B$2:$B$301,MAX(1,270-semi)):INDEX($B$2:$B$301,MIN($M$2,270+semi))),"")</f>
        <v/>
      </c>
      <c r="E271" s="28" t="str">
        <f t="shared" si="25"/>
        <v/>
      </c>
      <c r="F271" s="22" t="str">
        <f>IF(AND(ISNUMBER(E271),ISNUMBER(E272),ISNUMBER($M$6)),IF(AND(271&lt;$M$6,E271&lt;0.5,E272&gt;=0.5),271,""),"")</f>
        <v/>
      </c>
      <c r="G271" s="22" t="str">
        <f>IF(AND(ISNUMBER(E271),ISNUMBER(E272),ISNUMBER($M$6)),IF(AND(271&gt;=$M$6,E271&gt;=0.5,E272&lt;0.5),271,""),"")</f>
        <v/>
      </c>
      <c r="H271" s="22" t="str">
        <f t="shared" si="26"/>
        <v/>
      </c>
      <c r="I271" s="22" t="e">
        <f t="shared" si="27"/>
        <v>#N/A</v>
      </c>
      <c r="J271" s="28" t="e">
        <f t="shared" si="28"/>
        <v>#N/A</v>
      </c>
      <c r="K271" s="22" t="str">
        <f t="shared" si="29"/>
        <v/>
      </c>
    </row>
    <row r="272" spans="3:11" x14ac:dyDescent="0.3">
      <c r="C272" s="22" t="str">
        <f t="shared" si="24"/>
        <v/>
      </c>
      <c r="D272" s="28" t="str">
        <f>IF(ISNUMBER(B272),AVERAGE(INDEX($B$2:$B$301,MAX(1,271-semi)):INDEX($B$2:$B$301,MIN($M$2,271+semi))),"")</f>
        <v/>
      </c>
      <c r="E272" s="28" t="str">
        <f t="shared" si="25"/>
        <v/>
      </c>
      <c r="F272" s="22" t="str">
        <f>IF(AND(ISNUMBER(E272),ISNUMBER(E273),ISNUMBER($M$6)),IF(AND(272&lt;$M$6,E272&lt;0.5,E273&gt;=0.5),272,""),"")</f>
        <v/>
      </c>
      <c r="G272" s="22" t="str">
        <f>IF(AND(ISNUMBER(E272),ISNUMBER(E273),ISNUMBER($M$6)),IF(AND(272&gt;=$M$6,E272&gt;=0.5,E273&lt;0.5),272,""),"")</f>
        <v/>
      </c>
      <c r="H272" s="22" t="str">
        <f t="shared" si="26"/>
        <v/>
      </c>
      <c r="I272" s="22" t="e">
        <f t="shared" si="27"/>
        <v>#N/A</v>
      </c>
      <c r="J272" s="28" t="e">
        <f t="shared" si="28"/>
        <v>#N/A</v>
      </c>
      <c r="K272" s="22" t="str">
        <f t="shared" si="29"/>
        <v/>
      </c>
    </row>
    <row r="273" spans="3:11" x14ac:dyDescent="0.3">
      <c r="C273" s="22" t="str">
        <f t="shared" si="24"/>
        <v/>
      </c>
      <c r="D273" s="28" t="str">
        <f>IF(ISNUMBER(B273),AVERAGE(INDEX($B$2:$B$301,MAX(1,272-semi)):INDEX($B$2:$B$301,MIN($M$2,272+semi))),"")</f>
        <v/>
      </c>
      <c r="E273" s="28" t="str">
        <f t="shared" si="25"/>
        <v/>
      </c>
      <c r="F273" s="22" t="str">
        <f>IF(AND(ISNUMBER(E273),ISNUMBER(E274),ISNUMBER($M$6)),IF(AND(273&lt;$M$6,E273&lt;0.5,E274&gt;=0.5),273,""),"")</f>
        <v/>
      </c>
      <c r="G273" s="22" t="str">
        <f>IF(AND(ISNUMBER(E273),ISNUMBER(E274),ISNUMBER($M$6)),IF(AND(273&gt;=$M$6,E273&gt;=0.5,E274&lt;0.5),273,""),"")</f>
        <v/>
      </c>
      <c r="H273" s="22" t="str">
        <f t="shared" si="26"/>
        <v/>
      </c>
      <c r="I273" s="22" t="e">
        <f t="shared" si="27"/>
        <v>#N/A</v>
      </c>
      <c r="J273" s="28" t="e">
        <f t="shared" si="28"/>
        <v>#N/A</v>
      </c>
      <c r="K273" s="22" t="str">
        <f t="shared" si="29"/>
        <v/>
      </c>
    </row>
    <row r="274" spans="3:11" x14ac:dyDescent="0.3">
      <c r="C274" s="22" t="str">
        <f t="shared" si="24"/>
        <v/>
      </c>
      <c r="D274" s="28" t="str">
        <f>IF(ISNUMBER(B274),AVERAGE(INDEX($B$2:$B$301,MAX(1,273-semi)):INDEX($B$2:$B$301,MIN($M$2,273+semi))),"")</f>
        <v/>
      </c>
      <c r="E274" s="28" t="str">
        <f t="shared" si="25"/>
        <v/>
      </c>
      <c r="F274" s="22" t="str">
        <f>IF(AND(ISNUMBER(E274),ISNUMBER(E275),ISNUMBER($M$6)),IF(AND(274&lt;$M$6,E274&lt;0.5,E275&gt;=0.5),274,""),"")</f>
        <v/>
      </c>
      <c r="G274" s="22" t="str">
        <f>IF(AND(ISNUMBER(E274),ISNUMBER(E275),ISNUMBER($M$6)),IF(AND(274&gt;=$M$6,E274&gt;=0.5,E275&lt;0.5),274,""),"")</f>
        <v/>
      </c>
      <c r="H274" s="22" t="str">
        <f t="shared" si="26"/>
        <v/>
      </c>
      <c r="I274" s="22" t="e">
        <f t="shared" si="27"/>
        <v>#N/A</v>
      </c>
      <c r="J274" s="28" t="e">
        <f t="shared" si="28"/>
        <v>#N/A</v>
      </c>
      <c r="K274" s="22" t="str">
        <f t="shared" si="29"/>
        <v/>
      </c>
    </row>
    <row r="275" spans="3:11" x14ac:dyDescent="0.3">
      <c r="C275" s="22" t="str">
        <f t="shared" si="24"/>
        <v/>
      </c>
      <c r="D275" s="28" t="str">
        <f>IF(ISNUMBER(B275),AVERAGE(INDEX($B$2:$B$301,MAX(1,274-semi)):INDEX($B$2:$B$301,MIN($M$2,274+semi))),"")</f>
        <v/>
      </c>
      <c r="E275" s="28" t="str">
        <f t="shared" si="25"/>
        <v/>
      </c>
      <c r="F275" s="22" t="str">
        <f>IF(AND(ISNUMBER(E275),ISNUMBER(E276),ISNUMBER($M$6)),IF(AND(275&lt;$M$6,E275&lt;0.5,E276&gt;=0.5),275,""),"")</f>
        <v/>
      </c>
      <c r="G275" s="22" t="str">
        <f>IF(AND(ISNUMBER(E275),ISNUMBER(E276),ISNUMBER($M$6)),IF(AND(275&gt;=$M$6,E275&gt;=0.5,E276&lt;0.5),275,""),"")</f>
        <v/>
      </c>
      <c r="H275" s="22" t="str">
        <f t="shared" si="26"/>
        <v/>
      </c>
      <c r="I275" s="22" t="e">
        <f t="shared" si="27"/>
        <v>#N/A</v>
      </c>
      <c r="J275" s="28" t="e">
        <f t="shared" si="28"/>
        <v>#N/A</v>
      </c>
      <c r="K275" s="22" t="str">
        <f t="shared" si="29"/>
        <v/>
      </c>
    </row>
    <row r="276" spans="3:11" x14ac:dyDescent="0.3">
      <c r="C276" s="22" t="str">
        <f t="shared" si="24"/>
        <v/>
      </c>
      <c r="D276" s="28" t="str">
        <f>IF(ISNUMBER(B276),AVERAGE(INDEX($B$2:$B$301,MAX(1,275-semi)):INDEX($B$2:$B$301,MIN($M$2,275+semi))),"")</f>
        <v/>
      </c>
      <c r="E276" s="28" t="str">
        <f t="shared" si="25"/>
        <v/>
      </c>
      <c r="F276" s="22" t="str">
        <f>IF(AND(ISNUMBER(E276),ISNUMBER(E277),ISNUMBER($M$6)),IF(AND(276&lt;$M$6,E276&lt;0.5,E277&gt;=0.5),276,""),"")</f>
        <v/>
      </c>
      <c r="G276" s="22" t="str">
        <f>IF(AND(ISNUMBER(E276),ISNUMBER(E277),ISNUMBER($M$6)),IF(AND(276&gt;=$M$6,E276&gt;=0.5,E277&lt;0.5),276,""),"")</f>
        <v/>
      </c>
      <c r="H276" s="22" t="str">
        <f t="shared" si="26"/>
        <v/>
      </c>
      <c r="I276" s="22" t="e">
        <f t="shared" si="27"/>
        <v>#N/A</v>
      </c>
      <c r="J276" s="28" t="e">
        <f t="shared" si="28"/>
        <v>#N/A</v>
      </c>
      <c r="K276" s="22" t="str">
        <f t="shared" si="29"/>
        <v/>
      </c>
    </row>
    <row r="277" spans="3:11" x14ac:dyDescent="0.3">
      <c r="C277" s="22" t="str">
        <f t="shared" si="24"/>
        <v/>
      </c>
      <c r="D277" s="28" t="str">
        <f>IF(ISNUMBER(B277),AVERAGE(INDEX($B$2:$B$301,MAX(1,276-semi)):INDEX($B$2:$B$301,MIN($M$2,276+semi))),"")</f>
        <v/>
      </c>
      <c r="E277" s="28" t="str">
        <f t="shared" si="25"/>
        <v/>
      </c>
      <c r="F277" s="22" t="str">
        <f>IF(AND(ISNUMBER(E277),ISNUMBER(E278),ISNUMBER($M$6)),IF(AND(277&lt;$M$6,E277&lt;0.5,E278&gt;=0.5),277,""),"")</f>
        <v/>
      </c>
      <c r="G277" s="22" t="str">
        <f>IF(AND(ISNUMBER(E277),ISNUMBER(E278),ISNUMBER($M$6)),IF(AND(277&gt;=$M$6,E277&gt;=0.5,E278&lt;0.5),277,""),"")</f>
        <v/>
      </c>
      <c r="H277" s="22" t="str">
        <f t="shared" si="26"/>
        <v/>
      </c>
      <c r="I277" s="22" t="e">
        <f t="shared" si="27"/>
        <v>#N/A</v>
      </c>
      <c r="J277" s="28" t="e">
        <f t="shared" si="28"/>
        <v>#N/A</v>
      </c>
      <c r="K277" s="22" t="str">
        <f t="shared" si="29"/>
        <v/>
      </c>
    </row>
    <row r="278" spans="3:11" x14ac:dyDescent="0.3">
      <c r="C278" s="22" t="str">
        <f t="shared" si="24"/>
        <v/>
      </c>
      <c r="D278" s="28" t="str">
        <f>IF(ISNUMBER(B278),AVERAGE(INDEX($B$2:$B$301,MAX(1,277-semi)):INDEX($B$2:$B$301,MIN($M$2,277+semi))),"")</f>
        <v/>
      </c>
      <c r="E278" s="28" t="str">
        <f t="shared" si="25"/>
        <v/>
      </c>
      <c r="F278" s="22" t="str">
        <f>IF(AND(ISNUMBER(E278),ISNUMBER(E279),ISNUMBER($M$6)),IF(AND(278&lt;$M$6,E278&lt;0.5,E279&gt;=0.5),278,""),"")</f>
        <v/>
      </c>
      <c r="G278" s="22" t="str">
        <f>IF(AND(ISNUMBER(E278),ISNUMBER(E279),ISNUMBER($M$6)),IF(AND(278&gt;=$M$6,E278&gt;=0.5,E279&lt;0.5),278,""),"")</f>
        <v/>
      </c>
      <c r="H278" s="22" t="str">
        <f t="shared" si="26"/>
        <v/>
      </c>
      <c r="I278" s="22" t="e">
        <f t="shared" si="27"/>
        <v>#N/A</v>
      </c>
      <c r="J278" s="28" t="e">
        <f t="shared" si="28"/>
        <v>#N/A</v>
      </c>
      <c r="K278" s="22" t="str">
        <f t="shared" si="29"/>
        <v/>
      </c>
    </row>
    <row r="279" spans="3:11" x14ac:dyDescent="0.3">
      <c r="C279" s="22" t="str">
        <f t="shared" si="24"/>
        <v/>
      </c>
      <c r="D279" s="28" t="str">
        <f>IF(ISNUMBER(B279),AVERAGE(INDEX($B$2:$B$301,MAX(1,278-semi)):INDEX($B$2:$B$301,MIN($M$2,278+semi))),"")</f>
        <v/>
      </c>
      <c r="E279" s="28" t="str">
        <f t="shared" si="25"/>
        <v/>
      </c>
      <c r="F279" s="22" t="str">
        <f>IF(AND(ISNUMBER(E279),ISNUMBER(E280),ISNUMBER($M$6)),IF(AND(279&lt;$M$6,E279&lt;0.5,E280&gt;=0.5),279,""),"")</f>
        <v/>
      </c>
      <c r="G279" s="22" t="str">
        <f>IF(AND(ISNUMBER(E279),ISNUMBER(E280),ISNUMBER($M$6)),IF(AND(279&gt;=$M$6,E279&gt;=0.5,E280&lt;0.5),279,""),"")</f>
        <v/>
      </c>
      <c r="H279" s="22" t="str">
        <f t="shared" si="26"/>
        <v/>
      </c>
      <c r="I279" s="22" t="e">
        <f t="shared" si="27"/>
        <v>#N/A</v>
      </c>
      <c r="J279" s="28" t="e">
        <f t="shared" si="28"/>
        <v>#N/A</v>
      </c>
      <c r="K279" s="22" t="str">
        <f t="shared" si="29"/>
        <v/>
      </c>
    </row>
    <row r="280" spans="3:11" x14ac:dyDescent="0.3">
      <c r="C280" s="22" t="str">
        <f t="shared" si="24"/>
        <v/>
      </c>
      <c r="D280" s="28" t="str">
        <f>IF(ISNUMBER(B280),AVERAGE(INDEX($B$2:$B$301,MAX(1,279-semi)):INDEX($B$2:$B$301,MIN($M$2,279+semi))),"")</f>
        <v/>
      </c>
      <c r="E280" s="28" t="str">
        <f t="shared" si="25"/>
        <v/>
      </c>
      <c r="F280" s="22" t="str">
        <f>IF(AND(ISNUMBER(E280),ISNUMBER(E281),ISNUMBER($M$6)),IF(AND(280&lt;$M$6,E280&lt;0.5,E281&gt;=0.5),280,""),"")</f>
        <v/>
      </c>
      <c r="G280" s="22" t="str">
        <f>IF(AND(ISNUMBER(E280),ISNUMBER(E281),ISNUMBER($M$6)),IF(AND(280&gt;=$M$6,E280&gt;=0.5,E281&lt;0.5),280,""),"")</f>
        <v/>
      </c>
      <c r="H280" s="22" t="str">
        <f t="shared" si="26"/>
        <v/>
      </c>
      <c r="I280" s="22" t="e">
        <f t="shared" si="27"/>
        <v>#N/A</v>
      </c>
      <c r="J280" s="28" t="e">
        <f t="shared" si="28"/>
        <v>#N/A</v>
      </c>
      <c r="K280" s="22" t="str">
        <f t="shared" si="29"/>
        <v/>
      </c>
    </row>
    <row r="281" spans="3:11" x14ac:dyDescent="0.3">
      <c r="C281" s="22" t="str">
        <f t="shared" si="24"/>
        <v/>
      </c>
      <c r="D281" s="28" t="str">
        <f>IF(ISNUMBER(B281),AVERAGE(INDEX($B$2:$B$301,MAX(1,280-semi)):INDEX($B$2:$B$301,MIN($M$2,280+semi))),"")</f>
        <v/>
      </c>
      <c r="E281" s="28" t="str">
        <f t="shared" si="25"/>
        <v/>
      </c>
      <c r="F281" s="22" t="str">
        <f>IF(AND(ISNUMBER(E281),ISNUMBER(E282),ISNUMBER($M$6)),IF(AND(281&lt;$M$6,E281&lt;0.5,E282&gt;=0.5),281,""),"")</f>
        <v/>
      </c>
      <c r="G281" s="22" t="str">
        <f>IF(AND(ISNUMBER(E281),ISNUMBER(E282),ISNUMBER($M$6)),IF(AND(281&gt;=$M$6,E281&gt;=0.5,E282&lt;0.5),281,""),"")</f>
        <v/>
      </c>
      <c r="H281" s="22" t="str">
        <f t="shared" si="26"/>
        <v/>
      </c>
      <c r="I281" s="22" t="e">
        <f t="shared" si="27"/>
        <v>#N/A</v>
      </c>
      <c r="J281" s="28" t="e">
        <f t="shared" si="28"/>
        <v>#N/A</v>
      </c>
      <c r="K281" s="22" t="str">
        <f t="shared" si="29"/>
        <v/>
      </c>
    </row>
    <row r="282" spans="3:11" x14ac:dyDescent="0.3">
      <c r="C282" s="22" t="str">
        <f t="shared" si="24"/>
        <v/>
      </c>
      <c r="D282" s="28" t="str">
        <f>IF(ISNUMBER(B282),AVERAGE(INDEX($B$2:$B$301,MAX(1,281-semi)):INDEX($B$2:$B$301,MIN($M$2,281+semi))),"")</f>
        <v/>
      </c>
      <c r="E282" s="28" t="str">
        <f t="shared" si="25"/>
        <v/>
      </c>
      <c r="F282" s="22" t="str">
        <f>IF(AND(ISNUMBER(E282),ISNUMBER(E283),ISNUMBER($M$6)),IF(AND(282&lt;$M$6,E282&lt;0.5,E283&gt;=0.5),282,""),"")</f>
        <v/>
      </c>
      <c r="G282" s="22" t="str">
        <f>IF(AND(ISNUMBER(E282),ISNUMBER(E283),ISNUMBER($M$6)),IF(AND(282&gt;=$M$6,E282&gt;=0.5,E283&lt;0.5),282,""),"")</f>
        <v/>
      </c>
      <c r="H282" s="22" t="str">
        <f t="shared" si="26"/>
        <v/>
      </c>
      <c r="I282" s="22" t="e">
        <f t="shared" si="27"/>
        <v>#N/A</v>
      </c>
      <c r="J282" s="28" t="e">
        <f t="shared" si="28"/>
        <v>#N/A</v>
      </c>
      <c r="K282" s="22" t="str">
        <f t="shared" si="29"/>
        <v/>
      </c>
    </row>
    <row r="283" spans="3:11" x14ac:dyDescent="0.3">
      <c r="C283" s="22" t="str">
        <f t="shared" si="24"/>
        <v/>
      </c>
      <c r="D283" s="28" t="str">
        <f>IF(ISNUMBER(B283),AVERAGE(INDEX($B$2:$B$301,MAX(1,282-semi)):INDEX($B$2:$B$301,MIN($M$2,282+semi))),"")</f>
        <v/>
      </c>
      <c r="E283" s="28" t="str">
        <f t="shared" si="25"/>
        <v/>
      </c>
      <c r="F283" s="22" t="str">
        <f>IF(AND(ISNUMBER(E283),ISNUMBER(E284),ISNUMBER($M$6)),IF(AND(283&lt;$M$6,E283&lt;0.5,E284&gt;=0.5),283,""),"")</f>
        <v/>
      </c>
      <c r="G283" s="22" t="str">
        <f>IF(AND(ISNUMBER(E283),ISNUMBER(E284),ISNUMBER($M$6)),IF(AND(283&gt;=$M$6,E283&gt;=0.5,E284&lt;0.5),283,""),"")</f>
        <v/>
      </c>
      <c r="H283" s="22" t="str">
        <f t="shared" si="26"/>
        <v/>
      </c>
      <c r="I283" s="22" t="e">
        <f t="shared" si="27"/>
        <v>#N/A</v>
      </c>
      <c r="J283" s="28" t="e">
        <f t="shared" si="28"/>
        <v>#N/A</v>
      </c>
      <c r="K283" s="22" t="str">
        <f t="shared" si="29"/>
        <v/>
      </c>
    </row>
    <row r="284" spans="3:11" x14ac:dyDescent="0.3">
      <c r="C284" s="22" t="str">
        <f t="shared" si="24"/>
        <v/>
      </c>
      <c r="D284" s="28" t="str">
        <f>IF(ISNUMBER(B284),AVERAGE(INDEX($B$2:$B$301,MAX(1,283-semi)):INDEX($B$2:$B$301,MIN($M$2,283+semi))),"")</f>
        <v/>
      </c>
      <c r="E284" s="28" t="str">
        <f t="shared" si="25"/>
        <v/>
      </c>
      <c r="F284" s="22" t="str">
        <f>IF(AND(ISNUMBER(E284),ISNUMBER(E285),ISNUMBER($M$6)),IF(AND(284&lt;$M$6,E284&lt;0.5,E285&gt;=0.5),284,""),"")</f>
        <v/>
      </c>
      <c r="G284" s="22" t="str">
        <f>IF(AND(ISNUMBER(E284),ISNUMBER(E285),ISNUMBER($M$6)),IF(AND(284&gt;=$M$6,E284&gt;=0.5,E285&lt;0.5),284,""),"")</f>
        <v/>
      </c>
      <c r="H284" s="22" t="str">
        <f t="shared" si="26"/>
        <v/>
      </c>
      <c r="I284" s="22" t="e">
        <f t="shared" si="27"/>
        <v>#N/A</v>
      </c>
      <c r="J284" s="28" t="e">
        <f t="shared" si="28"/>
        <v>#N/A</v>
      </c>
      <c r="K284" s="22" t="str">
        <f t="shared" si="29"/>
        <v/>
      </c>
    </row>
    <row r="285" spans="3:11" x14ac:dyDescent="0.3">
      <c r="C285" s="22" t="str">
        <f t="shared" si="24"/>
        <v/>
      </c>
      <c r="D285" s="28" t="str">
        <f>IF(ISNUMBER(B285),AVERAGE(INDEX($B$2:$B$301,MAX(1,284-semi)):INDEX($B$2:$B$301,MIN($M$2,284+semi))),"")</f>
        <v/>
      </c>
      <c r="E285" s="28" t="str">
        <f t="shared" si="25"/>
        <v/>
      </c>
      <c r="F285" s="22" t="str">
        <f>IF(AND(ISNUMBER(E285),ISNUMBER(E286),ISNUMBER($M$6)),IF(AND(285&lt;$M$6,E285&lt;0.5,E286&gt;=0.5),285,""),"")</f>
        <v/>
      </c>
      <c r="G285" s="22" t="str">
        <f>IF(AND(ISNUMBER(E285),ISNUMBER(E286),ISNUMBER($M$6)),IF(AND(285&gt;=$M$6,E285&gt;=0.5,E286&lt;0.5),285,""),"")</f>
        <v/>
      </c>
      <c r="H285" s="22" t="str">
        <f t="shared" si="26"/>
        <v/>
      </c>
      <c r="I285" s="22" t="e">
        <f t="shared" si="27"/>
        <v>#N/A</v>
      </c>
      <c r="J285" s="28" t="e">
        <f t="shared" si="28"/>
        <v>#N/A</v>
      </c>
      <c r="K285" s="22" t="str">
        <f t="shared" si="29"/>
        <v/>
      </c>
    </row>
    <row r="286" spans="3:11" x14ac:dyDescent="0.3">
      <c r="C286" s="22" t="str">
        <f t="shared" si="24"/>
        <v/>
      </c>
      <c r="D286" s="28" t="str">
        <f>IF(ISNUMBER(B286),AVERAGE(INDEX($B$2:$B$301,MAX(1,285-semi)):INDEX($B$2:$B$301,MIN($M$2,285+semi))),"")</f>
        <v/>
      </c>
      <c r="E286" s="28" t="str">
        <f t="shared" si="25"/>
        <v/>
      </c>
      <c r="F286" s="22" t="str">
        <f>IF(AND(ISNUMBER(E286),ISNUMBER(E287),ISNUMBER($M$6)),IF(AND(286&lt;$M$6,E286&lt;0.5,E287&gt;=0.5),286,""),"")</f>
        <v/>
      </c>
      <c r="G286" s="22" t="str">
        <f>IF(AND(ISNUMBER(E286),ISNUMBER(E287),ISNUMBER($M$6)),IF(AND(286&gt;=$M$6,E286&gt;=0.5,E287&lt;0.5),286,""),"")</f>
        <v/>
      </c>
      <c r="H286" s="22" t="str">
        <f t="shared" si="26"/>
        <v/>
      </c>
      <c r="I286" s="22" t="e">
        <f t="shared" si="27"/>
        <v>#N/A</v>
      </c>
      <c r="J286" s="28" t="e">
        <f t="shared" si="28"/>
        <v>#N/A</v>
      </c>
      <c r="K286" s="22" t="str">
        <f t="shared" si="29"/>
        <v/>
      </c>
    </row>
    <row r="287" spans="3:11" x14ac:dyDescent="0.3">
      <c r="C287" s="22" t="str">
        <f t="shared" si="24"/>
        <v/>
      </c>
      <c r="D287" s="28" t="str">
        <f>IF(ISNUMBER(B287),AVERAGE(INDEX($B$2:$B$301,MAX(1,286-semi)):INDEX($B$2:$B$301,MIN($M$2,286+semi))),"")</f>
        <v/>
      </c>
      <c r="E287" s="28" t="str">
        <f t="shared" si="25"/>
        <v/>
      </c>
      <c r="F287" s="22" t="str">
        <f>IF(AND(ISNUMBER(E287),ISNUMBER(E288),ISNUMBER($M$6)),IF(AND(287&lt;$M$6,E287&lt;0.5,E288&gt;=0.5),287,""),"")</f>
        <v/>
      </c>
      <c r="G287" s="22" t="str">
        <f>IF(AND(ISNUMBER(E287),ISNUMBER(E288),ISNUMBER($M$6)),IF(AND(287&gt;=$M$6,E287&gt;=0.5,E288&lt;0.5),287,""),"")</f>
        <v/>
      </c>
      <c r="H287" s="22" t="str">
        <f t="shared" si="26"/>
        <v/>
      </c>
      <c r="I287" s="22" t="e">
        <f t="shared" si="27"/>
        <v>#N/A</v>
      </c>
      <c r="J287" s="28" t="e">
        <f t="shared" si="28"/>
        <v>#N/A</v>
      </c>
      <c r="K287" s="22" t="str">
        <f t="shared" si="29"/>
        <v/>
      </c>
    </row>
    <row r="288" spans="3:11" x14ac:dyDescent="0.3">
      <c r="C288" s="22" t="str">
        <f t="shared" si="24"/>
        <v/>
      </c>
      <c r="D288" s="28" t="str">
        <f>IF(ISNUMBER(B288),AVERAGE(INDEX($B$2:$B$301,MAX(1,287-semi)):INDEX($B$2:$B$301,MIN($M$2,287+semi))),"")</f>
        <v/>
      </c>
      <c r="E288" s="28" t="str">
        <f t="shared" si="25"/>
        <v/>
      </c>
      <c r="F288" s="22" t="str">
        <f>IF(AND(ISNUMBER(E288),ISNUMBER(E289),ISNUMBER($M$6)),IF(AND(288&lt;$M$6,E288&lt;0.5,E289&gt;=0.5),288,""),"")</f>
        <v/>
      </c>
      <c r="G288" s="22" t="str">
        <f>IF(AND(ISNUMBER(E288),ISNUMBER(E289),ISNUMBER($M$6)),IF(AND(288&gt;=$M$6,E288&gt;=0.5,E289&lt;0.5),288,""),"")</f>
        <v/>
      </c>
      <c r="H288" s="22" t="str">
        <f t="shared" si="26"/>
        <v/>
      </c>
      <c r="I288" s="22" t="e">
        <f t="shared" si="27"/>
        <v>#N/A</v>
      </c>
      <c r="J288" s="28" t="e">
        <f t="shared" si="28"/>
        <v>#N/A</v>
      </c>
      <c r="K288" s="22" t="str">
        <f t="shared" si="29"/>
        <v/>
      </c>
    </row>
    <row r="289" spans="3:11" x14ac:dyDescent="0.3">
      <c r="C289" s="22" t="str">
        <f t="shared" si="24"/>
        <v/>
      </c>
      <c r="D289" s="28" t="str">
        <f>IF(ISNUMBER(B289),AVERAGE(INDEX($B$2:$B$301,MAX(1,288-semi)):INDEX($B$2:$B$301,MIN($M$2,288+semi))),"")</f>
        <v/>
      </c>
      <c r="E289" s="28" t="str">
        <f t="shared" si="25"/>
        <v/>
      </c>
      <c r="F289" s="22" t="str">
        <f>IF(AND(ISNUMBER(E289),ISNUMBER(E290),ISNUMBER($M$6)),IF(AND(289&lt;$M$6,E289&lt;0.5,E290&gt;=0.5),289,""),"")</f>
        <v/>
      </c>
      <c r="G289" s="22" t="str">
        <f>IF(AND(ISNUMBER(E289),ISNUMBER(E290),ISNUMBER($M$6)),IF(AND(289&gt;=$M$6,E289&gt;=0.5,E290&lt;0.5),289,""),"")</f>
        <v/>
      </c>
      <c r="H289" s="22" t="str">
        <f t="shared" si="26"/>
        <v/>
      </c>
      <c r="I289" s="22" t="e">
        <f t="shared" si="27"/>
        <v>#N/A</v>
      </c>
      <c r="J289" s="28" t="e">
        <f t="shared" si="28"/>
        <v>#N/A</v>
      </c>
      <c r="K289" s="22" t="str">
        <f t="shared" si="29"/>
        <v/>
      </c>
    </row>
    <row r="290" spans="3:11" x14ac:dyDescent="0.3">
      <c r="C290" s="22" t="str">
        <f t="shared" si="24"/>
        <v/>
      </c>
      <c r="D290" s="28" t="str">
        <f>IF(ISNUMBER(B290),AVERAGE(INDEX($B$2:$B$301,MAX(1,289-semi)):INDEX($B$2:$B$301,MIN($M$2,289+semi))),"")</f>
        <v/>
      </c>
      <c r="E290" s="28" t="str">
        <f t="shared" si="25"/>
        <v/>
      </c>
      <c r="F290" s="22" t="str">
        <f>IF(AND(ISNUMBER(E290),ISNUMBER(E291),ISNUMBER($M$6)),IF(AND(290&lt;$M$6,E290&lt;0.5,E291&gt;=0.5),290,""),"")</f>
        <v/>
      </c>
      <c r="G290" s="22" t="str">
        <f>IF(AND(ISNUMBER(E290),ISNUMBER(E291),ISNUMBER($M$6)),IF(AND(290&gt;=$M$6,E290&gt;=0.5,E291&lt;0.5),290,""),"")</f>
        <v/>
      </c>
      <c r="H290" s="22" t="str">
        <f t="shared" si="26"/>
        <v/>
      </c>
      <c r="I290" s="22" t="e">
        <f t="shared" si="27"/>
        <v>#N/A</v>
      </c>
      <c r="J290" s="28" t="e">
        <f t="shared" si="28"/>
        <v>#N/A</v>
      </c>
      <c r="K290" s="22" t="str">
        <f t="shared" si="29"/>
        <v/>
      </c>
    </row>
    <row r="291" spans="3:11" x14ac:dyDescent="0.3">
      <c r="C291" s="22" t="str">
        <f t="shared" si="24"/>
        <v/>
      </c>
      <c r="D291" s="28" t="str">
        <f>IF(ISNUMBER(B291),AVERAGE(INDEX($B$2:$B$301,MAX(1,290-semi)):INDEX($B$2:$B$301,MIN($M$2,290+semi))),"")</f>
        <v/>
      </c>
      <c r="E291" s="28" t="str">
        <f t="shared" si="25"/>
        <v/>
      </c>
      <c r="F291" s="22" t="str">
        <f>IF(AND(ISNUMBER(E291),ISNUMBER(E292),ISNUMBER($M$6)),IF(AND(291&lt;$M$6,E291&lt;0.5,E292&gt;=0.5),291,""),"")</f>
        <v/>
      </c>
      <c r="G291" s="22" t="str">
        <f>IF(AND(ISNUMBER(E291),ISNUMBER(E292),ISNUMBER($M$6)),IF(AND(291&gt;=$M$6,E291&gt;=0.5,E292&lt;0.5),291,""),"")</f>
        <v/>
      </c>
      <c r="H291" s="22" t="str">
        <f t="shared" si="26"/>
        <v/>
      </c>
      <c r="I291" s="22" t="e">
        <f t="shared" si="27"/>
        <v>#N/A</v>
      </c>
      <c r="J291" s="28" t="e">
        <f t="shared" si="28"/>
        <v>#N/A</v>
      </c>
      <c r="K291" s="22" t="str">
        <f t="shared" si="29"/>
        <v/>
      </c>
    </row>
    <row r="292" spans="3:11" x14ac:dyDescent="0.3">
      <c r="C292" s="22" t="str">
        <f t="shared" si="24"/>
        <v/>
      </c>
      <c r="D292" s="28" t="str">
        <f>IF(ISNUMBER(B292),AVERAGE(INDEX($B$2:$B$301,MAX(1,291-semi)):INDEX($B$2:$B$301,MIN($M$2,291+semi))),"")</f>
        <v/>
      </c>
      <c r="E292" s="28" t="str">
        <f t="shared" si="25"/>
        <v/>
      </c>
      <c r="F292" s="22" t="str">
        <f>IF(AND(ISNUMBER(E292),ISNUMBER(E293),ISNUMBER($M$6)),IF(AND(292&lt;$M$6,E292&lt;0.5,E293&gt;=0.5),292,""),"")</f>
        <v/>
      </c>
      <c r="G292" s="22" t="str">
        <f>IF(AND(ISNUMBER(E292),ISNUMBER(E293),ISNUMBER($M$6)),IF(AND(292&gt;=$M$6,E292&gt;=0.5,E293&lt;0.5),292,""),"")</f>
        <v/>
      </c>
      <c r="H292" s="22" t="str">
        <f t="shared" si="26"/>
        <v/>
      </c>
      <c r="I292" s="22" t="e">
        <f t="shared" si="27"/>
        <v>#N/A</v>
      </c>
      <c r="J292" s="28" t="e">
        <f t="shared" si="28"/>
        <v>#N/A</v>
      </c>
      <c r="K292" s="22" t="str">
        <f t="shared" si="29"/>
        <v/>
      </c>
    </row>
    <row r="293" spans="3:11" x14ac:dyDescent="0.3">
      <c r="C293" s="22" t="str">
        <f t="shared" si="24"/>
        <v/>
      </c>
      <c r="D293" s="28" t="str">
        <f>IF(ISNUMBER(B293),AVERAGE(INDEX($B$2:$B$301,MAX(1,292-semi)):INDEX($B$2:$B$301,MIN($M$2,292+semi))),"")</f>
        <v/>
      </c>
      <c r="E293" s="28" t="str">
        <f t="shared" si="25"/>
        <v/>
      </c>
      <c r="F293" s="22" t="str">
        <f>IF(AND(ISNUMBER(E293),ISNUMBER(E294),ISNUMBER($M$6)),IF(AND(293&lt;$M$6,E293&lt;0.5,E294&gt;=0.5),293,""),"")</f>
        <v/>
      </c>
      <c r="G293" s="22" t="str">
        <f>IF(AND(ISNUMBER(E293),ISNUMBER(E294),ISNUMBER($M$6)),IF(AND(293&gt;=$M$6,E293&gt;=0.5,E294&lt;0.5),293,""),"")</f>
        <v/>
      </c>
      <c r="H293" s="22" t="str">
        <f t="shared" si="26"/>
        <v/>
      </c>
      <c r="I293" s="22" t="e">
        <f t="shared" si="27"/>
        <v>#N/A</v>
      </c>
      <c r="J293" s="28" t="e">
        <f t="shared" si="28"/>
        <v>#N/A</v>
      </c>
      <c r="K293" s="22" t="str">
        <f t="shared" si="29"/>
        <v/>
      </c>
    </row>
    <row r="294" spans="3:11" x14ac:dyDescent="0.3">
      <c r="C294" s="22" t="str">
        <f t="shared" si="24"/>
        <v/>
      </c>
      <c r="D294" s="28" t="str">
        <f>IF(ISNUMBER(B294),AVERAGE(INDEX($B$2:$B$301,MAX(1,293-semi)):INDEX($B$2:$B$301,MIN($M$2,293+semi))),"")</f>
        <v/>
      </c>
      <c r="E294" s="28" t="str">
        <f t="shared" si="25"/>
        <v/>
      </c>
      <c r="F294" s="22" t="str">
        <f>IF(AND(ISNUMBER(E294),ISNUMBER(E295),ISNUMBER($M$6)),IF(AND(294&lt;$M$6,E294&lt;0.5,E295&gt;=0.5),294,""),"")</f>
        <v/>
      </c>
      <c r="G294" s="22" t="str">
        <f>IF(AND(ISNUMBER(E294),ISNUMBER(E295),ISNUMBER($M$6)),IF(AND(294&gt;=$M$6,E294&gt;=0.5,E295&lt;0.5),294,""),"")</f>
        <v/>
      </c>
      <c r="H294" s="22" t="str">
        <f t="shared" si="26"/>
        <v/>
      </c>
      <c r="I294" s="22" t="e">
        <f t="shared" si="27"/>
        <v>#N/A</v>
      </c>
      <c r="J294" s="28" t="e">
        <f t="shared" si="28"/>
        <v>#N/A</v>
      </c>
      <c r="K294" s="22" t="str">
        <f t="shared" si="29"/>
        <v/>
      </c>
    </row>
    <row r="295" spans="3:11" x14ac:dyDescent="0.3">
      <c r="C295" s="22" t="str">
        <f t="shared" si="24"/>
        <v/>
      </c>
      <c r="D295" s="28" t="str">
        <f>IF(ISNUMBER(B295),AVERAGE(INDEX($B$2:$B$301,MAX(1,294-semi)):INDEX($B$2:$B$301,MIN($M$2,294+semi))),"")</f>
        <v/>
      </c>
      <c r="E295" s="28" t="str">
        <f t="shared" si="25"/>
        <v/>
      </c>
      <c r="F295" s="22" t="str">
        <f>IF(AND(ISNUMBER(E295),ISNUMBER(E296),ISNUMBER($M$6)),IF(AND(295&lt;$M$6,E295&lt;0.5,E296&gt;=0.5),295,""),"")</f>
        <v/>
      </c>
      <c r="G295" s="22" t="str">
        <f>IF(AND(ISNUMBER(E295),ISNUMBER(E296),ISNUMBER($M$6)),IF(AND(295&gt;=$M$6,E295&gt;=0.5,E296&lt;0.5),295,""),"")</f>
        <v/>
      </c>
      <c r="H295" s="22" t="str">
        <f t="shared" si="26"/>
        <v/>
      </c>
      <c r="I295" s="22" t="e">
        <f t="shared" si="27"/>
        <v>#N/A</v>
      </c>
      <c r="J295" s="28" t="e">
        <f t="shared" si="28"/>
        <v>#N/A</v>
      </c>
      <c r="K295" s="22" t="str">
        <f t="shared" si="29"/>
        <v/>
      </c>
    </row>
    <row r="296" spans="3:11" x14ac:dyDescent="0.3">
      <c r="C296" s="22" t="str">
        <f t="shared" si="24"/>
        <v/>
      </c>
      <c r="D296" s="28" t="str">
        <f>IF(ISNUMBER(B296),AVERAGE(INDEX($B$2:$B$301,MAX(1,295-semi)):INDEX($B$2:$B$301,MIN($M$2,295+semi))),"")</f>
        <v/>
      </c>
      <c r="E296" s="28" t="str">
        <f t="shared" si="25"/>
        <v/>
      </c>
      <c r="F296" s="22" t="str">
        <f>IF(AND(ISNUMBER(E296),ISNUMBER(E297),ISNUMBER($M$6)),IF(AND(296&lt;$M$6,E296&lt;0.5,E297&gt;=0.5),296,""),"")</f>
        <v/>
      </c>
      <c r="G296" s="22" t="str">
        <f>IF(AND(ISNUMBER(E296),ISNUMBER(E297),ISNUMBER($M$6)),IF(AND(296&gt;=$M$6,E296&gt;=0.5,E297&lt;0.5),296,""),"")</f>
        <v/>
      </c>
      <c r="H296" s="22" t="str">
        <f t="shared" si="26"/>
        <v/>
      </c>
      <c r="I296" s="22" t="e">
        <f t="shared" si="27"/>
        <v>#N/A</v>
      </c>
      <c r="J296" s="28" t="e">
        <f t="shared" si="28"/>
        <v>#N/A</v>
      </c>
      <c r="K296" s="22" t="str">
        <f t="shared" si="29"/>
        <v/>
      </c>
    </row>
    <row r="297" spans="3:11" x14ac:dyDescent="0.3">
      <c r="C297" s="22" t="str">
        <f t="shared" si="24"/>
        <v/>
      </c>
      <c r="D297" s="28" t="str">
        <f>IF(ISNUMBER(B297),AVERAGE(INDEX($B$2:$B$301,MAX(1,296-semi)):INDEX($B$2:$B$301,MIN($M$2,296+semi))),"")</f>
        <v/>
      </c>
      <c r="E297" s="28" t="str">
        <f t="shared" si="25"/>
        <v/>
      </c>
      <c r="F297" s="22" t="str">
        <f>IF(AND(ISNUMBER(E297),ISNUMBER(E298),ISNUMBER($M$6)),IF(AND(297&lt;$M$6,E297&lt;0.5,E298&gt;=0.5),297,""),"")</f>
        <v/>
      </c>
      <c r="G297" s="22" t="str">
        <f>IF(AND(ISNUMBER(E297),ISNUMBER(E298),ISNUMBER($M$6)),IF(AND(297&gt;=$M$6,E297&gt;=0.5,E298&lt;0.5),297,""),"")</f>
        <v/>
      </c>
      <c r="H297" s="22" t="str">
        <f t="shared" si="26"/>
        <v/>
      </c>
      <c r="I297" s="22" t="e">
        <f t="shared" si="27"/>
        <v>#N/A</v>
      </c>
      <c r="J297" s="28" t="e">
        <f t="shared" si="28"/>
        <v>#N/A</v>
      </c>
      <c r="K297" s="22" t="str">
        <f t="shared" si="29"/>
        <v/>
      </c>
    </row>
    <row r="298" spans="3:11" x14ac:dyDescent="0.3">
      <c r="C298" s="22" t="str">
        <f t="shared" si="24"/>
        <v/>
      </c>
      <c r="D298" s="28" t="str">
        <f>IF(ISNUMBER(B298),AVERAGE(INDEX($B$2:$B$301,MAX(1,297-semi)):INDEX($B$2:$B$301,MIN($M$2,297+semi))),"")</f>
        <v/>
      </c>
      <c r="E298" s="28" t="str">
        <f t="shared" si="25"/>
        <v/>
      </c>
      <c r="F298" s="22" t="str">
        <f>IF(AND(ISNUMBER(E298),ISNUMBER(E299),ISNUMBER($M$6)),IF(AND(298&lt;$M$6,E298&lt;0.5,E299&gt;=0.5),298,""),"")</f>
        <v/>
      </c>
      <c r="G298" s="22" t="str">
        <f>IF(AND(ISNUMBER(E298),ISNUMBER(E299),ISNUMBER($M$6)),IF(AND(298&gt;=$M$6,E298&gt;=0.5,E299&lt;0.5),298,""),"")</f>
        <v/>
      </c>
      <c r="H298" s="22" t="str">
        <f t="shared" si="26"/>
        <v/>
      </c>
      <c r="I298" s="22" t="e">
        <f t="shared" si="27"/>
        <v>#N/A</v>
      </c>
      <c r="J298" s="28" t="e">
        <f t="shared" si="28"/>
        <v>#N/A</v>
      </c>
      <c r="K298" s="22" t="str">
        <f t="shared" si="29"/>
        <v/>
      </c>
    </row>
    <row r="299" spans="3:11" x14ac:dyDescent="0.3">
      <c r="C299" s="22" t="str">
        <f t="shared" si="24"/>
        <v/>
      </c>
      <c r="D299" s="28" t="str">
        <f>IF(ISNUMBER(B299),AVERAGE(INDEX($B$2:$B$301,MAX(1,298-semi)):INDEX($B$2:$B$301,MIN($M$2,298+semi))),"")</f>
        <v/>
      </c>
      <c r="E299" s="28" t="str">
        <f t="shared" si="25"/>
        <v/>
      </c>
      <c r="F299" s="22" t="str">
        <f>IF(AND(ISNUMBER(E299),ISNUMBER(E300),ISNUMBER($M$6)),IF(AND(299&lt;$M$6,E299&lt;0.5,E300&gt;=0.5),299,""),"")</f>
        <v/>
      </c>
      <c r="G299" s="22" t="str">
        <f>IF(AND(ISNUMBER(E299),ISNUMBER(E300),ISNUMBER($M$6)),IF(AND(299&gt;=$M$6,E299&gt;=0.5,E300&lt;0.5),299,""),"")</f>
        <v/>
      </c>
      <c r="H299" s="22" t="str">
        <f t="shared" si="26"/>
        <v/>
      </c>
      <c r="I299" s="22" t="e">
        <f t="shared" si="27"/>
        <v>#N/A</v>
      </c>
      <c r="J299" s="28" t="e">
        <f t="shared" si="28"/>
        <v>#N/A</v>
      </c>
      <c r="K299" s="22" t="str">
        <f t="shared" si="29"/>
        <v/>
      </c>
    </row>
    <row r="300" spans="3:11" x14ac:dyDescent="0.3">
      <c r="C300" s="22" t="str">
        <f t="shared" si="24"/>
        <v/>
      </c>
      <c r="D300" s="28" t="str">
        <f>IF(ISNUMBER(B300),AVERAGE(INDEX($B$2:$B$301,MAX(1,299-semi)):INDEX($B$2:$B$301,MIN($M$2,299+semi))),"")</f>
        <v/>
      </c>
      <c r="E300" s="28" t="str">
        <f t="shared" si="25"/>
        <v/>
      </c>
      <c r="F300" s="22" t="str">
        <f>IF(AND(ISNUMBER(E300),ISNUMBER(E301),ISNUMBER($M$6)),IF(AND(300&lt;$M$6,E300&lt;0.5,E301&gt;=0.5),300,""),"")</f>
        <v/>
      </c>
      <c r="G300" s="22" t="str">
        <f>IF(AND(ISNUMBER(E300),ISNUMBER(E301),ISNUMBER($M$6)),IF(AND(300&gt;=$M$6,E300&gt;=0.5,E301&lt;0.5),300,""),"")</f>
        <v/>
      </c>
      <c r="H300" s="22" t="str">
        <f t="shared" si="26"/>
        <v/>
      </c>
      <c r="I300" s="22" t="e">
        <f t="shared" si="27"/>
        <v>#N/A</v>
      </c>
      <c r="J300" s="28" t="e">
        <f t="shared" si="28"/>
        <v>#N/A</v>
      </c>
      <c r="K300" s="22" t="str">
        <f t="shared" si="29"/>
        <v/>
      </c>
    </row>
    <row r="301" spans="3:11" x14ac:dyDescent="0.3">
      <c r="C301" s="22" t="str">
        <f t="shared" si="24"/>
        <v/>
      </c>
      <c r="D301" s="28" t="str">
        <f>IF(ISNUMBER(B301),AVERAGE(INDEX($B$2:$B$301,MAX(1,300-semi)):INDEX($B$2:$B$301,MIN($M$2,300+semi))),"")</f>
        <v/>
      </c>
      <c r="E301" s="28" t="str">
        <f t="shared" si="25"/>
        <v/>
      </c>
      <c r="F301" s="22" t="str">
        <f>IF(AND(ISNUMBER(E301),ISNUMBER(E302),ISNUMBER($M$6)),IF(AND(301&lt;$M$6,E301&lt;0.5,E302&gt;=0.5),301,""),"")</f>
        <v/>
      </c>
      <c r="G301" s="22" t="str">
        <f>IF(AND(ISNUMBER(E301),ISNUMBER(E302),ISNUMBER($M$6)),IF(AND(301&gt;=$M$6,E301&gt;=0.5,E302&lt;0.5),301,""),"")</f>
        <v/>
      </c>
      <c r="H301" s="22" t="str">
        <f t="shared" si="26"/>
        <v/>
      </c>
      <c r="I301" s="22" t="e">
        <f t="shared" si="27"/>
        <v>#N/A</v>
      </c>
      <c r="J301" s="28" t="e">
        <f t="shared" si="28"/>
        <v>#N/A</v>
      </c>
      <c r="K301" s="22" t="str">
        <f t="shared" si="29"/>
        <v/>
      </c>
    </row>
  </sheetData>
  <mergeCells count="1">
    <mergeCell ref="N2:Q9"/>
  </mergeCells>
  <conditionalFormatting sqref="I2:J301">
    <cfRule type="containsErrors" dxfId="4" priority="4">
      <formula>ISERROR(I2)</formula>
    </cfRule>
  </conditionalFormatting>
  <conditionalFormatting sqref="L23:M24">
    <cfRule type="containsErrors" dxfId="3" priority="5">
      <formula>ISERROR(L23)</formula>
    </cfRule>
  </conditionalFormatting>
  <conditionalFormatting sqref="M20">
    <cfRule type="cellIs" dxfId="2" priority="1" operator="equal">
      <formula>"OK"</formula>
    </cfRule>
    <cfRule type="beginsWith" dxfId="1" priority="2" operator="beginsWith" text="Aviso">
      <formula>LEFT(M20,5)="Aviso"</formula>
    </cfRule>
    <cfRule type="beginsWith" dxfId="0" priority="3" operator="beginsWith" text="Revisar">
      <formula>LEFT(M20,7)="Revisar"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74</vt:i4>
      </vt:variant>
    </vt:vector>
  </HeadingPairs>
  <TitlesOfParts>
    <vt:vector size="96" baseType="lpstr">
      <vt:lpstr>Instrucciones</vt:lpstr>
      <vt:lpstr>Configuración</vt:lpstr>
      <vt:lpstr>Registro piloto</vt:lpstr>
      <vt:lpstr>Resumen piloto</vt:lpstr>
      <vt:lpstr>Réplicas</vt:lpstr>
      <vt:lpstr>Plan semana</vt:lpstr>
      <vt:lpstr>R01</vt:lpstr>
      <vt:lpstr>R02</vt:lpstr>
      <vt:lpstr>R03</vt:lpstr>
      <vt:lpstr>R04</vt:lpstr>
      <vt:lpstr>R05</vt:lpstr>
      <vt:lpstr>R06</vt:lpstr>
      <vt:lpstr>R07</vt:lpstr>
      <vt:lpstr>R08</vt:lpstr>
      <vt:lpstr>R09</vt:lpstr>
      <vt:lpstr>R10</vt:lpstr>
      <vt:lpstr>R11</vt:lpstr>
      <vt:lpstr>R12</vt:lpstr>
      <vt:lpstr>R13</vt:lpstr>
      <vt:lpstr>R14</vt:lpstr>
      <vt:lpstr>R15</vt:lpstr>
      <vt:lpstr>Ejemplo</vt:lpstr>
      <vt:lpstr>a_metros</vt:lpstr>
      <vt:lpstr>alfa</vt:lpstr>
      <vt:lpstr>Ejemplo!Área_de_impresión</vt:lpstr>
      <vt:lpstr>'R01'!Área_de_impresión</vt:lpstr>
      <vt:lpstr>'R02'!Área_de_impresión</vt:lpstr>
      <vt:lpstr>'R03'!Área_de_impresión</vt:lpstr>
      <vt:lpstr>'R04'!Área_de_impresión</vt:lpstr>
      <vt:lpstr>'R05'!Área_de_impresión</vt:lpstr>
      <vt:lpstr>'R06'!Área_de_impresión</vt:lpstr>
      <vt:lpstr>'R07'!Área_de_impresión</vt:lpstr>
      <vt:lpstr>'R08'!Área_de_impresión</vt:lpstr>
      <vt:lpstr>'R09'!Área_de_impresión</vt:lpstr>
      <vt:lpstr>'R10'!Área_de_impresión</vt:lpstr>
      <vt:lpstr>'R11'!Área_de_impresión</vt:lpstr>
      <vt:lpstr>'R12'!Área_de_impresión</vt:lpstr>
      <vt:lpstr>'R13'!Área_de_impresión</vt:lpstr>
      <vt:lpstr>'R14'!Área_de_impresión</vt:lpstr>
      <vt:lpstr>'R15'!Área_de_impresión</vt:lpstr>
      <vt:lpstr>Réplicas!Área_de_impresión</vt:lpstr>
      <vt:lpstr>'Resumen piloto'!Área_de_impresión</vt:lpstr>
      <vt:lpstr>banda_1</vt:lpstr>
      <vt:lpstr>banda_2</vt:lpstr>
      <vt:lpstr>banda_3</vt:lpstr>
      <vt:lpstr>c_luz</vt:lpstr>
      <vt:lpstr>colas</vt:lpstr>
      <vt:lpstr>conf_sigma</vt:lpstr>
      <vt:lpstr>conv</vt:lpstr>
      <vt:lpstr>corrientes</vt:lpstr>
      <vt:lpstr>delta_def</vt:lpstr>
      <vt:lpstr>dias</vt:lpstr>
      <vt:lpstr>dur_piloto</vt:lpstr>
      <vt:lpstr>estab_1</vt:lpstr>
      <vt:lpstr>estab_2</vt:lpstr>
      <vt:lpstr>estab_3</vt:lpstr>
      <vt:lpstr>factor_forma</vt:lpstr>
      <vt:lpstr>horas_dia</vt:lpstr>
      <vt:lpstr>I1_A</vt:lpstr>
      <vt:lpstr>I2_A</vt:lpstr>
      <vt:lpstr>I3_A</vt:lpstr>
      <vt:lpstr>incert_1</vt:lpstr>
      <vt:lpstr>incert_2</vt:lpstr>
      <vt:lpstr>incert_3</vt:lpstr>
      <vt:lpstr>min_traza_man</vt:lpstr>
      <vt:lpstr>n_fondo</vt:lpstr>
      <vt:lpstr>n_I1</vt:lpstr>
      <vt:lpstr>n_I2</vt:lpstr>
      <vt:lpstr>n_I3</vt:lpstr>
      <vt:lpstr>n_zona</vt:lpstr>
      <vt:lpstr>pasos</vt:lpstr>
      <vt:lpstr>pfab_1</vt:lpstr>
      <vt:lpstr>pfab_2</vt:lpstr>
      <vt:lpstr>pfab_3</vt:lpstr>
      <vt:lpstr>potencia</vt:lpstr>
      <vt:lpstr>pts_min</vt:lpstr>
      <vt:lpstr>rec_min</vt:lpstr>
      <vt:lpstr>resol</vt:lpstr>
      <vt:lpstr>rpd</vt:lpstr>
      <vt:lpstr>S_I1</vt:lpstr>
      <vt:lpstr>S_I2</vt:lpstr>
      <vt:lpstr>S_I3</vt:lpstr>
      <vt:lpstr>semi</vt:lpstr>
      <vt:lpstr>semilla</vt:lpstr>
      <vt:lpstr>tau0_1</vt:lpstr>
      <vt:lpstr>tau0_2</vt:lpstr>
      <vt:lpstr>tau0_3</vt:lpstr>
      <vt:lpstr>taumax_1</vt:lpstr>
      <vt:lpstr>taumax_2</vt:lpstr>
      <vt:lpstr>taumax_3</vt:lpstr>
      <vt:lpstr>tol_1</vt:lpstr>
      <vt:lpstr>tol_2</vt:lpstr>
      <vt:lpstr>tol_3</vt:lpstr>
      <vt:lpstr>unidad</vt:lpstr>
      <vt:lpstr>ventana</vt:lpstr>
      <vt:lpstr>zona_ac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Piloto · réplicas del autocorrelador</dc:title>
  <dc:creator>Juan Esteban Rodríguez Ochoa · Sebastián Zapata Henao</dc:creator>
  <cp:lastModifiedBy>Juan esteban rodri</cp:lastModifiedBy>
  <dcterms:created xsi:type="dcterms:W3CDTF">2026-10-24T22:56:29Z</dcterms:created>
  <dcterms:modified xsi:type="dcterms:W3CDTF">2026-10-25T01:34:54Z</dcterms:modified>
</cp:coreProperties>
</file>